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Alignment">Sheet2!$A$1:$A$6</definedName>
    <definedName name="WP">Sheet1!$O$23</definedName>
    <definedName name="TUFB">Sheet1!$G$22</definedName>
    <definedName name="BSB">Sheet1!$C$22</definedName>
    <definedName name="BS">Sheet1!$C$23</definedName>
    <definedName name="STB">Sheet1!$E$22</definedName>
    <definedName name="FEL">Sheet1!$Q$23</definedName>
    <definedName name="INT">Sheet1!$K$23</definedName>
    <definedName name="INTB">Sheet1!$K$22</definedName>
    <definedName name="FELB">Sheet1!$Q$22</definedName>
    <definedName name="ST">Sheet1!$E$23</definedName>
    <definedName name="INFB">Sheet1!$S$22</definedName>
    <definedName name="TUF">Sheet1!$G$23</definedName>
    <definedName name="WS">Sheet1!$A$23</definedName>
    <definedName name="INF">Sheet1!$S$23</definedName>
    <definedName name="PERB">Sheet1!$M$22</definedName>
    <definedName name="PER">Sheet1!$M$23</definedName>
    <definedName name="AG">Sheet1!$I$23</definedName>
    <definedName name="WPB">Sheet1!$O$22</definedName>
    <definedName name="WSB">Sheet1!$A$22</definedName>
    <definedName name="AGB">Sheet1!$I$22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3">
      <text>
        <t xml:space="preserve">final stat bonus (calc'd)
</t>
      </text>
    </comment>
    <comment authorId="0" ref="C23">
      <text>
        <t xml:space="preserve">final stat bonus (calc'd)
</t>
      </text>
    </comment>
    <comment authorId="0" ref="E23">
      <text>
        <t xml:space="preserve">final stat bonus (calc'd)
</t>
      </text>
    </comment>
    <comment authorId="0" ref="G23">
      <text>
        <t xml:space="preserve">final stat bonus (calc'd)
</t>
      </text>
    </comment>
    <comment authorId="0" ref="I23">
      <text>
        <t xml:space="preserve">final stat bonus (calc'd)
</t>
      </text>
    </comment>
    <comment authorId="0" ref="K23">
      <text>
        <t xml:space="preserve">final stat bonus (calc'd)
</t>
      </text>
    </comment>
    <comment authorId="0" ref="M23">
      <text>
        <t xml:space="preserve">final stat bonus (calc'd)
</t>
      </text>
    </comment>
    <comment authorId="0" ref="O23">
      <text>
        <t xml:space="preserve">final stat bonus (calc'd)
</t>
      </text>
    </comment>
    <comment authorId="0" ref="Q23">
      <text>
        <t xml:space="preserve">final stat bonus (calc'd)
</t>
      </text>
    </comment>
    <comment authorId="0" ref="S23">
      <text>
        <t xml:space="preserve">final stat bonus (calc'd)
</t>
      </text>
    </comment>
    <comment authorId="0" ref="A25">
      <text>
        <t xml:space="preserve">Base 
</t>
      </text>
    </comment>
    <comment authorId="0" ref="B25">
      <text>
        <t xml:space="preserve">any other stat bonuses
</t>
      </text>
    </comment>
    <comment authorId="0" ref="A29">
      <text>
        <t xml:space="preserve">Fill in trained, +10, +20, +30 with lowercase x only
</t>
      </text>
    </comment>
  </commentList>
</comments>
</file>

<file path=xl/sharedStrings.xml><?xml version="1.0" encoding="utf-8"?>
<sst xmlns="http://schemas.openxmlformats.org/spreadsheetml/2006/main" count="405" uniqueCount="235">
  <si>
    <t>Black Crusade</t>
  </si>
  <si>
    <t>Charachter Name</t>
  </si>
  <si>
    <t>Damien</t>
  </si>
  <si>
    <t>Player Name</t>
  </si>
  <si>
    <t>Galliard</t>
  </si>
  <si>
    <t>Archetype</t>
  </si>
  <si>
    <t>Heritek</t>
  </si>
  <si>
    <t>Rank</t>
  </si>
  <si>
    <t>Warband</t>
  </si>
  <si>
    <t>Pride</t>
  </si>
  <si>
    <t>Craftsmanship</t>
  </si>
  <si>
    <t>Disgrace</t>
  </si>
  <si>
    <t>Greed</t>
  </si>
  <si>
    <t>Motivation</t>
  </si>
  <si>
    <t>Inovation</t>
  </si>
  <si>
    <t>Description</t>
  </si>
  <si>
    <t>Mouse Heritek</t>
  </si>
  <si>
    <t>Charachteristics</t>
  </si>
  <si>
    <t>WS</t>
  </si>
  <si>
    <t>BS</t>
  </si>
  <si>
    <t>ST</t>
  </si>
  <si>
    <t>TUF</t>
  </si>
  <si>
    <t>AG</t>
  </si>
  <si>
    <t>INT</t>
  </si>
  <si>
    <t>PER</t>
  </si>
  <si>
    <t>WP</t>
  </si>
  <si>
    <t>FEL</t>
  </si>
  <si>
    <t>INF</t>
  </si>
  <si>
    <t>x</t>
  </si>
  <si>
    <t>Skills</t>
  </si>
  <si>
    <t>Talents and Traits</t>
  </si>
  <si>
    <t>Trained</t>
  </si>
  <si>
    <t>+10</t>
  </si>
  <si>
    <t>+20</t>
  </si>
  <si>
    <t>+30</t>
  </si>
  <si>
    <t>Resist Disease</t>
  </si>
  <si>
    <t>Resist Poison</t>
  </si>
  <si>
    <t>Small Size</t>
  </si>
  <si>
    <t>Acrobatics AG</t>
  </si>
  <si>
    <t>Medicae INT</t>
  </si>
  <si>
    <t>Athletics ST</t>
  </si>
  <si>
    <t>Nav Surface INT</t>
  </si>
  <si>
    <t>Mech Implants</t>
  </si>
  <si>
    <t>Awareness PER</t>
  </si>
  <si>
    <t>Nav Stellar INT</t>
  </si>
  <si>
    <t>die hard</t>
  </si>
  <si>
    <t>Charm FEL</t>
  </si>
  <si>
    <t>Nav Warp INT</t>
  </si>
  <si>
    <t>technical knock</t>
  </si>
  <si>
    <t>Commerce INT</t>
  </si>
  <si>
    <t>Operate Aero AG</t>
  </si>
  <si>
    <t>weapon training (Las, power, shock, plasma)</t>
  </si>
  <si>
    <t>Common Lore</t>
  </si>
  <si>
    <t>Operate Surf AG</t>
  </si>
  <si>
    <t>Mechadendrite (utility)</t>
  </si>
  <si>
    <t>Adeptus Mech</t>
  </si>
  <si>
    <t>Operate Void INT</t>
  </si>
  <si>
    <t>total recal</t>
  </si>
  <si>
    <t>Tech</t>
  </si>
  <si>
    <t>Parry WS</t>
  </si>
  <si>
    <t>armour-tech</t>
  </si>
  <si>
    <t>Psyniscience PER</t>
  </si>
  <si>
    <t>cold hearted</t>
  </si>
  <si>
    <t>Scholastic Lore INT</t>
  </si>
  <si>
    <t>enemy(adeptus mechanicus)</t>
  </si>
  <si>
    <t>Chymestry</t>
  </si>
  <si>
    <t>deadly shot (-10 called shots)</t>
  </si>
  <si>
    <t>Deceive FEL</t>
  </si>
  <si>
    <t>beast</t>
  </si>
  <si>
    <t>combat formation (int bonus for init)</t>
  </si>
  <si>
    <t>Dodge AG</t>
  </si>
  <si>
    <t>Forbidden Lore INT</t>
  </si>
  <si>
    <t>Archaeotech</t>
  </si>
  <si>
    <t>Scrutiny PER</t>
  </si>
  <si>
    <t>Xenotech</t>
  </si>
  <si>
    <t>Security INT</t>
  </si>
  <si>
    <t>Mutations</t>
  </si>
  <si>
    <t>Sleight of Hand AG</t>
  </si>
  <si>
    <t>daemonology</t>
  </si>
  <si>
    <t>Stealth AG</t>
  </si>
  <si>
    <t>master enginseer +10 tech use</t>
  </si>
  <si>
    <t>Inquiry Int</t>
  </si>
  <si>
    <t>Tech-Use INT</t>
  </si>
  <si>
    <t>Intimidate WP</t>
  </si>
  <si>
    <t>Tracking INT</t>
  </si>
  <si>
    <t>AGI +5</t>
  </si>
  <si>
    <t>Linguistics INT</t>
  </si>
  <si>
    <t>Trade INT</t>
  </si>
  <si>
    <t>STR -5</t>
  </si>
  <si>
    <t>small size -10 to hit</t>
  </si>
  <si>
    <t>resist poison +10</t>
  </si>
  <si>
    <t>Logic INT</t>
  </si>
  <si>
    <t>resist disease +10</t>
  </si>
  <si>
    <t>Weapon</t>
  </si>
  <si>
    <t>Armour</t>
  </si>
  <si>
    <t>Name</t>
  </si>
  <si>
    <t>Lascarbine</t>
  </si>
  <si>
    <t xml:space="preserve"> </t>
  </si>
  <si>
    <t>Class</t>
  </si>
  <si>
    <t>basic</t>
  </si>
  <si>
    <t>Dmg</t>
  </si>
  <si>
    <t>1d10+3</t>
  </si>
  <si>
    <t>Type</t>
  </si>
  <si>
    <t>E</t>
  </si>
  <si>
    <t>Pen</t>
  </si>
  <si>
    <t>Range</t>
  </si>
  <si>
    <t>ROF</t>
  </si>
  <si>
    <t>s/2/0</t>
  </si>
  <si>
    <t>Clip</t>
  </si>
  <si>
    <t>RLD</t>
  </si>
  <si>
    <t>half</t>
  </si>
  <si>
    <t>Head</t>
  </si>
  <si>
    <t>Attachments</t>
  </si>
  <si>
    <t>(1-10)</t>
  </si>
  <si>
    <t>Special Rules</t>
  </si>
  <si>
    <t>Best, Reliable</t>
  </si>
  <si>
    <t>Right Arm</t>
  </si>
  <si>
    <t>best carapace</t>
  </si>
  <si>
    <t>Left Arm</t>
  </si>
  <si>
    <t>(11-20)</t>
  </si>
  <si>
    <t>(21-30)</t>
  </si>
  <si>
    <t>Value</t>
  </si>
  <si>
    <t>Power Axe</t>
  </si>
  <si>
    <t>melee</t>
  </si>
  <si>
    <t>1d10+7</t>
  </si>
  <si>
    <t>Body</t>
  </si>
  <si>
    <t>(31-70)</t>
  </si>
  <si>
    <t>Power, Unbalanced</t>
  </si>
  <si>
    <t>Right Leg</t>
  </si>
  <si>
    <t>Left Leg</t>
  </si>
  <si>
    <t>(71-85)</t>
  </si>
  <si>
    <t>(86-00)</t>
  </si>
  <si>
    <t>Plasma Gun</t>
  </si>
  <si>
    <t>1d10+8</t>
  </si>
  <si>
    <t>s/2/-</t>
  </si>
  <si>
    <t>5 full</t>
  </si>
  <si>
    <t>Cursed Metal</t>
  </si>
  <si>
    <t>Accessories</t>
  </si>
  <si>
    <t>Best, reliable, Maximal, Overheats, red dot sight (+10 hit)</t>
  </si>
  <si>
    <t>Notes</t>
  </si>
  <si>
    <t>armour tech, all armor +2, +10 str, autosense +10  sigt/sound, osmotic gill, vox link, sustainable power source</t>
  </si>
  <si>
    <t>Needle rifle</t>
  </si>
  <si>
    <t>exotic</t>
  </si>
  <si>
    <t>1d10</t>
  </si>
  <si>
    <t>r</t>
  </si>
  <si>
    <t>Gear</t>
  </si>
  <si>
    <t>s/-/-</t>
  </si>
  <si>
    <t>Good bionic resp repl.</t>
  </si>
  <si>
    <t>light power armor</t>
  </si>
  <si>
    <t>accurate, toxic 1, needle</t>
  </si>
  <si>
    <t>Good neural implant</t>
  </si>
  <si>
    <t>magos staff'</t>
  </si>
  <si>
    <t>unholy eugents</t>
  </si>
  <si>
    <t>Best Q auspex</t>
  </si>
  <si>
    <t>combi-tool</t>
  </si>
  <si>
    <t>best q combat power shield</t>
  </si>
  <si>
    <t>dataslate</t>
  </si>
  <si>
    <t>Lumina Barrier q66 force field</t>
  </si>
  <si>
    <t>utility mechadendrite</t>
  </si>
  <si>
    <t>good silver chainblade</t>
  </si>
  <si>
    <t>MIU</t>
  </si>
  <si>
    <t>lieumen capacitor</t>
  </si>
  <si>
    <t>medkit</t>
  </si>
  <si>
    <t>krak grenades x3</t>
  </si>
  <si>
    <t>silver</t>
  </si>
  <si>
    <t>1x legion frag grenade</t>
  </si>
  <si>
    <t>Movement</t>
  </si>
  <si>
    <t>Base</t>
  </si>
  <si>
    <t>Half</t>
  </si>
  <si>
    <t>Run</t>
  </si>
  <si>
    <t>Modifier</t>
  </si>
  <si>
    <t>Full</t>
  </si>
  <si>
    <t>Charge</t>
  </si>
  <si>
    <t>Wounds</t>
  </si>
  <si>
    <t>Total</t>
  </si>
  <si>
    <t>Current</t>
  </si>
  <si>
    <t>Fatigue</t>
  </si>
  <si>
    <t>Infamy Points</t>
  </si>
  <si>
    <t>Critical Damage</t>
  </si>
  <si>
    <t>Coruption Points</t>
  </si>
  <si>
    <t>Gifts of the Gods</t>
  </si>
  <si>
    <t>quadruped</t>
  </si>
  <si>
    <t>Mental Disorders</t>
  </si>
  <si>
    <t>Advancement</t>
  </si>
  <si>
    <t>Psychic Powers</t>
  </si>
  <si>
    <t>Total XP</t>
  </si>
  <si>
    <t>Spent XP</t>
  </si>
  <si>
    <t>Unspent XP</t>
  </si>
  <si>
    <t>Psy Rating</t>
  </si>
  <si>
    <t>Cost</t>
  </si>
  <si>
    <t>Alignment</t>
  </si>
  <si>
    <t>jaded</t>
  </si>
  <si>
    <t>Nurgle</t>
  </si>
  <si>
    <t>master chirugen</t>
  </si>
  <si>
    <t>medicae, +10, +20 +30</t>
  </si>
  <si>
    <t>resistance (psy)</t>
  </si>
  <si>
    <t>tuf +5 +5</t>
  </si>
  <si>
    <t>combat formation</t>
  </si>
  <si>
    <t>Tzeentch</t>
  </si>
  <si>
    <t>deadeye</t>
  </si>
  <si>
    <t>forbiden lore (daemonology)</t>
  </si>
  <si>
    <t>forbiden lore (mutation)</t>
  </si>
  <si>
    <t>forbiden lore (xenotech)</t>
  </si>
  <si>
    <t>forbiden lore xenotech +10</t>
  </si>
  <si>
    <t>infused knowledge</t>
  </si>
  <si>
    <t>logic +10</t>
  </si>
  <si>
    <t>polyglot</t>
  </si>
  <si>
    <t>strong minded</t>
  </si>
  <si>
    <t>will +5 +5 +5 +5</t>
  </si>
  <si>
    <t>bs +5 +5 +5</t>
  </si>
  <si>
    <t>Unaligned</t>
  </si>
  <si>
    <t>str +5</t>
  </si>
  <si>
    <t>int +5 +5 +5 +5</t>
  </si>
  <si>
    <t>scholastic lore (beast) trained</t>
  </si>
  <si>
    <t>scrutiny +10 +20 +30</t>
  </si>
  <si>
    <t>Security, +10</t>
  </si>
  <si>
    <t>tech use +20 +30</t>
  </si>
  <si>
    <t>weapon tech pg 134</t>
  </si>
  <si>
    <t>WP exotic needle</t>
  </si>
  <si>
    <t>lightning reflexes</t>
  </si>
  <si>
    <t>Slaanesh</t>
  </si>
  <si>
    <t>marksman</t>
  </si>
  <si>
    <t>sharpshooter</t>
  </si>
  <si>
    <t>forsight</t>
  </si>
  <si>
    <t>step aside</t>
  </si>
  <si>
    <t>per +5 +5</t>
  </si>
  <si>
    <t>Master Enginseer</t>
  </si>
  <si>
    <t>commerce +10, +20</t>
  </si>
  <si>
    <t>Luminen shock</t>
  </si>
  <si>
    <t>Luminen Shield</t>
  </si>
  <si>
    <t>Luminen Barrier</t>
  </si>
  <si>
    <t>Khorne</t>
  </si>
  <si>
    <t>Current Alignment</t>
  </si>
  <si>
    <t>Sheet by Galliard</t>
  </si>
  <si>
    <t>Black Crusade, WH40K, Etc. (c) Games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</si>
</sst>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36.0"/>
    </font>
    <font>
      <b/>
      <sz val="14.0"/>
    </font>
    <font>
      <b/>
      <sz val="10.0"/>
    </font>
    <font>
      <b/>
      <sz val="12.0"/>
    </font>
    <font>
      <b/>
      <strike/>
      <sz val="10.0"/>
    </font>
    <font>
      <sz val="6.0"/>
    </font>
    <font>
      <sz val="8.0"/>
    </font>
    <font>
      <sz val="12.0"/>
    </font>
    <font>
      <sz val="8.0"/>
      <color rgb="FFD9D9D9"/>
    </font>
    <font>
      <sz val="8.0"/>
      <color rgb="FFCCCC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3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thin">
        <color rgb="FFFFFFFF"/>
      </top>
      <bottom style="hair">
        <color rgb="FF000000"/>
      </bottom>
    </border>
    <border>
      <top style="thin">
        <color rgb="FFFFFFFF"/>
      </top>
      <bottom style="hair">
        <color rgb="FF000000"/>
      </bottom>
    </border>
    <border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000000"/>
      </bottom>
    </border>
    <border>
      <right style="hair">
        <color rgb="FF000000"/>
      </right>
      <top style="thin">
        <color rgb="FFFFFFFF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FFFFFF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hair">
        <color rgb="FFCCCCCC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FFFFFF"/>
      </top>
    </border>
    <border>
      <left style="hair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hair">
        <color rgb="FF000000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FFFFFF"/>
      </right>
    </border>
    <border>
      <left style="thin">
        <color rgb="FFFFFFF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CCCCCC"/>
      </left>
      <right style="hair">
        <color rgb="FFCCCCCC"/>
      </right>
      <bottom style="thin">
        <color rgb="FFFFFFFF"/>
      </bottom>
    </border>
    <border>
      <left style="hair">
        <color rgb="FFCCCCCC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FFFFFF"/>
      </right>
      <top style="hair">
        <color rgb="FFCCCCCC"/>
      </top>
      <bottom style="hair">
        <color rgb="FFCCCCCC"/>
      </bottom>
    </border>
    <border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FFFFF"/>
      </left>
      <top style="hair">
        <color rgb="FF000000"/>
      </top>
      <bottom style="thin">
        <color rgb="FFFFFFFF"/>
      </bottom>
    </border>
    <border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hair">
        <color rgb="FFCCCCCC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hair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hair">
        <color rgb="FF999999"/>
      </right>
      <top style="thin">
        <color rgb="FFFFFFFF"/>
      </top>
      <bottom style="hair">
        <color rgb="FF999999"/>
      </bottom>
    </border>
    <border>
      <left style="hair">
        <color rgb="FF999999"/>
      </left>
      <top style="thin">
        <color rgb="FFFFFFFF"/>
      </top>
      <bottom style="hair">
        <color rgb="FF999999"/>
      </bottom>
    </border>
    <border>
      <right style="thin">
        <color rgb="FFFFFFFF"/>
      </right>
      <top style="thin">
        <color rgb="FFFFFFFF"/>
      </top>
      <bottom style="hair">
        <color rgb="FF999999"/>
      </bottom>
    </border>
    <border>
      <left style="thin">
        <color rgb="FFFFFFFF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thin">
        <color rgb="FFFFFFFF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hair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thin">
        <color rgb="FFFFFFFF"/>
      </bottom>
    </border>
    <border>
      <right style="hair">
        <color rgb="FF000000"/>
      </right>
      <top style="hair">
        <color rgb="FFFFFFFF"/>
      </top>
      <bottom style="thin">
        <color rgb="FFFFFFFF"/>
      </bottom>
    </border>
    <border>
      <left style="hair">
        <color rgb="FF000000"/>
      </left>
      <top style="hair">
        <color rgb="FFFFFFFF"/>
      </top>
      <bottom style="hair">
        <color rgb="FF000000"/>
      </bottom>
    </border>
    <border>
      <right style="hair">
        <color rgb="FFFFFFFF"/>
      </right>
      <top style="hair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000000"/>
      </bottom>
    </border>
    <border>
      <top style="hair">
        <color rgb="FFFFFFFF"/>
      </top>
      <bottom style="hair">
        <color rgb="FF000000"/>
      </bottom>
    </border>
    <border>
      <right style="hair">
        <color rgb="FF000000"/>
      </right>
      <top style="hair">
        <color rgb="FFFFFFFF"/>
      </top>
      <bottom style="hair">
        <color rgb="FF000000"/>
      </bottom>
    </border>
    <border>
      <left style="hair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FFFFFF"/>
      </bottom>
    </border>
    <border>
      <right style="hair">
        <color rgb="FF000000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FFFFFF"/>
      </right>
      <top style="hair">
        <color rgb="FFFFFFFF"/>
      </top>
      <bottom style="hair">
        <color rgb="FF000000"/>
      </bottom>
    </border>
    <border>
      <left style="hair">
        <color rgb="FF000000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thin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right" readingOrder="0" shrinkToFit="0" vertical="bottom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right" readingOrder="0" shrinkToFit="0" vertical="center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readingOrder="0" shrinkToFit="0" vertical="top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3" fontId="1" numFmtId="0" xfId="0" applyAlignment="1" applyBorder="1" applyFill="1" applyFont="1">
      <alignment shrinkToFit="0" wrapText="1"/>
    </xf>
    <xf borderId="1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bottom" wrapText="1"/>
    </xf>
    <xf borderId="32" fillId="0" fontId="1" numFmtId="0" xfId="0" applyAlignment="1" applyBorder="1" applyFont="1">
      <alignment shrinkToFit="0" wrapText="1"/>
    </xf>
    <xf borderId="33" fillId="3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readingOrder="0" shrinkToFit="0" vertical="bottom" wrapText="1"/>
    </xf>
    <xf borderId="34" fillId="2" fontId="1" numFmtId="0" xfId="0" applyAlignment="1" applyBorder="1" applyFont="1">
      <alignment horizontal="center" shrinkToFit="0" vertical="bottom" wrapText="1"/>
    </xf>
    <xf borderId="35" fillId="3" fontId="5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0" xfId="0" applyAlignment="1" applyBorder="1" applyFont="1">
      <alignment shrinkToFit="0" wrapText="1"/>
    </xf>
    <xf borderId="38" fillId="0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3" fillId="2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9" fillId="0" fontId="6" numFmtId="0" xfId="0" applyAlignment="1" applyBorder="1" applyFont="1">
      <alignment horizontal="center" shrinkToFit="0" vertical="bottom" wrapText="1"/>
    </xf>
    <xf borderId="39" fillId="0" fontId="6" numFmtId="0" xfId="0" applyAlignment="1" applyBorder="1" applyFont="1">
      <alignment horizontal="center" readingOrder="0" shrinkToFit="0" vertical="bottom" wrapText="1"/>
    </xf>
    <xf borderId="39" fillId="0" fontId="4" numFmtId="0" xfId="0" applyAlignment="1" applyBorder="1" applyFont="1">
      <alignment horizontal="center" readingOrder="0" shrinkToFit="0" vertical="bottom" wrapText="1"/>
    </xf>
    <xf borderId="39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0" fillId="0" fontId="4" numFmtId="0" xfId="0" applyAlignment="1" applyBorder="1" applyFont="1">
      <alignment horizontal="center" readingOrder="0" shrinkToFit="0" vertical="bottom" wrapText="1"/>
    </xf>
    <xf borderId="41" fillId="0" fontId="1" numFmtId="0" xfId="0" applyAlignment="1" applyBorder="1" applyFont="1">
      <alignment shrinkToFit="0" wrapText="1"/>
    </xf>
    <xf borderId="41" fillId="0" fontId="1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center" wrapText="1"/>
    </xf>
    <xf borderId="42" fillId="0" fontId="1" numFmtId="0" xfId="0" applyAlignment="1" applyBorder="1" applyFont="1">
      <alignment shrinkToFit="0" wrapText="1"/>
    </xf>
    <xf borderId="43" fillId="0" fontId="7" numFmtId="0" xfId="0" applyAlignment="1" applyBorder="1" applyFont="1">
      <alignment horizontal="center" readingOrder="0" shrinkToFit="0" vertical="center" wrapText="1"/>
    </xf>
    <xf quotePrefix="1" borderId="43" fillId="0" fontId="7" numFmtId="0" xfId="0" applyAlignment="1" applyBorder="1" applyFont="1">
      <alignment horizontal="center" readingOrder="0" shrinkToFit="0" vertical="center" wrapText="1"/>
    </xf>
    <xf quotePrefix="1" borderId="44" fillId="0" fontId="7" numFmtId="0" xfId="0" applyAlignment="1" applyBorder="1" applyFont="1">
      <alignment horizontal="center" readingOrder="0" shrinkToFit="0" vertical="center" wrapText="1"/>
    </xf>
    <xf borderId="45" fillId="2" fontId="1" numFmtId="0" xfId="0" applyAlignment="1" applyBorder="1" applyFont="1">
      <alignment readingOrder="0" shrinkToFit="0" wrapText="1"/>
    </xf>
    <xf borderId="46" fillId="0" fontId="1" numFmtId="0" xfId="0" applyAlignment="1" applyBorder="1" applyFont="1">
      <alignment shrinkToFit="0" wrapText="1"/>
    </xf>
    <xf borderId="47" fillId="0" fontId="1" numFmtId="0" xfId="0" applyAlignment="1" applyBorder="1" applyFont="1">
      <alignment shrinkToFit="0" wrapText="1"/>
    </xf>
    <xf borderId="48" fillId="2" fontId="1" numFmtId="0" xfId="0" applyAlignment="1" applyBorder="1" applyFont="1">
      <alignment readingOrder="0" shrinkToFit="0" wrapText="1"/>
    </xf>
    <xf borderId="49" fillId="0" fontId="1" numFmtId="0" xfId="0" applyAlignment="1" applyBorder="1" applyFont="1">
      <alignment shrinkToFit="0" wrapText="1"/>
    </xf>
    <xf borderId="50" fillId="0" fontId="1" numFmtId="0" xfId="0" applyAlignment="1" applyBorder="1" applyFont="1">
      <alignment shrinkToFit="0" wrapText="1"/>
    </xf>
    <xf borderId="51" fillId="0" fontId="1" numFmtId="0" xfId="0" applyAlignment="1" applyBorder="1" applyFont="1">
      <alignment shrinkToFit="0" wrapText="1"/>
    </xf>
    <xf borderId="10" fillId="0" fontId="8" numFmtId="0" xfId="0" applyAlignment="1" applyBorder="1" applyFont="1">
      <alignment horizontal="right" readingOrder="0" shrinkToFit="0" vertical="bottom" wrapText="1"/>
    </xf>
    <xf borderId="52" fillId="0" fontId="1" numFmtId="0" xfId="0" applyAlignment="1" applyBorder="1" applyFont="1">
      <alignment shrinkToFit="0" wrapText="1"/>
    </xf>
    <xf borderId="42" fillId="0" fontId="8" numFmtId="0" xfId="0" applyAlignment="1" applyBorder="1" applyFont="1">
      <alignment horizontal="center" shrinkToFit="0" vertical="bottom" wrapText="1"/>
    </xf>
    <xf borderId="53" fillId="0" fontId="6" numFmtId="0" xfId="0" applyAlignment="1" applyBorder="1" applyFont="1">
      <alignment horizontal="center" shrinkToFit="0" vertical="bottom" wrapText="1"/>
    </xf>
    <xf borderId="54" fillId="0" fontId="6" numFmtId="0" xfId="0" applyAlignment="1" applyBorder="1" applyFont="1">
      <alignment horizontal="center" shrinkToFit="0" vertical="bottom" wrapText="1"/>
    </xf>
    <xf borderId="53" fillId="0" fontId="6" numFmtId="0" xfId="0" applyAlignment="1" applyBorder="1" applyFont="1">
      <alignment horizontal="center" readingOrder="0" shrinkToFit="0" vertical="bottom" wrapText="1"/>
    </xf>
    <xf borderId="54" fillId="0" fontId="4" numFmtId="0" xfId="0" applyAlignment="1" applyBorder="1" applyFont="1">
      <alignment horizontal="center" readingOrder="0" shrinkToFit="0" vertical="bottom" wrapText="1"/>
    </xf>
    <xf borderId="48" fillId="2" fontId="1" numFmtId="0" xfId="0" applyAlignment="1" applyBorder="1" applyFont="1">
      <alignment shrinkToFit="0" wrapText="1"/>
    </xf>
    <xf borderId="53" fillId="0" fontId="4" numFmtId="0" xfId="0" applyAlignment="1" applyBorder="1" applyFont="1">
      <alignment horizontal="center" readingOrder="0" shrinkToFit="0" vertical="bottom" wrapText="1"/>
    </xf>
    <xf borderId="45" fillId="2" fontId="8" numFmtId="0" xfId="0" applyAlignment="1" applyBorder="1" applyFont="1">
      <alignment horizontal="right" readingOrder="0" shrinkToFit="0" vertical="bottom" wrapText="1"/>
    </xf>
    <xf borderId="48" fillId="2" fontId="8" numFmtId="0" xfId="0" applyAlignment="1" applyBorder="1" applyFont="1">
      <alignment horizontal="right" readingOrder="0" shrinkToFit="0" vertical="bottom" wrapText="1"/>
    </xf>
    <xf borderId="55" fillId="0" fontId="1" numFmtId="0" xfId="0" applyAlignment="1" applyBorder="1" applyFont="1">
      <alignment shrinkToFit="0" wrapText="1"/>
    </xf>
    <xf borderId="48" fillId="2" fontId="8" numFmtId="0" xfId="0" applyAlignment="1" applyBorder="1" applyFont="1">
      <alignment horizontal="right" shrinkToFit="0" vertical="bottom" wrapText="1"/>
    </xf>
    <xf borderId="56" fillId="0" fontId="8" numFmtId="0" xfId="0" applyAlignment="1" applyBorder="1" applyFont="1">
      <alignment horizontal="right" readingOrder="0" shrinkToFit="0" vertical="bottom" wrapText="1"/>
    </xf>
    <xf borderId="57" fillId="0" fontId="1" numFmtId="0" xfId="0" applyAlignment="1" applyBorder="1" applyFont="1">
      <alignment shrinkToFit="0" wrapText="1"/>
    </xf>
    <xf borderId="48" fillId="2" fontId="1" numFmtId="0" xfId="0" applyAlignment="1" applyBorder="1" applyFont="1">
      <alignment readingOrder="0" shrinkToFit="0" wrapText="1"/>
    </xf>
    <xf borderId="56" fillId="0" fontId="8" numFmtId="0" xfId="0" applyAlignment="1" applyBorder="1" applyFont="1">
      <alignment horizontal="right" readingOrder="0" shrinkToFit="0" vertical="bottom" wrapText="1"/>
    </xf>
    <xf borderId="53" fillId="0" fontId="6" numFmtId="0" xfId="0" applyAlignment="1" applyBorder="1" applyFont="1">
      <alignment horizontal="center" readingOrder="0" shrinkToFit="0" vertical="bottom" wrapText="1"/>
    </xf>
    <xf borderId="45" fillId="2" fontId="8" numFmtId="0" xfId="0" applyAlignment="1" applyBorder="1" applyFont="1">
      <alignment horizontal="right" shrinkToFit="0" vertical="bottom" wrapText="1"/>
    </xf>
    <xf borderId="58" fillId="0" fontId="1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59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horizontal="left" readingOrder="0" shrinkToFit="0" vertical="bottom" wrapText="1"/>
    </xf>
    <xf borderId="60" fillId="0" fontId="1" numFmtId="0" xfId="0" applyAlignment="1" applyBorder="1" applyFont="1">
      <alignment shrinkToFit="0" wrapText="1"/>
    </xf>
    <xf borderId="6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62" fillId="2" fontId="1" numFmtId="0" xfId="0" applyAlignment="1" applyBorder="1" applyFont="1">
      <alignment horizontal="center" readingOrder="0" shrinkToFit="0" vertical="bottom" wrapText="1"/>
    </xf>
    <xf borderId="63" fillId="0" fontId="1" numFmtId="0" xfId="0" applyAlignment="1" applyBorder="1" applyFont="1">
      <alignment horizontal="right" readingOrder="0" shrinkToFit="0" vertical="bottom" wrapText="1"/>
    </xf>
    <xf borderId="64" fillId="0" fontId="1" numFmtId="0" xfId="0" applyAlignment="1" applyBorder="1" applyFont="1">
      <alignment shrinkToFit="0" wrapText="1"/>
    </xf>
    <xf borderId="65" fillId="0" fontId="1" numFmtId="0" xfId="0" applyAlignment="1" applyBorder="1" applyFont="1">
      <alignment shrinkToFit="0" wrapText="1"/>
    </xf>
    <xf borderId="66" fillId="2" fontId="1" numFmtId="0" xfId="0" applyAlignment="1" applyBorder="1" applyFont="1">
      <alignment horizontal="center" readingOrder="0" shrinkToFit="0" vertical="bottom" wrapText="1"/>
    </xf>
    <xf borderId="67" fillId="0" fontId="1" numFmtId="0" xfId="0" applyAlignment="1" applyBorder="1" applyFont="1">
      <alignment shrinkToFit="0" wrapText="1"/>
    </xf>
    <xf borderId="68" fillId="0" fontId="1" numFmtId="0" xfId="0" applyAlignment="1" applyBorder="1" applyFont="1">
      <alignment shrinkToFit="0" wrapText="1"/>
    </xf>
    <xf borderId="69" fillId="0" fontId="1" numFmtId="0" xfId="0" applyAlignment="1" applyBorder="1" applyFont="1">
      <alignment horizontal="center" readingOrder="0" shrinkToFit="0" vertical="bottom" wrapText="1"/>
    </xf>
    <xf borderId="70" fillId="0" fontId="1" numFmtId="0" xfId="0" applyAlignment="1" applyBorder="1" applyFont="1">
      <alignment shrinkToFit="0" wrapText="1"/>
    </xf>
    <xf borderId="71" fillId="0" fontId="1" numFmtId="0" xfId="0" applyAlignment="1" applyBorder="1" applyFont="1">
      <alignment horizontal="right" readingOrder="0" shrinkToFit="0" vertical="bottom" wrapText="1"/>
    </xf>
    <xf quotePrefix="1" borderId="71" fillId="0" fontId="7" numFmtId="0" xfId="0" applyAlignment="1" applyBorder="1" applyFont="1">
      <alignment horizontal="center" readingOrder="0" shrinkToFit="0" vertical="center" wrapText="1"/>
    </xf>
    <xf borderId="72" fillId="0" fontId="1" numFmtId="0" xfId="0" applyAlignment="1" applyBorder="1" applyFont="1">
      <alignment shrinkToFit="0" wrapText="1"/>
    </xf>
    <xf borderId="73" fillId="0" fontId="1" numFmtId="0" xfId="0" applyAlignment="1" applyBorder="1" applyFont="1">
      <alignment horizontal="right" readingOrder="0" shrinkToFit="0" vertical="center" wrapText="1"/>
    </xf>
    <xf borderId="74" fillId="0" fontId="1" numFmtId="0" xfId="0" applyAlignment="1" applyBorder="1" applyFont="1">
      <alignment shrinkToFit="0" wrapText="1"/>
    </xf>
    <xf borderId="75" fillId="0" fontId="1" numFmtId="0" xfId="0" applyAlignment="1" applyBorder="1" applyFont="1">
      <alignment shrinkToFit="0" wrapText="1"/>
    </xf>
    <xf borderId="71" fillId="0" fontId="1" numFmtId="0" xfId="0" applyAlignment="1" applyBorder="1" applyFont="1">
      <alignment horizontal="center" readingOrder="0" shrinkToFit="0" vertical="bottom" wrapText="1"/>
    </xf>
    <xf borderId="76" fillId="0" fontId="1" numFmtId="0" xfId="0" applyAlignment="1" applyBorder="1" applyFont="1">
      <alignment shrinkToFit="0" wrapText="1"/>
    </xf>
    <xf borderId="77" fillId="0" fontId="1" numFmtId="0" xfId="0" applyAlignment="1" applyBorder="1" applyFont="1">
      <alignment shrinkToFit="0" wrapText="1"/>
    </xf>
    <xf borderId="78" fillId="0" fontId="1" numFmtId="0" xfId="0" applyAlignment="1" applyBorder="1" applyFont="1">
      <alignment shrinkToFit="0" wrapText="1"/>
    </xf>
    <xf borderId="79" fillId="0" fontId="1" numFmtId="0" xfId="0" applyAlignment="1" applyBorder="1" applyFont="1">
      <alignment shrinkToFit="0" wrapText="1"/>
    </xf>
    <xf borderId="73" fillId="2" fontId="8" numFmtId="0" xfId="0" applyAlignment="1" applyBorder="1" applyFont="1">
      <alignment horizontal="center" readingOrder="0" shrinkToFit="0" vertical="center" wrapText="1"/>
    </xf>
    <xf borderId="80" fillId="0" fontId="1" numFmtId="0" xfId="0" applyAlignment="1" applyBorder="1" applyFont="1">
      <alignment shrinkToFit="0" wrapText="1"/>
    </xf>
    <xf borderId="81" fillId="0" fontId="1" numFmtId="0" xfId="0" applyAlignment="1" applyBorder="1" applyFont="1">
      <alignment shrinkToFit="0" wrapText="1"/>
    </xf>
    <xf borderId="76" fillId="0" fontId="1" numFmtId="0" xfId="0" applyAlignment="1" applyBorder="1" applyFont="1">
      <alignment horizontal="right" readingOrder="0" shrinkToFit="0" vertical="bottom" wrapText="1"/>
    </xf>
    <xf borderId="75" fillId="2" fontId="1" numFmtId="0" xfId="0" applyAlignment="1" applyBorder="1" applyFont="1">
      <alignment readingOrder="0" shrinkToFit="0" wrapText="1"/>
    </xf>
    <xf borderId="82" fillId="0" fontId="1" numFmtId="0" xfId="0" applyAlignment="1" applyBorder="1" applyFont="1">
      <alignment shrinkToFit="0" wrapText="1"/>
    </xf>
    <xf borderId="83" fillId="0" fontId="1" numFmtId="0" xfId="0" applyAlignment="1" applyBorder="1" applyFont="1">
      <alignment shrinkToFit="0" wrapText="1"/>
    </xf>
    <xf borderId="75" fillId="2" fontId="1" numFmtId="0" xfId="0" applyAlignment="1" applyBorder="1" applyFont="1">
      <alignment readingOrder="0" shrinkToFit="0" wrapText="1"/>
    </xf>
    <xf borderId="66" fillId="2" fontId="1" numFmtId="0" xfId="0" applyAlignment="1" applyBorder="1" applyFont="1">
      <alignment horizontal="center" shrinkToFit="0" vertical="bottom" wrapText="1"/>
    </xf>
    <xf borderId="84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21" fillId="2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shrinkToFit="0" wrapText="1"/>
    </xf>
    <xf borderId="85" fillId="2" fontId="1" numFmtId="0" xfId="0" applyAlignment="1" applyBorder="1" applyFont="1">
      <alignment readingOrder="0" shrinkToFit="0" wrapText="1"/>
    </xf>
    <xf borderId="86" fillId="0" fontId="1" numFmtId="0" xfId="0" applyAlignment="1" applyBorder="1" applyFont="1">
      <alignment shrinkToFit="0" wrapText="1"/>
    </xf>
    <xf borderId="87" fillId="0" fontId="1" numFmtId="0" xfId="0" applyAlignment="1" applyBorder="1" applyFont="1">
      <alignment shrinkToFit="0" wrapText="1"/>
    </xf>
    <xf borderId="88" fillId="2" fontId="1" numFmtId="0" xfId="0" applyAlignment="1" applyBorder="1" applyFont="1">
      <alignment readingOrder="0" shrinkToFit="0" wrapText="1"/>
    </xf>
    <xf borderId="89" fillId="0" fontId="1" numFmtId="0" xfId="0" applyAlignment="1" applyBorder="1" applyFont="1">
      <alignment shrinkToFit="0" wrapText="1"/>
    </xf>
    <xf borderId="90" fillId="2" fontId="1" numFmtId="0" xfId="0" applyAlignment="1" applyBorder="1" applyFont="1">
      <alignment readingOrder="0" shrinkToFit="0" wrapText="1"/>
    </xf>
    <xf borderId="91" fillId="0" fontId="1" numFmtId="0" xfId="0" applyAlignment="1" applyBorder="1" applyFont="1">
      <alignment shrinkToFit="0" wrapText="1"/>
    </xf>
    <xf borderId="92" fillId="0" fontId="1" numFmtId="0" xfId="0" applyAlignment="1" applyBorder="1" applyFont="1">
      <alignment shrinkToFit="0" wrapText="1"/>
    </xf>
    <xf quotePrefix="1" borderId="93" fillId="2" fontId="1" numFmtId="0" xfId="0" applyAlignment="1" applyBorder="1" applyFont="1">
      <alignment readingOrder="0" shrinkToFit="0" wrapText="1"/>
    </xf>
    <xf borderId="94" fillId="0" fontId="1" numFmtId="0" xfId="0" applyAlignment="1" applyBorder="1" applyFont="1">
      <alignment shrinkToFit="0" wrapText="1"/>
    </xf>
    <xf borderId="93" fillId="2" fontId="1" numFmtId="0" xfId="0" applyAlignment="1" applyBorder="1" applyFont="1">
      <alignment readingOrder="0" shrinkToFit="0" wrapText="1"/>
    </xf>
    <xf borderId="93" fillId="2" fontId="1" numFmtId="0" xfId="0" applyAlignment="1" applyBorder="1" applyFont="1">
      <alignment readingOrder="0" shrinkToFit="0" wrapText="1"/>
    </xf>
    <xf borderId="93" fillId="2" fontId="1" numFmtId="0" xfId="0" applyAlignment="1" applyBorder="1" applyFont="1">
      <alignment shrinkToFit="0" wrapText="1"/>
    </xf>
    <xf borderId="62" fillId="2" fontId="1" numFmtId="0" xfId="0" applyAlignment="1" applyBorder="1" applyFont="1">
      <alignment horizontal="center" shrinkToFit="0" vertical="bottom" wrapText="1"/>
    </xf>
    <xf borderId="90" fillId="2" fontId="1" numFmtId="0" xfId="0" applyAlignment="1" applyBorder="1" applyFont="1">
      <alignment shrinkToFit="0" wrapText="1"/>
    </xf>
    <xf borderId="95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8" fillId="2" fontId="1" numFmtId="0" xfId="0" applyAlignment="1" applyBorder="1" applyFont="1">
      <alignment horizontal="left" readingOrder="0" shrinkToFit="0" vertical="bottom" wrapText="1"/>
    </xf>
    <xf borderId="96" fillId="0" fontId="1" numFmtId="0" xfId="0" applyAlignment="1" applyBorder="1" applyFont="1">
      <alignment shrinkToFit="0" wrapText="1"/>
    </xf>
    <xf borderId="97" fillId="0" fontId="1" numFmtId="0" xfId="0" applyAlignment="1" applyBorder="1" applyFont="1">
      <alignment shrinkToFit="0" wrapText="1"/>
    </xf>
    <xf borderId="96" fillId="0" fontId="1" numFmtId="0" xfId="0" applyAlignment="1" applyBorder="1" applyFont="1">
      <alignment horizontal="center" shrinkToFit="0" vertical="bottom" wrapText="1"/>
    </xf>
    <xf borderId="62" fillId="2" fontId="1" numFmtId="0" xfId="0" applyAlignment="1" applyBorder="1" applyFont="1">
      <alignment readingOrder="0" shrinkToFit="0" wrapText="1"/>
    </xf>
    <xf borderId="98" fillId="0" fontId="1" numFmtId="0" xfId="0" applyAlignment="1" applyBorder="1" applyFont="1">
      <alignment shrinkToFit="0" wrapText="1"/>
    </xf>
    <xf borderId="98" fillId="0" fontId="1" numFmtId="0" xfId="0" applyAlignment="1" applyBorder="1" applyFont="1">
      <alignment horizontal="center" shrinkToFit="0" vertical="bottom" wrapText="1"/>
    </xf>
    <xf borderId="99" fillId="0" fontId="1" numFmtId="0" xfId="0" applyAlignment="1" applyBorder="1" applyFont="1">
      <alignment shrinkToFit="0" wrapText="1"/>
    </xf>
    <xf borderId="62" fillId="2" fontId="1" numFmtId="0" xfId="0" applyAlignment="1" applyBorder="1" applyFont="1">
      <alignment shrinkToFit="0" wrapText="1"/>
    </xf>
    <xf borderId="100" fillId="0" fontId="9" numFmtId="0" xfId="0" applyAlignment="1" applyBorder="1" applyFont="1">
      <alignment horizontal="center" readingOrder="0" shrinkToFit="0" vertical="center" wrapText="1"/>
    </xf>
    <xf borderId="101" fillId="0" fontId="1" numFmtId="0" xfId="0" applyAlignment="1" applyBorder="1" applyFont="1">
      <alignment shrinkToFit="0" wrapText="1"/>
    </xf>
    <xf borderId="102" fillId="0" fontId="1" numFmtId="0" xfId="0" applyAlignment="1" applyBorder="1" applyFont="1">
      <alignment shrinkToFit="0" wrapText="1"/>
    </xf>
    <xf borderId="103" fillId="0" fontId="1" numFmtId="0" xfId="0" applyAlignment="1" applyBorder="1" applyFont="1">
      <alignment horizontal="right" readingOrder="0" shrinkToFit="0" vertical="bottom" wrapText="1"/>
    </xf>
    <xf borderId="104" fillId="0" fontId="1" numFmtId="0" xfId="0" applyAlignment="1" applyBorder="1" applyFont="1">
      <alignment shrinkToFit="0" wrapText="1"/>
    </xf>
    <xf borderId="103" fillId="0" fontId="1" numFmtId="0" xfId="0" applyAlignment="1" applyBorder="1" applyFont="1">
      <alignment horizontal="center" shrinkToFit="0" vertical="bottom" wrapText="1"/>
    </xf>
    <xf borderId="105" fillId="0" fontId="1" numFmtId="0" xfId="0" applyAlignment="1" applyBorder="1" applyFont="1">
      <alignment shrinkToFit="0" wrapText="1"/>
    </xf>
    <xf borderId="106" fillId="0" fontId="1" numFmtId="0" xfId="0" applyAlignment="1" applyBorder="1" applyFont="1">
      <alignment shrinkToFit="0" wrapText="1"/>
    </xf>
    <xf borderId="107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shrinkToFit="0" wrapText="1"/>
    </xf>
    <xf borderId="109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horizontal="right" readingOrder="0" shrinkToFit="0" vertical="bottom" wrapText="1"/>
    </xf>
    <xf borderId="111" fillId="0" fontId="1" numFmtId="0" xfId="0" applyAlignment="1" applyBorder="1" applyFont="1">
      <alignment shrinkToFit="0" wrapText="1"/>
    </xf>
    <xf borderId="112" fillId="2" fontId="1" numFmtId="0" xfId="0" applyAlignment="1" applyBorder="1" applyFont="1">
      <alignment horizontal="center" shrinkToFit="0" vertical="bottom" wrapText="1"/>
    </xf>
    <xf borderId="113" fillId="0" fontId="1" numFmtId="0" xfId="0" applyAlignment="1" applyBorder="1" applyFont="1">
      <alignment shrinkToFit="0" wrapText="1"/>
    </xf>
    <xf borderId="106" fillId="0" fontId="1" numFmtId="0" xfId="0" applyAlignment="1" applyBorder="1" applyFont="1">
      <alignment horizontal="center" shrinkToFit="0" vertical="bottom" wrapText="1"/>
    </xf>
    <xf borderId="114" fillId="0" fontId="1" numFmtId="0" xfId="0" applyAlignment="1" applyBorder="1" applyFont="1">
      <alignment shrinkToFit="0" wrapText="1"/>
    </xf>
    <xf borderId="115" fillId="0" fontId="1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readingOrder="0" shrinkToFit="0" vertical="bottom" wrapText="1"/>
    </xf>
    <xf borderId="13" fillId="2" fontId="1" numFmtId="0" xfId="0" applyAlignment="1" applyBorder="1" applyFont="1">
      <alignment horizontal="center" readingOrder="0" shrinkToFit="0" vertical="bottom" wrapText="1"/>
    </xf>
    <xf borderId="97" fillId="0" fontId="1" numFmtId="0" xfId="0" applyAlignment="1" applyBorder="1" applyFont="1">
      <alignment horizontal="center" shrinkToFit="0" vertical="bottom" wrapText="1"/>
    </xf>
    <xf borderId="116" fillId="0" fontId="1" numFmtId="0" xfId="0" applyAlignment="1" applyBorder="1" applyFont="1">
      <alignment horizontal="center" shrinkToFit="0" vertical="bottom" wrapText="1"/>
    </xf>
    <xf borderId="103" fillId="0" fontId="9" numFmtId="0" xfId="0" applyAlignment="1" applyBorder="1" applyFont="1">
      <alignment horizontal="center" readingOrder="0" shrinkToFit="0" vertical="bottom" wrapText="1"/>
    </xf>
    <xf borderId="117" fillId="0" fontId="1" numFmtId="0" xfId="0" applyAlignment="1" applyBorder="1" applyFont="1">
      <alignment shrinkToFit="0" wrapText="1"/>
    </xf>
    <xf borderId="118" fillId="2" fontId="1" numFmtId="0" xfId="0" applyAlignment="1" applyBorder="1" applyFont="1">
      <alignment readingOrder="0" shrinkToFit="0" wrapText="1"/>
    </xf>
    <xf borderId="119" fillId="0" fontId="1" numFmtId="0" xfId="0" applyAlignment="1" applyBorder="1" applyFont="1">
      <alignment shrinkToFit="0" wrapText="1"/>
    </xf>
    <xf borderId="120" fillId="0" fontId="1" numFmtId="0" xfId="0" applyAlignment="1" applyBorder="1" applyFont="1">
      <alignment shrinkToFit="0" wrapText="1"/>
    </xf>
    <xf borderId="112" fillId="2" fontId="1" numFmtId="0" xfId="0" applyAlignment="1" applyBorder="1" applyFont="1">
      <alignment shrinkToFit="0" wrapText="1"/>
    </xf>
    <xf borderId="121" fillId="2" fontId="1" numFmtId="0" xfId="0" applyAlignment="1" applyBorder="1" applyFont="1">
      <alignment shrinkToFit="0" wrapText="1"/>
    </xf>
    <xf borderId="122" fillId="0" fontId="1" numFmtId="0" xfId="0" applyAlignment="1" applyBorder="1" applyFont="1">
      <alignment shrinkToFit="0" wrapText="1"/>
    </xf>
    <xf borderId="123" fillId="0" fontId="1" numFmtId="0" xfId="0" applyAlignment="1" applyBorder="1" applyFont="1">
      <alignment shrinkToFit="0" wrapText="1"/>
    </xf>
    <xf borderId="124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horizontal="center" shrinkToFit="0" vertical="bottom" wrapText="1"/>
    </xf>
    <xf borderId="100" fillId="0" fontId="3" numFmtId="0" xfId="0" applyAlignment="1" applyBorder="1" applyFont="1">
      <alignment horizontal="center" readingOrder="0" shrinkToFit="0" vertical="center" wrapText="1"/>
    </xf>
    <xf borderId="100" fillId="0" fontId="5" numFmtId="0" xfId="0" applyAlignment="1" applyBorder="1" applyFont="1">
      <alignment horizontal="center" readingOrder="0" shrinkToFit="0" vertical="center" wrapText="1"/>
    </xf>
    <xf borderId="126" fillId="0" fontId="1" numFmtId="0" xfId="0" applyAlignment="1" applyBorder="1" applyFont="1">
      <alignment shrinkToFit="0" wrapText="1"/>
    </xf>
    <xf borderId="127" fillId="2" fontId="1" numFmtId="0" xfId="0" applyAlignment="1" applyBorder="1" applyFont="1">
      <alignment readingOrder="0" shrinkToFit="0" wrapText="1"/>
    </xf>
    <xf borderId="98" fillId="0" fontId="1" numFmtId="0" xfId="0" applyAlignment="1" applyBorder="1" applyFont="1">
      <alignment horizontal="center" readingOrder="0" shrinkToFit="0" vertical="bottom" wrapText="1"/>
    </xf>
    <xf borderId="98" fillId="0" fontId="5" numFmtId="0" xfId="0" applyAlignment="1" applyBorder="1" applyFont="1">
      <alignment horizontal="center" shrinkToFit="0" vertical="center" wrapText="1"/>
    </xf>
    <xf borderId="128" fillId="2" fontId="1" numFmtId="0" xfId="0" applyAlignment="1" applyBorder="1" applyFont="1">
      <alignment horizontal="center" shrinkToFit="0" vertical="bottom" wrapText="1"/>
    </xf>
    <xf borderId="118" fillId="0" fontId="1" numFmtId="0" xfId="0" applyAlignment="1" applyBorder="1" applyFont="1">
      <alignment horizontal="center" readingOrder="0" shrinkToFit="0" vertical="bottom" wrapText="1"/>
    </xf>
    <xf borderId="112" fillId="0" fontId="1" numFmtId="0" xfId="0" applyAlignment="1" applyBorder="1" applyFont="1">
      <alignment horizontal="center" readingOrder="0" shrinkToFit="0" vertical="bottom" wrapText="1"/>
    </xf>
    <xf borderId="103" fillId="0" fontId="1" numFmtId="0" xfId="0" applyAlignment="1" applyBorder="1" applyFont="1">
      <alignment shrinkToFit="0" wrapText="1"/>
    </xf>
    <xf borderId="121" fillId="2" fontId="1" numFmtId="0" xfId="0" applyAlignment="1" applyBorder="1" applyFont="1">
      <alignment readingOrder="0" shrinkToFit="0" wrapText="1"/>
    </xf>
    <xf borderId="118" fillId="2" fontId="1" numFmtId="0" xfId="0" applyAlignment="1" applyBorder="1" applyFont="1">
      <alignment shrinkToFit="0" wrapText="1"/>
    </xf>
    <xf borderId="121" fillId="2" fontId="1" numFmtId="0" xfId="0" applyAlignment="1" applyBorder="1" applyFont="1">
      <alignment readingOrder="0" shrinkToFit="0" wrapText="1"/>
    </xf>
    <xf borderId="62" fillId="2" fontId="1" numFmtId="0" xfId="0" applyAlignment="1" applyBorder="1" applyFont="1">
      <alignment horizontal="center" readingOrder="0" shrinkToFit="0" vertical="bottom" wrapText="1"/>
    </xf>
    <xf borderId="129" fillId="0" fontId="1" numFmtId="0" xfId="0" applyAlignment="1" applyBorder="1" applyFont="1">
      <alignment shrinkToFit="0" wrapText="1"/>
    </xf>
    <xf borderId="130" fillId="0" fontId="1" numFmtId="0" xfId="0" applyAlignment="1" applyBorder="1" applyFont="1">
      <alignment shrinkToFit="0" wrapText="1"/>
    </xf>
    <xf borderId="131" fillId="0" fontId="1" numFmtId="0" xfId="0" applyAlignment="1" applyBorder="1" applyFont="1">
      <alignment shrinkToFit="0" wrapText="1"/>
    </xf>
    <xf borderId="132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0" vertical="bottom" wrapText="1"/>
    </xf>
    <xf borderId="10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32" fillId="0" fontId="1" numFmtId="0" xfId="0" applyAlignment="1" applyBorder="1" applyFont="1">
      <alignment horizontal="center" shrinkToFit="0" vertical="bottom" wrapText="1"/>
    </xf>
    <xf borderId="103" fillId="0" fontId="1" numFmtId="0" xfId="0" applyAlignment="1" applyBorder="1" applyFont="1">
      <alignment horizontal="center" readingOrder="0" shrinkToFit="0" vertical="bottom" wrapText="1"/>
    </xf>
    <xf borderId="118" fillId="2" fontId="1" numFmtId="0" xfId="0" applyAlignment="1" applyBorder="1" applyFont="1">
      <alignment horizontal="center" readingOrder="0" shrinkToFit="0" vertical="bottom" wrapText="1"/>
    </xf>
    <xf borderId="103" fillId="0" fontId="10" numFmtId="0" xfId="0" applyAlignment="1" applyBorder="1" applyFont="1">
      <alignment readingOrder="0" shrinkToFit="0" wrapText="1"/>
    </xf>
    <xf borderId="103" fillId="0" fontId="1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 t="s">
        <v>2</v>
      </c>
      <c r="E5" s="14"/>
      <c r="F5" s="14"/>
      <c r="G5" s="14"/>
      <c r="H5" s="14"/>
      <c r="I5" s="14"/>
      <c r="J5" s="15"/>
      <c r="K5" s="10" t="s">
        <v>3</v>
      </c>
      <c r="L5" s="12"/>
      <c r="M5" s="13" t="s">
        <v>4</v>
      </c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6"/>
      <c r="E6" s="16"/>
      <c r="F6" s="16"/>
      <c r="G6" s="16"/>
      <c r="H6" s="17"/>
      <c r="I6" s="17"/>
      <c r="J6" s="16"/>
      <c r="K6" s="1"/>
      <c r="L6" s="1"/>
      <c r="M6" s="16"/>
      <c r="N6" s="16"/>
      <c r="O6" s="16"/>
      <c r="P6" s="16"/>
      <c r="Q6" s="16"/>
      <c r="R6" s="16"/>
      <c r="S6" s="16"/>
      <c r="T6" s="16"/>
    </row>
    <row r="7">
      <c r="A7" s="10" t="s">
        <v>5</v>
      </c>
      <c r="B7" s="12"/>
      <c r="C7" s="13" t="s">
        <v>6</v>
      </c>
      <c r="D7" s="14"/>
      <c r="E7" s="14"/>
      <c r="F7" s="14"/>
      <c r="G7" s="14"/>
      <c r="H7" s="15"/>
      <c r="I7" s="18" t="s">
        <v>7</v>
      </c>
      <c r="J7" s="19"/>
      <c r="K7" s="10" t="s">
        <v>8</v>
      </c>
      <c r="L7" s="12"/>
      <c r="M7" s="20"/>
      <c r="N7" s="14"/>
      <c r="O7" s="14"/>
      <c r="P7" s="14"/>
      <c r="Q7" s="14"/>
      <c r="R7" s="14"/>
      <c r="S7" s="14"/>
      <c r="T7" s="15"/>
    </row>
    <row r="8">
      <c r="A8" s="1"/>
      <c r="B8" s="1"/>
      <c r="C8" s="16"/>
      <c r="D8" s="16"/>
      <c r="E8" s="16"/>
      <c r="F8" s="16"/>
      <c r="G8" s="16"/>
      <c r="H8" s="17"/>
      <c r="I8" s="21"/>
      <c r="J8" s="16"/>
      <c r="K8" s="1"/>
      <c r="L8" s="1"/>
      <c r="M8" s="16"/>
      <c r="N8" s="16"/>
      <c r="O8" s="16"/>
      <c r="P8" s="16"/>
      <c r="Q8" s="16"/>
      <c r="R8" s="16"/>
      <c r="S8" s="16"/>
      <c r="T8" s="16"/>
    </row>
    <row r="9">
      <c r="A9" s="10" t="s">
        <v>9</v>
      </c>
      <c r="B9" s="12"/>
      <c r="C9" s="13" t="s">
        <v>10</v>
      </c>
      <c r="D9" s="14"/>
      <c r="E9" s="14"/>
      <c r="F9" s="14"/>
      <c r="G9" s="15"/>
      <c r="H9" s="10" t="s">
        <v>11</v>
      </c>
      <c r="I9" s="12"/>
      <c r="J9" s="13" t="s">
        <v>12</v>
      </c>
      <c r="K9" s="14"/>
      <c r="L9" s="14"/>
      <c r="M9" s="15"/>
      <c r="N9" s="10" t="s">
        <v>13</v>
      </c>
      <c r="O9" s="12"/>
      <c r="P9" s="13" t="s">
        <v>14</v>
      </c>
      <c r="Q9" s="14"/>
      <c r="R9" s="14"/>
      <c r="S9" s="14"/>
      <c r="T9" s="15"/>
    </row>
    <row r="10">
      <c r="A10" s="1"/>
      <c r="B10" s="1"/>
      <c r="C10" s="16"/>
      <c r="D10" s="16"/>
      <c r="E10" s="16"/>
      <c r="F10" s="16"/>
      <c r="G10" s="16"/>
      <c r="H10" s="21"/>
      <c r="I10" s="21"/>
      <c r="J10" s="16"/>
      <c r="K10" s="16"/>
      <c r="L10" s="16"/>
      <c r="M10" s="16"/>
      <c r="N10" s="1"/>
      <c r="O10" s="1"/>
      <c r="P10" s="16"/>
      <c r="Q10" s="16"/>
      <c r="R10" s="16"/>
      <c r="S10" s="16"/>
      <c r="T10" s="16"/>
    </row>
    <row r="11">
      <c r="A11" s="1"/>
      <c r="B11" s="1"/>
      <c r="C11" s="22"/>
      <c r="D11" s="22"/>
      <c r="E11" s="22"/>
      <c r="F11" s="22"/>
      <c r="G11" s="22"/>
      <c r="H11" s="23"/>
      <c r="I11" s="23"/>
      <c r="J11" s="22"/>
      <c r="K11" s="22"/>
      <c r="L11" s="22"/>
      <c r="M11" s="22"/>
      <c r="N11" s="22"/>
      <c r="O11" s="22"/>
      <c r="P11" s="22"/>
      <c r="Q11" s="22"/>
      <c r="R11" s="22"/>
      <c r="S11" s="1"/>
      <c r="T11" s="1"/>
    </row>
    <row r="12">
      <c r="A12" s="24" t="s">
        <v>15</v>
      </c>
      <c r="B12" s="25"/>
      <c r="C12" s="26" t="s">
        <v>16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  <c r="S12" s="29"/>
      <c r="T12" s="30"/>
    </row>
    <row r="13">
      <c r="A13" s="5"/>
      <c r="B13" s="31"/>
      <c r="C13" s="32"/>
      <c r="R13" s="31"/>
      <c r="S13" s="29"/>
      <c r="T13" s="30"/>
    </row>
    <row r="14">
      <c r="A14" s="5"/>
      <c r="B14" s="31"/>
      <c r="C14" s="32"/>
      <c r="R14" s="31"/>
      <c r="S14" s="29"/>
      <c r="T14" s="30"/>
    </row>
    <row r="15">
      <c r="A15" s="5"/>
      <c r="B15" s="31"/>
      <c r="C15" s="32"/>
      <c r="R15" s="31"/>
      <c r="S15" s="29"/>
      <c r="T15" s="30"/>
    </row>
    <row r="16">
      <c r="A16" s="5"/>
      <c r="B16" s="31"/>
      <c r="C16" s="32"/>
      <c r="R16" s="31"/>
      <c r="S16" s="29"/>
      <c r="T16" s="30"/>
    </row>
    <row r="17">
      <c r="A17" s="7"/>
      <c r="B17" s="33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6"/>
      <c r="S17" s="29"/>
      <c r="T17" s="30"/>
    </row>
    <row r="18">
      <c r="A18" s="37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8" t="s">
        <v>18</v>
      </c>
      <c r="B21" s="39"/>
      <c r="C21" s="38" t="s">
        <v>19</v>
      </c>
      <c r="D21" s="39"/>
      <c r="E21" s="38" t="s">
        <v>20</v>
      </c>
      <c r="F21" s="39"/>
      <c r="G21" s="38" t="s">
        <v>21</v>
      </c>
      <c r="H21" s="39"/>
      <c r="I21" s="38" t="s">
        <v>22</v>
      </c>
      <c r="J21" s="39"/>
      <c r="K21" s="38" t="s">
        <v>23</v>
      </c>
      <c r="L21" s="39"/>
      <c r="M21" s="38" t="s">
        <v>24</v>
      </c>
      <c r="N21" s="39"/>
      <c r="O21" s="38" t="s">
        <v>25</v>
      </c>
      <c r="P21" s="39"/>
      <c r="Q21" s="38" t="s">
        <v>26</v>
      </c>
      <c r="R21" s="39"/>
      <c r="S21" s="38" t="s">
        <v>27</v>
      </c>
      <c r="T21" s="39"/>
    </row>
    <row r="22">
      <c r="A22" s="40">
        <f>floor(WS/10,1)+B22</f>
        <v>3</v>
      </c>
      <c r="B22" s="41"/>
      <c r="C22" s="40">
        <f>floor(BS/10,1)+D22</f>
        <v>5</v>
      </c>
      <c r="D22" s="41"/>
      <c r="E22" s="40">
        <f>floor(ST/10,1)+F22</f>
        <v>3</v>
      </c>
      <c r="F22" s="41"/>
      <c r="G22" s="40">
        <f>floor(TUF/10,1)+H22</f>
        <v>4</v>
      </c>
      <c r="H22" s="41"/>
      <c r="I22" s="40">
        <f>floor(AG/10,1)+J22</f>
        <v>5</v>
      </c>
      <c r="J22" s="41"/>
      <c r="K22" s="40">
        <f>floor(INT/10,1)+L22</f>
        <v>10</v>
      </c>
      <c r="L22" s="42">
        <v>2.0</v>
      </c>
      <c r="M22" s="40">
        <f>floor(PER/10,1)+N22</f>
        <v>4</v>
      </c>
      <c r="N22" s="41"/>
      <c r="O22" s="40">
        <f>floor(WP/10,1)+P22</f>
        <v>6</v>
      </c>
      <c r="P22" s="41"/>
      <c r="Q22" s="40">
        <f>floor(FEL/10,1)+R22</f>
        <v>3</v>
      </c>
      <c r="R22" s="41"/>
      <c r="S22" s="40">
        <f>floor(INF/10,1)+T22</f>
        <v>5</v>
      </c>
      <c r="T22" s="43"/>
    </row>
    <row r="23">
      <c r="A23" s="44">
        <f>A25+B25+(istext(A26)*5)+(istext(B26)*5)+(istext(A27)*5)+(istext(B27)*5)</f>
        <v>33</v>
      </c>
      <c r="B23" s="45"/>
      <c r="C23" s="44">
        <f>C25+D25+(istext(C26)*5)+(istext(D26)*5)+(istext(C27)*5)+(istext(D27)*5)</f>
        <v>50</v>
      </c>
      <c r="D23" s="45"/>
      <c r="E23" s="44">
        <f>E25+F25+(istext(E26)*5)+(istext(F26)*5)+(istext(E27)*5)+(istext(F27)*5)</f>
        <v>33</v>
      </c>
      <c r="F23" s="45"/>
      <c r="G23" s="44">
        <f>G25+H25+(istext(G26)*5)+(istext(H26)*5)+(istext(G27)*5)+(istext(H27)*5)</f>
        <v>42</v>
      </c>
      <c r="H23" s="45"/>
      <c r="I23" s="44">
        <f>I25+J25+(istext(I26)*5)+(istext(J26)*5)+(istext(I27)*5)+(istext(J27)*5)</f>
        <v>51</v>
      </c>
      <c r="J23" s="45"/>
      <c r="K23" s="44">
        <f>K25+L25+(istext(K26)*5)+(istext(L26)*5)+(istext(K27)*5)+(istext(L27)*5)</f>
        <v>80</v>
      </c>
      <c r="L23" s="45"/>
      <c r="M23" s="44">
        <f>M25+N25+(istext(M26)*5)+(istext(N26)*5)+(istext(M27)*5)+(istext(N27)*5)</f>
        <v>49</v>
      </c>
      <c r="N23" s="45"/>
      <c r="O23" s="44">
        <f>O25+P25+(istext(O26)*5)+(istext(P26)*5)+(istext(O27)*5)+(istext(P27)*5)</f>
        <v>66</v>
      </c>
      <c r="P23" s="45"/>
      <c r="Q23" s="44">
        <f>Q25+R25+(istext(Q26)*5)+(istext(R26)*5)+(istext(Q27)*5)+(istext(R27)*5)</f>
        <v>37</v>
      </c>
      <c r="R23" s="45"/>
      <c r="S23" s="44">
        <f>S25+T25+(istext(S26)*5)+(istext(T26)*5)+(istext(S27)*5)+(istext(T27)*5)</f>
        <v>54</v>
      </c>
      <c r="T23" s="45"/>
    </row>
    <row r="24">
      <c r="A24" s="46"/>
      <c r="B24" s="47"/>
      <c r="C24" s="46"/>
      <c r="D24" s="47"/>
      <c r="E24" s="46"/>
      <c r="F24" s="47"/>
      <c r="G24" s="46"/>
      <c r="H24" s="47"/>
      <c r="I24" s="46"/>
      <c r="J24" s="47"/>
      <c r="K24" s="46"/>
      <c r="L24" s="47"/>
      <c r="M24" s="46"/>
      <c r="N24" s="47"/>
      <c r="O24" s="46"/>
      <c r="P24" s="47"/>
      <c r="Q24" s="46"/>
      <c r="R24" s="47"/>
      <c r="S24" s="46"/>
      <c r="T24" s="47"/>
    </row>
    <row r="25">
      <c r="A25" s="48">
        <v>23.0</v>
      </c>
      <c r="B25" s="48">
        <v>10.0</v>
      </c>
      <c r="C25" s="48">
        <v>35.0</v>
      </c>
      <c r="D25" s="49"/>
      <c r="E25" s="48">
        <v>28.0</v>
      </c>
      <c r="F25" s="49"/>
      <c r="G25" s="48">
        <v>32.0</v>
      </c>
      <c r="H25" s="41"/>
      <c r="I25" s="42">
        <v>51.0</v>
      </c>
      <c r="J25" s="49"/>
      <c r="K25" s="48">
        <v>60.0</v>
      </c>
      <c r="L25" s="49"/>
      <c r="M25" s="48">
        <v>39.0</v>
      </c>
      <c r="N25" s="49"/>
      <c r="O25" s="48">
        <v>46.0</v>
      </c>
      <c r="P25" s="49"/>
      <c r="Q25" s="48">
        <v>37.0</v>
      </c>
      <c r="R25" s="49"/>
      <c r="S25" s="50">
        <v>38.0</v>
      </c>
      <c r="T25" s="50">
        <v>16.0</v>
      </c>
    </row>
    <row r="26">
      <c r="A26" s="51"/>
      <c r="B26" s="51"/>
      <c r="C26" s="52" t="s">
        <v>28</v>
      </c>
      <c r="D26" s="52" t="s">
        <v>28</v>
      </c>
      <c r="E26" s="52" t="s">
        <v>28</v>
      </c>
      <c r="F26" s="51"/>
      <c r="G26" s="52" t="s">
        <v>28</v>
      </c>
      <c r="H26" s="53" t="s">
        <v>28</v>
      </c>
      <c r="I26" s="51"/>
      <c r="J26" s="51"/>
      <c r="K26" s="52" t="s">
        <v>28</v>
      </c>
      <c r="L26" s="52" t="s">
        <v>28</v>
      </c>
      <c r="M26" s="54" t="s">
        <v>28</v>
      </c>
      <c r="N26" s="54" t="s">
        <v>28</v>
      </c>
      <c r="O26" s="52" t="s">
        <v>28</v>
      </c>
      <c r="P26" s="52" t="s">
        <v>28</v>
      </c>
      <c r="Q26" s="51"/>
      <c r="R26" s="51"/>
      <c r="S26" s="51"/>
      <c r="T26" s="51"/>
    </row>
    <row r="27">
      <c r="A27" s="55"/>
      <c r="B27" s="55"/>
      <c r="C27" s="56" t="s">
        <v>28</v>
      </c>
      <c r="D27" s="55"/>
      <c r="E27" s="55"/>
      <c r="F27" s="55"/>
      <c r="G27" s="55"/>
      <c r="H27" s="55"/>
      <c r="I27" s="55"/>
      <c r="J27" s="55"/>
      <c r="K27" s="57" t="s">
        <v>28</v>
      </c>
      <c r="L27" s="57" t="s">
        <v>28</v>
      </c>
      <c r="M27" s="55"/>
      <c r="N27" s="55"/>
      <c r="O27" s="58" t="s">
        <v>28</v>
      </c>
      <c r="P27" s="58" t="s">
        <v>28</v>
      </c>
      <c r="Q27" s="55"/>
      <c r="R27" s="55"/>
      <c r="S27" s="55"/>
      <c r="T27" s="55"/>
    </row>
    <row r="28">
      <c r="A28" s="59"/>
      <c r="B28" s="59"/>
      <c r="C28" s="59"/>
      <c r="D28" s="59"/>
      <c r="E28" s="59"/>
      <c r="F28" s="59"/>
      <c r="G28" s="59"/>
      <c r="H28" s="60"/>
      <c r="I28" s="60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</row>
    <row r="29">
      <c r="A29" s="61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61" t="s">
        <v>30</v>
      </c>
      <c r="P29" s="3"/>
      <c r="Q29" s="3"/>
      <c r="R29" s="3"/>
      <c r="S29" s="3"/>
      <c r="T29" s="4"/>
    </row>
    <row r="30">
      <c r="A30" s="5"/>
      <c r="N30" s="6"/>
      <c r="O30" s="5"/>
      <c r="T30" s="6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8"/>
      <c r="S31" s="8"/>
      <c r="T31" s="9"/>
    </row>
    <row r="32">
      <c r="A32" s="21"/>
      <c r="B32" s="21"/>
      <c r="C32" s="62"/>
      <c r="D32" s="63" t="s">
        <v>31</v>
      </c>
      <c r="E32" s="64" t="s">
        <v>32</v>
      </c>
      <c r="F32" s="64" t="s">
        <v>33</v>
      </c>
      <c r="G32" s="65" t="s">
        <v>34</v>
      </c>
      <c r="H32" s="21"/>
      <c r="I32" s="21"/>
      <c r="J32" s="62"/>
      <c r="K32" s="63" t="s">
        <v>31</v>
      </c>
      <c r="L32" s="64" t="s">
        <v>32</v>
      </c>
      <c r="M32" s="64" t="s">
        <v>33</v>
      </c>
      <c r="N32" s="65" t="s">
        <v>34</v>
      </c>
      <c r="O32" s="66" t="s">
        <v>35</v>
      </c>
      <c r="P32" s="14"/>
      <c r="Q32" s="14"/>
      <c r="R32" s="14"/>
      <c r="S32" s="14"/>
      <c r="T32" s="14"/>
    </row>
    <row r="33">
      <c r="A33" s="21"/>
      <c r="B33" s="21"/>
      <c r="C33" s="62"/>
      <c r="D33" s="67"/>
      <c r="E33" s="67"/>
      <c r="F33" s="67"/>
      <c r="G33" s="68"/>
      <c r="H33" s="21"/>
      <c r="I33" s="21"/>
      <c r="J33" s="62"/>
      <c r="K33" s="67"/>
      <c r="L33" s="67"/>
      <c r="M33" s="67"/>
      <c r="N33" s="68"/>
      <c r="O33" s="69" t="s">
        <v>36</v>
      </c>
      <c r="P33" s="70"/>
      <c r="Q33" s="70"/>
      <c r="R33" s="70"/>
      <c r="S33" s="70"/>
      <c r="T33" s="70"/>
    </row>
    <row r="34">
      <c r="A34" s="21"/>
      <c r="B34" s="21"/>
      <c r="C34" s="62"/>
      <c r="D34" s="71"/>
      <c r="E34" s="71"/>
      <c r="F34" s="71"/>
      <c r="G34" s="72"/>
      <c r="H34" s="21"/>
      <c r="I34" s="21"/>
      <c r="J34" s="62"/>
      <c r="K34" s="71"/>
      <c r="L34" s="71"/>
      <c r="M34" s="71"/>
      <c r="N34" s="72"/>
      <c r="O34" s="69" t="s">
        <v>37</v>
      </c>
      <c r="P34" s="70"/>
      <c r="Q34" s="70"/>
      <c r="R34" s="70"/>
      <c r="S34" s="70"/>
      <c r="T34" s="70"/>
    </row>
    <row r="35">
      <c r="A35" s="73" t="s">
        <v>38</v>
      </c>
      <c r="B35" s="74"/>
      <c r="C35" s="75">
        <f>(AG-10)+(istext(D35)*10)+(istext(E35)*10)+(istext(F35)*10)+(istext(G35)*10)</f>
        <v>41</v>
      </c>
      <c r="D35" s="76"/>
      <c r="E35" s="76"/>
      <c r="F35" s="76"/>
      <c r="G35" s="77"/>
      <c r="H35" s="73" t="s">
        <v>39</v>
      </c>
      <c r="I35" s="74"/>
      <c r="J35" s="75">
        <f>(INT-10)+(istext(K35)*10)+(istext(L35)*10)+(istext(M35)*10)+(istext(N35)*10)</f>
        <v>110</v>
      </c>
      <c r="K35" s="78" t="s">
        <v>28</v>
      </c>
      <c r="L35" s="78" t="s">
        <v>28</v>
      </c>
      <c r="M35" s="78" t="s">
        <v>28</v>
      </c>
      <c r="N35" s="79" t="s">
        <v>28</v>
      </c>
      <c r="O35" s="80"/>
      <c r="P35" s="70"/>
      <c r="Q35" s="70"/>
      <c r="R35" s="70"/>
      <c r="S35" s="70"/>
      <c r="T35" s="70"/>
    </row>
    <row r="36">
      <c r="A36" s="73" t="s">
        <v>40</v>
      </c>
      <c r="B36" s="74"/>
      <c r="C36" s="75">
        <f>(ST-10)+(istext(D36)*10)+(istext(E36)*10)+(istext(F36)*10)+(istext(G36)*10)</f>
        <v>23</v>
      </c>
      <c r="D36" s="76"/>
      <c r="E36" s="76"/>
      <c r="F36" s="76"/>
      <c r="G36" s="77"/>
      <c r="H36" s="73" t="s">
        <v>41</v>
      </c>
      <c r="I36" s="74"/>
      <c r="J36" s="75">
        <f>(INT-10)+(istext(K36)*10)+(istext(L36)*10)+(istext(M36)*10)+(istext(N36)*10)</f>
        <v>70</v>
      </c>
      <c r="K36" s="76"/>
      <c r="L36" s="76"/>
      <c r="M36" s="76"/>
      <c r="N36" s="77"/>
      <c r="O36" s="69" t="s">
        <v>42</v>
      </c>
      <c r="P36" s="70"/>
      <c r="Q36" s="70"/>
      <c r="R36" s="70"/>
      <c r="S36" s="70"/>
      <c r="T36" s="70"/>
    </row>
    <row r="37">
      <c r="A37" s="73" t="s">
        <v>43</v>
      </c>
      <c r="B37" s="74"/>
      <c r="C37" s="75">
        <f>(PER-10)+(istext(D37)*10)+(istext(E37)*10)+(istext(F37)*10)+(istext(G37)*10)</f>
        <v>39</v>
      </c>
      <c r="D37" s="76"/>
      <c r="E37" s="76"/>
      <c r="F37" s="76"/>
      <c r="G37" s="77"/>
      <c r="H37" s="73" t="s">
        <v>44</v>
      </c>
      <c r="I37" s="74"/>
      <c r="J37" s="75">
        <f>(INT-10)+(istext(K37)*10)+(istext(L37)*10)+(istext(M37)*10)+(istext(N37)*10)</f>
        <v>70</v>
      </c>
      <c r="K37" s="76"/>
      <c r="L37" s="76"/>
      <c r="M37" s="76"/>
      <c r="N37" s="77"/>
      <c r="O37" s="69" t="s">
        <v>45</v>
      </c>
      <c r="P37" s="70"/>
      <c r="Q37" s="70"/>
      <c r="R37" s="70"/>
      <c r="S37" s="70"/>
      <c r="T37" s="70"/>
    </row>
    <row r="38">
      <c r="A38" s="73" t="s">
        <v>46</v>
      </c>
      <c r="B38" s="74"/>
      <c r="C38" s="75">
        <f>(FEL-10)+(istext(D38)*10)+(istext(E38)*10)+(istext(F38)*10)+(istext(G38)*10)</f>
        <v>27</v>
      </c>
      <c r="D38" s="76"/>
      <c r="E38" s="76"/>
      <c r="F38" s="76"/>
      <c r="G38" s="77"/>
      <c r="H38" s="73" t="s">
        <v>47</v>
      </c>
      <c r="I38" s="74"/>
      <c r="J38" s="75">
        <f>(INT-10)+(istext(K38)*10)+(istext(L38)*10)+(istext(M38)*10)+(istext(N38)*10)</f>
        <v>70</v>
      </c>
      <c r="K38" s="76"/>
      <c r="L38" s="76"/>
      <c r="M38" s="76"/>
      <c r="N38" s="77"/>
      <c r="O38" s="69" t="s">
        <v>48</v>
      </c>
      <c r="P38" s="70"/>
      <c r="Q38" s="70"/>
      <c r="R38" s="70"/>
      <c r="S38" s="70"/>
      <c r="T38" s="70"/>
    </row>
    <row r="39">
      <c r="A39" s="73" t="s">
        <v>49</v>
      </c>
      <c r="B39" s="74"/>
      <c r="C39" s="75">
        <f>(INT-10)+(istext(D39)*10)+(istext(E39)*10)+(istext(F39)*10)+(istext(G39)*10)</f>
        <v>100</v>
      </c>
      <c r="D39" s="81" t="s">
        <v>28</v>
      </c>
      <c r="E39" s="81" t="s">
        <v>28</v>
      </c>
      <c r="F39" s="81" t="s">
        <v>28</v>
      </c>
      <c r="G39" s="77"/>
      <c r="H39" s="73" t="s">
        <v>50</v>
      </c>
      <c r="I39" s="74"/>
      <c r="J39" s="75">
        <f>(AG-10)+(istext(K39)*10)+(istext(L39)*10)+(istext(M39)*10)+(istext(N39)*10)</f>
        <v>41</v>
      </c>
      <c r="K39" s="76"/>
      <c r="L39" s="76"/>
      <c r="M39" s="76"/>
      <c r="N39" s="77"/>
      <c r="O39" s="69" t="s">
        <v>51</v>
      </c>
      <c r="P39" s="70"/>
      <c r="Q39" s="70"/>
      <c r="R39" s="70"/>
      <c r="S39" s="70"/>
      <c r="T39" s="70"/>
    </row>
    <row r="40">
      <c r="A40" s="73" t="s">
        <v>52</v>
      </c>
      <c r="B40" s="74"/>
      <c r="C40" s="75"/>
      <c r="D40" s="76"/>
      <c r="E40" s="76"/>
      <c r="F40" s="76"/>
      <c r="G40" s="77"/>
      <c r="H40" s="73" t="s">
        <v>53</v>
      </c>
      <c r="I40" s="74"/>
      <c r="J40" s="75">
        <f>(AG-10)+(istext(K40)*10)+(istext(L40)*10)+(istext(M40)*10)+(istext(N40)*10)</f>
        <v>41</v>
      </c>
      <c r="K40" s="76"/>
      <c r="L40" s="76"/>
      <c r="M40" s="76"/>
      <c r="N40" s="77"/>
      <c r="O40" s="69" t="s">
        <v>54</v>
      </c>
      <c r="P40" s="70"/>
      <c r="Q40" s="70"/>
      <c r="R40" s="70"/>
      <c r="S40" s="70"/>
      <c r="T40" s="70"/>
    </row>
    <row r="41">
      <c r="A41" s="82" t="s">
        <v>55</v>
      </c>
      <c r="B41" s="15"/>
      <c r="C41" s="75"/>
      <c r="D41" s="78" t="s">
        <v>28</v>
      </c>
      <c r="E41" s="76"/>
      <c r="F41" s="76"/>
      <c r="G41" s="77"/>
      <c r="H41" s="73" t="s">
        <v>56</v>
      </c>
      <c r="I41" s="74"/>
      <c r="J41" s="75">
        <f>(INT-10)+(istext(K41)*10)+(istext(L41)*10)+(istext(M41)*10)+(istext(N41)*10)</f>
        <v>70</v>
      </c>
      <c r="K41" s="76"/>
      <c r="L41" s="76"/>
      <c r="M41" s="76"/>
      <c r="N41" s="77"/>
      <c r="O41" s="69" t="s">
        <v>57</v>
      </c>
      <c r="P41" s="70"/>
      <c r="Q41" s="70"/>
      <c r="R41" s="70"/>
      <c r="S41" s="70"/>
      <c r="T41" s="70"/>
    </row>
    <row r="42">
      <c r="A42" s="83" t="s">
        <v>58</v>
      </c>
      <c r="B42" s="84"/>
      <c r="C42" s="75"/>
      <c r="D42" s="78" t="s">
        <v>28</v>
      </c>
      <c r="E42" s="76"/>
      <c r="F42" s="76"/>
      <c r="G42" s="77"/>
      <c r="H42" s="73" t="s">
        <v>59</v>
      </c>
      <c r="I42" s="74"/>
      <c r="J42" s="75">
        <f>(WS-10)+(istext(K42)*10)+(istext(L42)*10)+(istext(M42)*10)+(istext(N42)*10)</f>
        <v>23</v>
      </c>
      <c r="K42" s="76"/>
      <c r="L42" s="76"/>
      <c r="M42" s="76"/>
      <c r="N42" s="77"/>
      <c r="O42" s="69" t="s">
        <v>60</v>
      </c>
      <c r="P42" s="70"/>
      <c r="Q42" s="70"/>
      <c r="R42" s="70"/>
      <c r="S42" s="70"/>
      <c r="T42" s="70"/>
    </row>
    <row r="43">
      <c r="A43" s="85"/>
      <c r="B43" s="84"/>
      <c r="C43" s="75"/>
      <c r="D43" s="76"/>
      <c r="E43" s="76"/>
      <c r="F43" s="76"/>
      <c r="G43" s="77"/>
      <c r="H43" s="73" t="s">
        <v>61</v>
      </c>
      <c r="I43" s="74"/>
      <c r="J43" s="75">
        <f>(PER-10)+(istext(K43)*10)+(istext(L43)*10)+(istext(M43)*10)+(istext(N43)*10)</f>
        <v>39</v>
      </c>
      <c r="K43" s="76"/>
      <c r="L43" s="76"/>
      <c r="M43" s="76"/>
      <c r="N43" s="77"/>
      <c r="O43" s="69" t="s">
        <v>62</v>
      </c>
      <c r="P43" s="70"/>
      <c r="Q43" s="70"/>
      <c r="R43" s="70"/>
      <c r="S43" s="70"/>
      <c r="T43" s="70"/>
    </row>
    <row r="44">
      <c r="A44" s="85"/>
      <c r="B44" s="84"/>
      <c r="C44" s="75"/>
      <c r="D44" s="76"/>
      <c r="E44" s="76"/>
      <c r="F44" s="76"/>
      <c r="G44" s="77"/>
      <c r="H44" s="73" t="s">
        <v>63</v>
      </c>
      <c r="I44" s="74"/>
      <c r="J44" s="75">
        <f>(INT-10)+(istext(K44)*10)+(istext(L44)*10)+(istext(M44)*10)+(istext(N44)*10)</f>
        <v>70</v>
      </c>
      <c r="K44" s="76"/>
      <c r="L44" s="76"/>
      <c r="M44" s="76"/>
      <c r="N44" s="77"/>
      <c r="O44" s="69" t="s">
        <v>64</v>
      </c>
      <c r="P44" s="70"/>
      <c r="Q44" s="70"/>
      <c r="R44" s="70"/>
      <c r="S44" s="70"/>
      <c r="T44" s="70"/>
    </row>
    <row r="45">
      <c r="A45" s="85"/>
      <c r="B45" s="84"/>
      <c r="C45" s="75"/>
      <c r="D45" s="76"/>
      <c r="E45" s="76"/>
      <c r="F45" s="76"/>
      <c r="G45" s="77"/>
      <c r="H45" s="82" t="s">
        <v>65</v>
      </c>
      <c r="I45" s="15"/>
      <c r="J45" s="75">
        <f>(INT-10)+(istext(K45)*10)+(istext(L45)*10)+(istext(M45)*10)+(istext(N45)*10)</f>
        <v>80</v>
      </c>
      <c r="K45" s="78" t="s">
        <v>28</v>
      </c>
      <c r="L45" s="76"/>
      <c r="M45" s="76"/>
      <c r="N45" s="77"/>
      <c r="O45" s="69" t="s">
        <v>66</v>
      </c>
      <c r="P45" s="70"/>
      <c r="Q45" s="70"/>
      <c r="R45" s="70"/>
      <c r="S45" s="70"/>
      <c r="T45" s="70"/>
    </row>
    <row r="46">
      <c r="A46" s="86" t="s">
        <v>67</v>
      </c>
      <c r="B46" s="87"/>
      <c r="C46" s="75">
        <f>(FEL-10)+(istext(D46)*10)+(istext(E46)*10)+(istext(F46)*10)+(istext(G46)*10)</f>
        <v>27</v>
      </c>
      <c r="D46" s="76"/>
      <c r="E46" s="76"/>
      <c r="F46" s="76"/>
      <c r="G46" s="77"/>
      <c r="H46" s="83" t="s">
        <v>68</v>
      </c>
      <c r="I46" s="84"/>
      <c r="J46" s="75">
        <f>(INT-10)+(istext(K46)*10)+(istext(L46)*10)+(istext(M46)*10)+(istext(N46)*10)</f>
        <v>80</v>
      </c>
      <c r="K46" s="78" t="s">
        <v>28</v>
      </c>
      <c r="L46" s="76"/>
      <c r="M46" s="76"/>
      <c r="N46" s="77"/>
      <c r="O46" s="69" t="s">
        <v>69</v>
      </c>
      <c r="P46" s="70"/>
      <c r="Q46" s="70"/>
      <c r="R46" s="70"/>
      <c r="S46" s="70"/>
      <c r="T46" s="70"/>
    </row>
    <row r="47">
      <c r="A47" s="73" t="s">
        <v>70</v>
      </c>
      <c r="B47" s="74"/>
      <c r="C47" s="75">
        <f>(AG-10)+(istext(D47)*10)+(istext(E47)*10)+(istext(F47)*10)+(istext(G47)*10)</f>
        <v>51</v>
      </c>
      <c r="D47" s="78" t="s">
        <v>28</v>
      </c>
      <c r="E47" s="76"/>
      <c r="F47" s="76"/>
      <c r="G47" s="77"/>
      <c r="H47" s="85"/>
      <c r="I47" s="84"/>
      <c r="J47" s="75">
        <f>(INT-10)+(istext(K47)*10)+(istext(L47)*10)+(istext(M47)*10)+(istext(N47)*10)</f>
        <v>70</v>
      </c>
      <c r="K47" s="76"/>
      <c r="L47" s="76"/>
      <c r="M47" s="76"/>
      <c r="N47" s="77"/>
      <c r="O47" s="80"/>
      <c r="P47" s="70"/>
      <c r="Q47" s="70"/>
      <c r="R47" s="70"/>
      <c r="S47" s="70"/>
      <c r="T47" s="70"/>
    </row>
    <row r="48">
      <c r="A48" s="73" t="s">
        <v>71</v>
      </c>
      <c r="B48" s="74"/>
      <c r="C48" s="75">
        <f>(INT-10)+(istext(D48)*10)+(istext(E48)*10)+(istext(F48)*10)+(istext(G48)*10)</f>
        <v>80</v>
      </c>
      <c r="D48" s="78" t="s">
        <v>28</v>
      </c>
      <c r="E48" s="76"/>
      <c r="F48" s="76"/>
      <c r="G48" s="77"/>
      <c r="H48" s="85"/>
      <c r="I48" s="84"/>
      <c r="J48" s="75">
        <f>(INT-10)+(istext(K48)*10)+(istext(L48)*10)+(istext(M48)*10)+(istext(N48)*10)</f>
        <v>70</v>
      </c>
      <c r="K48" s="76"/>
      <c r="L48" s="76"/>
      <c r="M48" s="76"/>
      <c r="N48" s="77"/>
      <c r="O48" s="80"/>
      <c r="P48" s="70"/>
      <c r="Q48" s="70"/>
      <c r="R48" s="70"/>
      <c r="S48" s="70"/>
      <c r="T48" s="70"/>
    </row>
    <row r="49">
      <c r="A49" s="82" t="s">
        <v>72</v>
      </c>
      <c r="B49" s="15"/>
      <c r="C49" s="75">
        <f>(INT-10)+(istext(D49)*10)+(istext(E49)*10)+(istext(F49)*10)+(istext(G49)*10)</f>
        <v>80</v>
      </c>
      <c r="D49" s="78" t="s">
        <v>28</v>
      </c>
      <c r="E49" s="76"/>
      <c r="F49" s="76"/>
      <c r="G49" s="77"/>
      <c r="H49" s="86" t="s">
        <v>73</v>
      </c>
      <c r="I49" s="87"/>
      <c r="J49" s="75">
        <f>(PER-10)+(istext(K49)*10)+(istext(L49)*10)+(istext(M49)*10)+(istext(N49)*10)</f>
        <v>79</v>
      </c>
      <c r="K49" s="78" t="s">
        <v>28</v>
      </c>
      <c r="L49" s="78" t="s">
        <v>28</v>
      </c>
      <c r="M49" s="81" t="s">
        <v>28</v>
      </c>
      <c r="N49" s="79" t="s">
        <v>28</v>
      </c>
      <c r="O49" s="80"/>
      <c r="P49" s="70"/>
      <c r="Q49" s="70"/>
      <c r="R49" s="70"/>
      <c r="S49" s="70"/>
      <c r="T49" s="70"/>
    </row>
    <row r="50">
      <c r="A50" s="83" t="s">
        <v>74</v>
      </c>
      <c r="B50" s="84"/>
      <c r="C50" s="75">
        <f>(INT-10)+(istext(D50)*10)+(istext(E50)*10)+(istext(F50)*10)+(istext(G50)*10)</f>
        <v>90</v>
      </c>
      <c r="D50" s="78" t="s">
        <v>28</v>
      </c>
      <c r="E50" s="78" t="s">
        <v>28</v>
      </c>
      <c r="F50" s="76"/>
      <c r="G50" s="77"/>
      <c r="H50" s="73" t="s">
        <v>75</v>
      </c>
      <c r="I50" s="74"/>
      <c r="J50" s="75">
        <f>(INT-10)+(istext(K50)*10)+(istext(L50)*10)+(istext(M50)*10)+(istext(N50)*10)</f>
        <v>90</v>
      </c>
      <c r="K50" s="81" t="s">
        <v>28</v>
      </c>
      <c r="L50" s="81" t="s">
        <v>28</v>
      </c>
      <c r="M50" s="76"/>
      <c r="N50" s="77"/>
      <c r="O50" s="80"/>
      <c r="P50" s="70"/>
      <c r="Q50" s="70"/>
      <c r="R50" s="70"/>
      <c r="S50" s="70"/>
      <c r="T50" s="70"/>
    </row>
    <row r="51">
      <c r="A51" s="83" t="s">
        <v>76</v>
      </c>
      <c r="B51" s="84"/>
      <c r="C51" s="75">
        <f>(INT-10)+(istext(D51)*10)+(istext(E51)*10)+(istext(F51)*10)+(istext(G51)*10)</f>
        <v>80</v>
      </c>
      <c r="D51" s="78" t="s">
        <v>28</v>
      </c>
      <c r="E51" s="76"/>
      <c r="F51" s="76"/>
      <c r="G51" s="77"/>
      <c r="H51" s="73" t="s">
        <v>77</v>
      </c>
      <c r="I51" s="74"/>
      <c r="J51" s="75">
        <f>(AG-10)+(istext(K51)*10)+(istext(L51)*10)+(istext(M51)*10)+(istext(N51)*10)</f>
        <v>41</v>
      </c>
      <c r="K51" s="76"/>
      <c r="L51" s="76"/>
      <c r="M51" s="76"/>
      <c r="N51" s="77"/>
      <c r="O51" s="80"/>
      <c r="P51" s="70"/>
      <c r="Q51" s="70"/>
      <c r="R51" s="70"/>
      <c r="S51" s="70"/>
      <c r="T51" s="70"/>
    </row>
    <row r="52">
      <c r="A52" s="83" t="s">
        <v>78</v>
      </c>
      <c r="B52" s="84"/>
      <c r="C52" s="75">
        <f>(INT-10)+(istext(D52)*10)+(istext(E52)*10)+(istext(F52)*10)+(istext(G52)*10)</f>
        <v>80</v>
      </c>
      <c r="D52" s="78" t="s">
        <v>28</v>
      </c>
      <c r="E52" s="76"/>
      <c r="F52" s="76"/>
      <c r="G52" s="77"/>
      <c r="H52" s="73" t="s">
        <v>79</v>
      </c>
      <c r="I52" s="74"/>
      <c r="J52" s="75">
        <f>(AG-10)+(istext(K52)*10)+(istext(L52)*10)+(istext(M52)*10)+(istext(N52)*10)+10</f>
        <v>51</v>
      </c>
      <c r="K52" s="76"/>
      <c r="L52" s="76"/>
      <c r="M52" s="76"/>
      <c r="N52" s="77"/>
      <c r="O52" s="88" t="s">
        <v>80</v>
      </c>
      <c r="P52" s="70"/>
      <c r="Q52" s="70"/>
      <c r="R52" s="70"/>
      <c r="S52" s="70"/>
      <c r="T52" s="70"/>
    </row>
    <row r="53">
      <c r="A53" s="89" t="s">
        <v>81</v>
      </c>
      <c r="B53" s="87"/>
      <c r="C53" s="75">
        <f>(INT-10)+(istext(D53)*10)+(istext(E53)*10)+(istext(F53)*10)+(istext(G53)*10)</f>
        <v>80</v>
      </c>
      <c r="D53" s="90" t="s">
        <v>28</v>
      </c>
      <c r="E53" s="76"/>
      <c r="F53" s="76"/>
      <c r="G53" s="77"/>
      <c r="H53" s="73" t="s">
        <v>82</v>
      </c>
      <c r="I53" s="74"/>
      <c r="J53" s="75">
        <f>(INT-10)+(istext(K53)*10)+(istext(L53)*10)+(istext(M53)*10)+(istext(N53)*10)</f>
        <v>110</v>
      </c>
      <c r="K53" s="78" t="s">
        <v>28</v>
      </c>
      <c r="L53" s="78" t="s">
        <v>28</v>
      </c>
      <c r="M53" s="78" t="s">
        <v>28</v>
      </c>
      <c r="N53" s="79" t="s">
        <v>28</v>
      </c>
      <c r="O53" s="80"/>
      <c r="P53" s="70"/>
      <c r="Q53" s="70"/>
      <c r="R53" s="70"/>
      <c r="S53" s="70"/>
      <c r="T53" s="70"/>
    </row>
    <row r="54">
      <c r="A54" s="73" t="s">
        <v>83</v>
      </c>
      <c r="B54" s="74"/>
      <c r="C54" s="75">
        <f>(WP-10)+(istext(D54)*10)+(istext(E54)*10)+(istext(F54)*10)+(istext(G54)*10)</f>
        <v>56</v>
      </c>
      <c r="D54" s="76"/>
      <c r="E54" s="76"/>
      <c r="F54" s="76"/>
      <c r="G54" s="77"/>
      <c r="H54" s="73" t="s">
        <v>84</v>
      </c>
      <c r="I54" s="74"/>
      <c r="J54" s="75">
        <f>(INT-10)+(istext(K54)*10)+(istext(L54)*10)+(istext(M54)*10)+(istext(N54)*10)</f>
        <v>70</v>
      </c>
      <c r="K54" s="76"/>
      <c r="L54" s="76"/>
      <c r="M54" s="76"/>
      <c r="N54" s="77"/>
      <c r="O54" s="69" t="s">
        <v>85</v>
      </c>
      <c r="P54" s="70"/>
      <c r="Q54" s="70"/>
      <c r="R54" s="70"/>
      <c r="S54" s="70"/>
      <c r="T54" s="70"/>
    </row>
    <row r="55">
      <c r="A55" s="73" t="s">
        <v>86</v>
      </c>
      <c r="B55" s="74"/>
      <c r="C55" s="75">
        <f>(INT-10)+(istext(D55)*10)+(istext(E55)*10)+(istext(F55)*10)+(istext(G55)*10)</f>
        <v>70</v>
      </c>
      <c r="D55" s="76"/>
      <c r="E55" s="76"/>
      <c r="F55" s="76"/>
      <c r="G55" s="77"/>
      <c r="H55" s="73" t="s">
        <v>87</v>
      </c>
      <c r="I55" s="74"/>
      <c r="J55" s="75">
        <f>(INT-10)+(istext(K55)*10)+(istext(L55)*10)+(istext(M55)*10)+(istext(N55)*10)</f>
        <v>70</v>
      </c>
      <c r="K55" s="76"/>
      <c r="L55" s="76"/>
      <c r="M55" s="76"/>
      <c r="N55" s="77"/>
      <c r="O55" s="69" t="s">
        <v>88</v>
      </c>
      <c r="P55" s="70"/>
      <c r="Q55" s="70"/>
      <c r="R55" s="70"/>
      <c r="S55" s="70"/>
      <c r="T55" s="70"/>
    </row>
    <row r="56">
      <c r="A56" s="91"/>
      <c r="B56" s="15"/>
      <c r="C56" s="75">
        <f>(INT-10)+(istext(D56)*10)+(istext(E56)*10)+(istext(F56)*10)+(istext(G56)*10)</f>
        <v>70</v>
      </c>
      <c r="D56" s="76"/>
      <c r="E56" s="76"/>
      <c r="F56" s="76"/>
      <c r="G56" s="77"/>
      <c r="H56" s="91"/>
      <c r="I56" s="15"/>
      <c r="J56" s="75"/>
      <c r="K56" s="76"/>
      <c r="L56" s="76"/>
      <c r="M56" s="76"/>
      <c r="N56" s="77"/>
      <c r="O56" s="88" t="s">
        <v>89</v>
      </c>
      <c r="P56" s="70"/>
      <c r="Q56" s="70"/>
      <c r="R56" s="70"/>
      <c r="S56" s="70"/>
      <c r="T56" s="70"/>
    </row>
    <row r="57">
      <c r="A57" s="85"/>
      <c r="B57" s="84"/>
      <c r="C57" s="75">
        <f>(INT-10)+(istext(D57)*10)+(istext(E57)*10)+(istext(F57)*10)+(istext(G57)*10)</f>
        <v>70</v>
      </c>
      <c r="D57" s="76"/>
      <c r="E57" s="76"/>
      <c r="F57" s="76"/>
      <c r="G57" s="77"/>
      <c r="H57" s="85"/>
      <c r="I57" s="84"/>
      <c r="J57" s="75"/>
      <c r="K57" s="76"/>
      <c r="L57" s="76"/>
      <c r="M57" s="76"/>
      <c r="N57" s="77"/>
      <c r="O57" s="69" t="s">
        <v>90</v>
      </c>
      <c r="P57" s="70"/>
      <c r="Q57" s="70"/>
      <c r="R57" s="70"/>
      <c r="S57" s="70"/>
      <c r="T57" s="70"/>
    </row>
    <row r="58">
      <c r="A58" s="86" t="s">
        <v>91</v>
      </c>
      <c r="B58" s="87"/>
      <c r="C58" s="75">
        <f>(INT-10)+(istext(D58)*10)+(istext(E58)*10)+(istext(F58)*10)+(istext(G58)*10)</f>
        <v>80</v>
      </c>
      <c r="D58" s="78" t="s">
        <v>28</v>
      </c>
      <c r="E58" s="76"/>
      <c r="F58" s="76"/>
      <c r="G58" s="77"/>
      <c r="H58" s="85"/>
      <c r="I58" s="84"/>
      <c r="J58" s="75"/>
      <c r="K58" s="76"/>
      <c r="L58" s="76"/>
      <c r="M58" s="76"/>
      <c r="N58" s="77"/>
      <c r="O58" s="69" t="s">
        <v>92</v>
      </c>
      <c r="P58" s="70"/>
      <c r="Q58" s="70"/>
      <c r="R58" s="70"/>
      <c r="S58" s="70"/>
      <c r="T58" s="70"/>
    </row>
    <row r="59">
      <c r="A59" s="1"/>
      <c r="B59" s="1"/>
      <c r="C59" s="1"/>
      <c r="D59" s="92"/>
      <c r="E59" s="92"/>
      <c r="F59" s="92"/>
      <c r="G59" s="92"/>
      <c r="H59" s="17"/>
      <c r="I59" s="17"/>
      <c r="J59" s="1"/>
      <c r="K59" s="92"/>
      <c r="L59" s="92"/>
      <c r="M59" s="92"/>
      <c r="N59" s="92"/>
      <c r="O59" s="16"/>
      <c r="P59" s="16"/>
      <c r="Q59" s="16"/>
      <c r="R59" s="16"/>
      <c r="S59" s="16"/>
      <c r="T59" s="16"/>
    </row>
    <row r="60">
      <c r="A60" s="1"/>
      <c r="B60" s="1"/>
      <c r="C60" s="1"/>
      <c r="D60" s="1"/>
      <c r="E60" s="1"/>
      <c r="F60" s="1"/>
      <c r="G60" s="1"/>
      <c r="H60" s="21"/>
      <c r="I60" s="2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21"/>
      <c r="I61" s="2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93" t="s">
        <v>93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1"/>
      <c r="N62" s="1"/>
      <c r="O62" s="1"/>
      <c r="P62" s="1"/>
      <c r="Q62" s="1"/>
      <c r="R62" s="1"/>
      <c r="S62" s="1"/>
      <c r="T62" s="1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1"/>
      <c r="N63" s="94" t="s">
        <v>94</v>
      </c>
      <c r="O63" s="3"/>
      <c r="P63" s="3"/>
      <c r="Q63" s="3"/>
      <c r="R63" s="3"/>
      <c r="S63" s="4"/>
      <c r="T63" s="1"/>
    </row>
    <row r="64">
      <c r="A64" s="95" t="s">
        <v>95</v>
      </c>
      <c r="B64" s="96" t="s">
        <v>96</v>
      </c>
      <c r="C64" s="14"/>
      <c r="D64" s="14"/>
      <c r="E64" s="14"/>
      <c r="F64" s="14"/>
      <c r="G64" s="14"/>
      <c r="H64" s="14"/>
      <c r="I64" s="14"/>
      <c r="J64" s="14"/>
      <c r="K64" s="14"/>
      <c r="L64" s="97"/>
      <c r="M64" s="98"/>
      <c r="N64" s="7"/>
      <c r="O64" s="8"/>
      <c r="P64" s="8"/>
      <c r="Q64" s="8"/>
      <c r="R64" s="8"/>
      <c r="S64" s="9"/>
      <c r="T64" s="99" t="s">
        <v>97</v>
      </c>
    </row>
    <row r="65">
      <c r="A65" s="95" t="s">
        <v>98</v>
      </c>
      <c r="B65" s="100" t="s">
        <v>99</v>
      </c>
      <c r="C65" s="84"/>
      <c r="D65" s="101" t="s">
        <v>100</v>
      </c>
      <c r="E65" s="100" t="s">
        <v>101</v>
      </c>
      <c r="F65" s="84"/>
      <c r="G65" s="101" t="s">
        <v>102</v>
      </c>
      <c r="H65" s="100" t="s">
        <v>103</v>
      </c>
      <c r="I65" s="84"/>
      <c r="J65" s="101" t="s">
        <v>104</v>
      </c>
      <c r="K65" s="100">
        <v>0.0</v>
      </c>
      <c r="L65" s="102"/>
      <c r="M65" s="98"/>
      <c r="N65" s="1"/>
      <c r="O65" s="1"/>
      <c r="P65" s="103"/>
      <c r="Q65" s="103"/>
      <c r="R65" s="1"/>
      <c r="S65" s="1"/>
      <c r="T65" s="1"/>
    </row>
    <row r="66">
      <c r="A66" s="95" t="s">
        <v>105</v>
      </c>
      <c r="B66" s="104">
        <v>75.0</v>
      </c>
      <c r="C66" s="87"/>
      <c r="D66" s="18" t="s">
        <v>106</v>
      </c>
      <c r="E66" s="104" t="s">
        <v>107</v>
      </c>
      <c r="F66" s="87"/>
      <c r="G66" s="18" t="s">
        <v>108</v>
      </c>
      <c r="H66" s="104">
        <v>60.0</v>
      </c>
      <c r="I66" s="87"/>
      <c r="J66" s="18" t="s">
        <v>109</v>
      </c>
      <c r="K66" s="104" t="s">
        <v>110</v>
      </c>
      <c r="L66" s="105"/>
      <c r="M66" s="98"/>
      <c r="N66" s="1"/>
      <c r="O66" s="106"/>
      <c r="P66" s="107" t="s">
        <v>111</v>
      </c>
      <c r="Q66" s="108"/>
      <c r="R66" s="98"/>
      <c r="S66" s="1"/>
      <c r="T66" s="1"/>
    </row>
    <row r="67">
      <c r="A67" s="109" t="s">
        <v>112</v>
      </c>
      <c r="B67" s="12"/>
      <c r="C67" s="20"/>
      <c r="D67" s="14"/>
      <c r="E67" s="14"/>
      <c r="F67" s="14"/>
      <c r="G67" s="14"/>
      <c r="H67" s="14"/>
      <c r="I67" s="14"/>
      <c r="J67" s="14"/>
      <c r="K67" s="14"/>
      <c r="L67" s="97"/>
      <c r="M67" s="98"/>
      <c r="N67" s="1"/>
      <c r="O67" s="106"/>
      <c r="P67" s="110" t="s">
        <v>113</v>
      </c>
      <c r="Q67" s="111"/>
      <c r="R67" s="98"/>
      <c r="S67" s="1"/>
      <c r="T67" s="1"/>
    </row>
    <row r="68">
      <c r="A68" s="112" t="s">
        <v>114</v>
      </c>
      <c r="B68" s="25"/>
      <c r="C68" s="26" t="s">
        <v>115</v>
      </c>
      <c r="D68" s="27"/>
      <c r="E68" s="27"/>
      <c r="F68" s="27"/>
      <c r="G68" s="27"/>
      <c r="H68" s="27"/>
      <c r="I68" s="27"/>
      <c r="J68" s="27"/>
      <c r="K68" s="27"/>
      <c r="L68" s="113"/>
      <c r="M68" s="98"/>
      <c r="N68" s="103"/>
      <c r="O68" s="114"/>
      <c r="P68" s="115" t="s">
        <v>102</v>
      </c>
      <c r="Q68" s="111"/>
      <c r="R68" s="116"/>
      <c r="S68" s="103"/>
      <c r="T68" s="1"/>
    </row>
    <row r="69">
      <c r="A69" s="117"/>
      <c r="B69" s="33"/>
      <c r="C69" s="34"/>
      <c r="D69" s="35"/>
      <c r="E69" s="35"/>
      <c r="F69" s="35"/>
      <c r="G69" s="35"/>
      <c r="H69" s="35"/>
      <c r="I69" s="35"/>
      <c r="J69" s="35"/>
      <c r="K69" s="35"/>
      <c r="L69" s="118"/>
      <c r="M69" s="119"/>
      <c r="N69" s="107" t="s">
        <v>116</v>
      </c>
      <c r="O69" s="108"/>
      <c r="P69" s="120" t="s">
        <v>117</v>
      </c>
      <c r="Q69" s="121"/>
      <c r="R69" s="107" t="s">
        <v>118</v>
      </c>
      <c r="S69" s="108"/>
      <c r="T69" s="98"/>
    </row>
    <row r="70">
      <c r="A70" s="1"/>
      <c r="B70" s="1"/>
      <c r="C70" s="16"/>
      <c r="D70" s="16"/>
      <c r="E70" s="16"/>
      <c r="F70" s="16"/>
      <c r="G70" s="16"/>
      <c r="H70" s="17"/>
      <c r="I70" s="17"/>
      <c r="J70" s="16"/>
      <c r="K70" s="16"/>
      <c r="L70" s="16"/>
      <c r="M70" s="106"/>
      <c r="N70" s="110" t="s">
        <v>119</v>
      </c>
      <c r="O70" s="111"/>
      <c r="P70" s="117"/>
      <c r="Q70" s="122"/>
      <c r="R70" s="110" t="s">
        <v>120</v>
      </c>
      <c r="S70" s="111"/>
      <c r="T70" s="98"/>
    </row>
    <row r="71">
      <c r="A71" s="93" t="s">
        <v>93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106"/>
      <c r="N71" s="115" t="s">
        <v>102</v>
      </c>
      <c r="O71" s="111"/>
      <c r="P71" s="123" t="s">
        <v>121</v>
      </c>
      <c r="Q71" s="124">
        <v>9.0</v>
      </c>
      <c r="R71" s="115" t="s">
        <v>102</v>
      </c>
      <c r="S71" s="111"/>
      <c r="T71" s="98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106"/>
      <c r="N72" s="120" t="s">
        <v>117</v>
      </c>
      <c r="O72" s="121"/>
      <c r="P72" s="125"/>
      <c r="Q72" s="126"/>
      <c r="R72" s="120" t="s">
        <v>117</v>
      </c>
      <c r="S72" s="121"/>
      <c r="T72" s="98"/>
    </row>
    <row r="73">
      <c r="A73" s="95" t="s">
        <v>95</v>
      </c>
      <c r="B73" s="96" t="s">
        <v>122</v>
      </c>
      <c r="C73" s="14"/>
      <c r="D73" s="14"/>
      <c r="E73" s="14"/>
      <c r="F73" s="14"/>
      <c r="G73" s="14"/>
      <c r="H73" s="14"/>
      <c r="I73" s="14"/>
      <c r="J73" s="14"/>
      <c r="K73" s="14"/>
      <c r="L73" s="97"/>
      <c r="M73" s="119"/>
      <c r="N73" s="117"/>
      <c r="O73" s="122"/>
      <c r="P73" s="116"/>
      <c r="Q73" s="114"/>
      <c r="R73" s="117"/>
      <c r="S73" s="122"/>
      <c r="T73" s="98"/>
    </row>
    <row r="74">
      <c r="A74" s="95" t="s">
        <v>98</v>
      </c>
      <c r="B74" s="100" t="s">
        <v>123</v>
      </c>
      <c r="C74" s="84"/>
      <c r="D74" s="101" t="s">
        <v>100</v>
      </c>
      <c r="E74" s="100" t="s">
        <v>124</v>
      </c>
      <c r="F74" s="84"/>
      <c r="G74" s="101" t="s">
        <v>102</v>
      </c>
      <c r="H74" s="100" t="s">
        <v>103</v>
      </c>
      <c r="I74" s="84"/>
      <c r="J74" s="101" t="s">
        <v>104</v>
      </c>
      <c r="K74" s="100">
        <v>6.0</v>
      </c>
      <c r="L74" s="102"/>
      <c r="M74" s="119"/>
      <c r="N74" s="123" t="s">
        <v>121</v>
      </c>
      <c r="O74" s="124">
        <v>9.0</v>
      </c>
      <c r="P74" s="107" t="s">
        <v>125</v>
      </c>
      <c r="Q74" s="108"/>
      <c r="R74" s="123" t="s">
        <v>121</v>
      </c>
      <c r="S74" s="127">
        <v>12.0</v>
      </c>
      <c r="T74" s="98"/>
    </row>
    <row r="75">
      <c r="A75" s="95" t="s">
        <v>105</v>
      </c>
      <c r="B75" s="128"/>
      <c r="C75" s="87"/>
      <c r="D75" s="18" t="s">
        <v>106</v>
      </c>
      <c r="E75" s="128"/>
      <c r="F75" s="87"/>
      <c r="G75" s="18" t="s">
        <v>108</v>
      </c>
      <c r="H75" s="128"/>
      <c r="I75" s="87"/>
      <c r="J75" s="18" t="s">
        <v>109</v>
      </c>
      <c r="K75" s="128"/>
      <c r="L75" s="105"/>
      <c r="M75" s="98"/>
      <c r="N75" s="59"/>
      <c r="O75" s="126"/>
      <c r="P75" s="110" t="s">
        <v>126</v>
      </c>
      <c r="Q75" s="111"/>
      <c r="R75" s="125"/>
      <c r="S75" s="59"/>
      <c r="T75" s="1"/>
    </row>
    <row r="76">
      <c r="A76" s="109" t="s">
        <v>112</v>
      </c>
      <c r="B76" s="12"/>
      <c r="C76" s="20"/>
      <c r="D76" s="14"/>
      <c r="E76" s="14"/>
      <c r="F76" s="14"/>
      <c r="G76" s="14"/>
      <c r="H76" s="14"/>
      <c r="I76" s="14"/>
      <c r="J76" s="14"/>
      <c r="K76" s="14"/>
      <c r="L76" s="97"/>
      <c r="M76" s="98"/>
      <c r="N76" s="1"/>
      <c r="O76" s="106"/>
      <c r="P76" s="115" t="s">
        <v>102</v>
      </c>
      <c r="Q76" s="111"/>
      <c r="R76" s="98"/>
      <c r="S76" s="1"/>
      <c r="T76" s="1"/>
    </row>
    <row r="77">
      <c r="A77" s="112" t="s">
        <v>114</v>
      </c>
      <c r="B77" s="25"/>
      <c r="C77" s="26" t="s">
        <v>127</v>
      </c>
      <c r="D77" s="27"/>
      <c r="E77" s="27"/>
      <c r="F77" s="27"/>
      <c r="G77" s="27"/>
      <c r="H77" s="27"/>
      <c r="I77" s="27"/>
      <c r="J77" s="27"/>
      <c r="K77" s="27"/>
      <c r="L77" s="113"/>
      <c r="M77" s="98"/>
      <c r="N77" s="103"/>
      <c r="O77" s="114"/>
      <c r="P77" s="120" t="s">
        <v>117</v>
      </c>
      <c r="Q77" s="121"/>
      <c r="R77" s="116"/>
      <c r="S77" s="103"/>
      <c r="T77" s="1"/>
    </row>
    <row r="78">
      <c r="A78" s="117"/>
      <c r="B78" s="33"/>
      <c r="C78" s="34"/>
      <c r="D78" s="35"/>
      <c r="E78" s="35"/>
      <c r="F78" s="35"/>
      <c r="G78" s="35"/>
      <c r="H78" s="35"/>
      <c r="I78" s="35"/>
      <c r="J78" s="35"/>
      <c r="K78" s="35"/>
      <c r="L78" s="118"/>
      <c r="M78" s="119"/>
      <c r="N78" s="107" t="s">
        <v>128</v>
      </c>
      <c r="O78" s="108"/>
      <c r="P78" s="117"/>
      <c r="Q78" s="122"/>
      <c r="R78" s="107" t="s">
        <v>129</v>
      </c>
      <c r="S78" s="108"/>
      <c r="T78" s="98"/>
    </row>
    <row r="79">
      <c r="A79" s="1"/>
      <c r="B79" s="1"/>
      <c r="C79" s="16"/>
      <c r="D79" s="16"/>
      <c r="E79" s="16"/>
      <c r="F79" s="16"/>
      <c r="G79" s="16"/>
      <c r="H79" s="17"/>
      <c r="I79" s="17"/>
      <c r="J79" s="16"/>
      <c r="K79" s="16"/>
      <c r="L79" s="16"/>
      <c r="M79" s="106"/>
      <c r="N79" s="110" t="s">
        <v>130</v>
      </c>
      <c r="O79" s="111"/>
      <c r="P79" s="123" t="s">
        <v>121</v>
      </c>
      <c r="Q79" s="127">
        <v>12.0</v>
      </c>
      <c r="R79" s="110" t="s">
        <v>131</v>
      </c>
      <c r="S79" s="111"/>
      <c r="T79" s="98"/>
    </row>
    <row r="80">
      <c r="A80" s="93" t="s">
        <v>93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106"/>
      <c r="N80" s="115" t="s">
        <v>102</v>
      </c>
      <c r="O80" s="111"/>
      <c r="P80" s="125"/>
      <c r="Q80" s="126"/>
      <c r="R80" s="115" t="s">
        <v>102</v>
      </c>
      <c r="S80" s="111"/>
      <c r="T80" s="98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106"/>
      <c r="N81" s="120" t="s">
        <v>117</v>
      </c>
      <c r="O81" s="121"/>
      <c r="P81" s="98"/>
      <c r="Q81" s="106"/>
      <c r="R81" s="120" t="s">
        <v>117</v>
      </c>
      <c r="S81" s="121"/>
      <c r="T81" s="98"/>
    </row>
    <row r="82">
      <c r="A82" s="95" t="s">
        <v>95</v>
      </c>
      <c r="B82" s="96" t="s">
        <v>132</v>
      </c>
      <c r="C82" s="14"/>
      <c r="D82" s="14"/>
      <c r="E82" s="14"/>
      <c r="F82" s="14"/>
      <c r="G82" s="14"/>
      <c r="H82" s="14"/>
      <c r="I82" s="14"/>
      <c r="J82" s="14"/>
      <c r="K82" s="14"/>
      <c r="L82" s="97"/>
      <c r="M82" s="119"/>
      <c r="N82" s="117"/>
      <c r="O82" s="122"/>
      <c r="P82" s="98"/>
      <c r="Q82" s="106"/>
      <c r="R82" s="117"/>
      <c r="S82" s="122"/>
      <c r="T82" s="98"/>
    </row>
    <row r="83">
      <c r="A83" s="95" t="s">
        <v>98</v>
      </c>
      <c r="B83" s="100" t="s">
        <v>99</v>
      </c>
      <c r="C83" s="84"/>
      <c r="D83" s="101" t="s">
        <v>100</v>
      </c>
      <c r="E83" s="100" t="s">
        <v>133</v>
      </c>
      <c r="F83" s="84"/>
      <c r="G83" s="101" t="s">
        <v>102</v>
      </c>
      <c r="H83" s="100" t="s">
        <v>103</v>
      </c>
      <c r="I83" s="84"/>
      <c r="J83" s="101" t="s">
        <v>104</v>
      </c>
      <c r="K83" s="100">
        <v>10.0</v>
      </c>
      <c r="L83" s="102"/>
      <c r="M83" s="119"/>
      <c r="N83" s="123" t="s">
        <v>121</v>
      </c>
      <c r="O83" s="124">
        <v>9.0</v>
      </c>
      <c r="P83" s="98"/>
      <c r="Q83" s="106"/>
      <c r="R83" s="123" t="s">
        <v>121</v>
      </c>
      <c r="S83" s="124">
        <v>9.0</v>
      </c>
      <c r="T83" s="98"/>
    </row>
    <row r="84">
      <c r="A84" s="95" t="s">
        <v>105</v>
      </c>
      <c r="B84" s="104">
        <v>90.0</v>
      </c>
      <c r="C84" s="87"/>
      <c r="D84" s="18" t="s">
        <v>106</v>
      </c>
      <c r="E84" s="104" t="s">
        <v>134</v>
      </c>
      <c r="F84" s="87"/>
      <c r="G84" s="18" t="s">
        <v>108</v>
      </c>
      <c r="H84" s="104">
        <v>20.0</v>
      </c>
      <c r="I84" s="87"/>
      <c r="J84" s="18" t="s">
        <v>109</v>
      </c>
      <c r="K84" s="104" t="s">
        <v>135</v>
      </c>
      <c r="L84" s="105"/>
      <c r="M84" s="98"/>
      <c r="N84" s="59"/>
      <c r="O84" s="59"/>
      <c r="P84" s="22"/>
      <c r="Q84" s="22"/>
      <c r="R84" s="129"/>
      <c r="S84" s="129"/>
      <c r="T84" s="1"/>
    </row>
    <row r="85">
      <c r="A85" s="109" t="s">
        <v>112</v>
      </c>
      <c r="B85" s="12"/>
      <c r="C85" s="13" t="s">
        <v>136</v>
      </c>
      <c r="D85" s="14"/>
      <c r="E85" s="14"/>
      <c r="F85" s="14"/>
      <c r="G85" s="14"/>
      <c r="H85" s="14"/>
      <c r="I85" s="14"/>
      <c r="J85" s="14"/>
      <c r="K85" s="14"/>
      <c r="L85" s="97"/>
      <c r="M85" s="98"/>
      <c r="N85" s="130" t="s">
        <v>137</v>
      </c>
      <c r="O85" s="25"/>
      <c r="P85" s="131"/>
      <c r="Q85" s="27"/>
      <c r="R85" s="27"/>
      <c r="S85" s="28"/>
      <c r="T85" s="132"/>
    </row>
    <row r="86">
      <c r="A86" s="112" t="s">
        <v>114</v>
      </c>
      <c r="B86" s="25"/>
      <c r="C86" s="26" t="s">
        <v>138</v>
      </c>
      <c r="D86" s="27"/>
      <c r="E86" s="27"/>
      <c r="F86" s="27"/>
      <c r="G86" s="27"/>
      <c r="H86" s="27"/>
      <c r="I86" s="27"/>
      <c r="J86" s="27"/>
      <c r="K86" s="27"/>
      <c r="L86" s="113"/>
      <c r="M86" s="98"/>
      <c r="N86" s="5"/>
      <c r="O86" s="31"/>
      <c r="P86" s="32"/>
      <c r="S86" s="31"/>
      <c r="T86" s="132"/>
    </row>
    <row r="87">
      <c r="A87" s="117"/>
      <c r="B87" s="33"/>
      <c r="C87" s="34"/>
      <c r="D87" s="35"/>
      <c r="E87" s="35"/>
      <c r="F87" s="35"/>
      <c r="G87" s="35"/>
      <c r="H87" s="35"/>
      <c r="I87" s="35"/>
      <c r="J87" s="35"/>
      <c r="K87" s="35"/>
      <c r="L87" s="118"/>
      <c r="M87" s="98"/>
      <c r="N87" s="7"/>
      <c r="O87" s="33"/>
      <c r="P87" s="34"/>
      <c r="Q87" s="35"/>
      <c r="R87" s="35"/>
      <c r="S87" s="36"/>
      <c r="T87" s="132"/>
    </row>
    <row r="88">
      <c r="A88" s="1"/>
      <c r="B88" s="1"/>
      <c r="C88" s="16"/>
      <c r="D88" s="16"/>
      <c r="E88" s="16"/>
      <c r="F88" s="16"/>
      <c r="G88" s="16"/>
      <c r="H88" s="17"/>
      <c r="I88" s="17"/>
      <c r="J88" s="16"/>
      <c r="K88" s="16"/>
      <c r="L88" s="16"/>
      <c r="M88" s="1"/>
      <c r="N88" s="130" t="s">
        <v>139</v>
      </c>
      <c r="O88" s="25"/>
      <c r="P88" s="133" t="s">
        <v>140</v>
      </c>
      <c r="Q88" s="27"/>
      <c r="R88" s="27"/>
      <c r="S88" s="28"/>
      <c r="T88" s="134"/>
    </row>
    <row r="89">
      <c r="A89" s="93" t="s">
        <v>93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1"/>
      <c r="N89" s="5"/>
      <c r="O89" s="31"/>
      <c r="P89" s="32"/>
      <c r="S89" s="31"/>
      <c r="T89" s="134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1"/>
      <c r="N90" s="7"/>
      <c r="O90" s="33"/>
      <c r="P90" s="34"/>
      <c r="Q90" s="35"/>
      <c r="R90" s="35"/>
      <c r="S90" s="36"/>
      <c r="T90" s="134"/>
    </row>
    <row r="91">
      <c r="A91" s="95" t="s">
        <v>95</v>
      </c>
      <c r="B91" s="96" t="s">
        <v>141</v>
      </c>
      <c r="C91" s="14"/>
      <c r="D91" s="14"/>
      <c r="E91" s="14"/>
      <c r="F91" s="14"/>
      <c r="G91" s="14"/>
      <c r="H91" s="14"/>
      <c r="I91" s="14"/>
      <c r="J91" s="14"/>
      <c r="K91" s="14"/>
      <c r="L91" s="97"/>
      <c r="M91" s="98"/>
      <c r="N91" s="1"/>
      <c r="O91" s="1"/>
      <c r="P91" s="16"/>
      <c r="Q91" s="16"/>
      <c r="R91" s="16"/>
      <c r="S91" s="16"/>
      <c r="T91" s="1"/>
    </row>
    <row r="92">
      <c r="A92" s="95" t="s">
        <v>98</v>
      </c>
      <c r="B92" s="100" t="s">
        <v>142</v>
      </c>
      <c r="C92" s="84"/>
      <c r="D92" s="101" t="s">
        <v>100</v>
      </c>
      <c r="E92" s="100" t="s">
        <v>143</v>
      </c>
      <c r="F92" s="84"/>
      <c r="G92" s="101" t="s">
        <v>102</v>
      </c>
      <c r="H92" s="100" t="s">
        <v>144</v>
      </c>
      <c r="I92" s="84"/>
      <c r="J92" s="101" t="s">
        <v>104</v>
      </c>
      <c r="K92" s="100">
        <v>0.0</v>
      </c>
      <c r="L92" s="102"/>
      <c r="M92" s="98"/>
      <c r="N92" s="94" t="s">
        <v>145</v>
      </c>
      <c r="O92" s="3"/>
      <c r="P92" s="3"/>
      <c r="Q92" s="3"/>
      <c r="R92" s="3"/>
      <c r="S92" s="4"/>
      <c r="T92" s="1"/>
    </row>
    <row r="93">
      <c r="A93" s="95" t="s">
        <v>105</v>
      </c>
      <c r="B93" s="104">
        <v>180.0</v>
      </c>
      <c r="C93" s="87"/>
      <c r="D93" s="18" t="s">
        <v>106</v>
      </c>
      <c r="E93" s="104" t="s">
        <v>146</v>
      </c>
      <c r="F93" s="87"/>
      <c r="G93" s="18" t="s">
        <v>108</v>
      </c>
      <c r="H93" s="104">
        <v>6.0</v>
      </c>
      <c r="I93" s="87"/>
      <c r="J93" s="18" t="s">
        <v>109</v>
      </c>
      <c r="K93" s="104">
        <v>2.0</v>
      </c>
      <c r="L93" s="105"/>
      <c r="M93" s="98"/>
      <c r="N93" s="7"/>
      <c r="O93" s="8"/>
      <c r="P93" s="8"/>
      <c r="Q93" s="8"/>
      <c r="R93" s="8"/>
      <c r="S93" s="9"/>
      <c r="T93" s="1"/>
    </row>
    <row r="94">
      <c r="A94" s="109" t="s">
        <v>112</v>
      </c>
      <c r="B94" s="12"/>
      <c r="C94" s="20"/>
      <c r="D94" s="14"/>
      <c r="E94" s="14"/>
      <c r="F94" s="14"/>
      <c r="G94" s="14"/>
      <c r="H94" s="14"/>
      <c r="I94" s="14"/>
      <c r="J94" s="14"/>
      <c r="K94" s="14"/>
      <c r="L94" s="97"/>
      <c r="M94" s="98"/>
      <c r="N94" s="135" t="s">
        <v>147</v>
      </c>
      <c r="O94" s="136"/>
      <c r="P94" s="137"/>
      <c r="Q94" s="138" t="s">
        <v>148</v>
      </c>
      <c r="R94" s="136"/>
      <c r="S94" s="139"/>
      <c r="T94" s="1"/>
    </row>
    <row r="95">
      <c r="A95" s="112" t="s">
        <v>114</v>
      </c>
      <c r="B95" s="25"/>
      <c r="C95" s="26" t="s">
        <v>149</v>
      </c>
      <c r="D95" s="27"/>
      <c r="E95" s="27"/>
      <c r="F95" s="27"/>
      <c r="G95" s="27"/>
      <c r="H95" s="27"/>
      <c r="I95" s="27"/>
      <c r="J95" s="27"/>
      <c r="K95" s="27"/>
      <c r="L95" s="113"/>
      <c r="M95" s="98"/>
      <c r="N95" s="140" t="s">
        <v>150</v>
      </c>
      <c r="O95" s="141"/>
      <c r="P95" s="142"/>
      <c r="Q95" s="143" t="s">
        <v>151</v>
      </c>
      <c r="R95" s="141"/>
      <c r="S95" s="144"/>
      <c r="T95" s="1"/>
    </row>
    <row r="96">
      <c r="A96" s="117"/>
      <c r="B96" s="33"/>
      <c r="C96" s="34"/>
      <c r="D96" s="35"/>
      <c r="E96" s="35"/>
      <c r="F96" s="35"/>
      <c r="G96" s="35"/>
      <c r="H96" s="35"/>
      <c r="I96" s="35"/>
      <c r="J96" s="35"/>
      <c r="K96" s="35"/>
      <c r="L96" s="118"/>
      <c r="M96" s="98"/>
      <c r="N96" s="140" t="s">
        <v>152</v>
      </c>
      <c r="O96" s="141"/>
      <c r="P96" s="142"/>
      <c r="Q96" s="145" t="s">
        <v>153</v>
      </c>
      <c r="R96" s="141"/>
      <c r="S96" s="144"/>
      <c r="T96" s="1"/>
    </row>
    <row r="97">
      <c r="A97" s="1"/>
      <c r="B97" s="1"/>
      <c r="C97" s="16"/>
      <c r="D97" s="16"/>
      <c r="E97" s="16"/>
      <c r="F97" s="16"/>
      <c r="G97" s="16"/>
      <c r="H97" s="17"/>
      <c r="I97" s="17"/>
      <c r="J97" s="16"/>
      <c r="K97" s="16"/>
      <c r="L97" s="16"/>
      <c r="M97" s="1"/>
      <c r="N97" s="140" t="s">
        <v>154</v>
      </c>
      <c r="O97" s="141"/>
      <c r="P97" s="142"/>
      <c r="Q97" s="146" t="s">
        <v>155</v>
      </c>
      <c r="R97" s="141"/>
      <c r="S97" s="144"/>
      <c r="T97" s="1"/>
    </row>
    <row r="98">
      <c r="A98" s="93" t="s">
        <v>93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1"/>
      <c r="N98" s="140" t="s">
        <v>156</v>
      </c>
      <c r="O98" s="141"/>
      <c r="P98" s="142"/>
      <c r="Q98" s="146" t="s">
        <v>157</v>
      </c>
      <c r="R98" s="141"/>
      <c r="S98" s="144"/>
      <c r="T98" s="1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1"/>
      <c r="N99" s="140" t="s">
        <v>158</v>
      </c>
      <c r="O99" s="141"/>
      <c r="P99" s="142"/>
      <c r="Q99" s="146" t="s">
        <v>97</v>
      </c>
      <c r="R99" s="141"/>
      <c r="S99" s="144"/>
      <c r="T99" s="1"/>
    </row>
    <row r="100">
      <c r="A100" s="95" t="s">
        <v>95</v>
      </c>
      <c r="B100" s="96" t="s">
        <v>159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97"/>
      <c r="M100" s="98"/>
      <c r="N100" s="140" t="s">
        <v>160</v>
      </c>
      <c r="O100" s="141"/>
      <c r="P100" s="142"/>
      <c r="Q100" s="147"/>
      <c r="R100" s="141"/>
      <c r="S100" s="144"/>
      <c r="T100" s="1"/>
    </row>
    <row r="101">
      <c r="A101" s="95" t="s">
        <v>98</v>
      </c>
      <c r="B101" s="100" t="s">
        <v>123</v>
      </c>
      <c r="C101" s="84"/>
      <c r="D101" s="101" t="s">
        <v>100</v>
      </c>
      <c r="E101" s="100" t="s">
        <v>143</v>
      </c>
      <c r="F101" s="84"/>
      <c r="G101" s="101" t="s">
        <v>102</v>
      </c>
      <c r="H101" s="148"/>
      <c r="I101" s="84"/>
      <c r="J101" s="101" t="s">
        <v>104</v>
      </c>
      <c r="K101" s="148"/>
      <c r="L101" s="102"/>
      <c r="M101" s="98"/>
      <c r="N101" s="140" t="s">
        <v>161</v>
      </c>
      <c r="O101" s="141"/>
      <c r="P101" s="142"/>
      <c r="Q101" s="147"/>
      <c r="R101" s="141"/>
      <c r="S101" s="144"/>
      <c r="T101" s="1"/>
    </row>
    <row r="102">
      <c r="A102" s="95" t="s">
        <v>105</v>
      </c>
      <c r="B102" s="128"/>
      <c r="C102" s="87"/>
      <c r="D102" s="18" t="s">
        <v>106</v>
      </c>
      <c r="E102" s="128"/>
      <c r="F102" s="87"/>
      <c r="G102" s="18" t="s">
        <v>108</v>
      </c>
      <c r="H102" s="128"/>
      <c r="I102" s="87"/>
      <c r="J102" s="18" t="s">
        <v>109</v>
      </c>
      <c r="K102" s="128"/>
      <c r="L102" s="105"/>
      <c r="M102" s="98"/>
      <c r="N102" s="140" t="s">
        <v>162</v>
      </c>
      <c r="O102" s="141"/>
      <c r="P102" s="142"/>
      <c r="Q102" s="147"/>
      <c r="R102" s="141"/>
      <c r="S102" s="144"/>
      <c r="T102" s="1"/>
    </row>
    <row r="103">
      <c r="A103" s="109" t="s">
        <v>112</v>
      </c>
      <c r="B103" s="12"/>
      <c r="C103" s="20"/>
      <c r="D103" s="14"/>
      <c r="E103" s="14"/>
      <c r="F103" s="14"/>
      <c r="G103" s="14"/>
      <c r="H103" s="14"/>
      <c r="I103" s="14"/>
      <c r="J103" s="14"/>
      <c r="K103" s="14"/>
      <c r="L103" s="97"/>
      <c r="M103" s="98"/>
      <c r="N103" s="140" t="s">
        <v>163</v>
      </c>
      <c r="O103" s="141"/>
      <c r="P103" s="142"/>
      <c r="Q103" s="147"/>
      <c r="R103" s="141"/>
      <c r="S103" s="144"/>
      <c r="T103" s="1"/>
    </row>
    <row r="104">
      <c r="A104" s="112" t="s">
        <v>114</v>
      </c>
      <c r="B104" s="25"/>
      <c r="C104" s="26" t="s">
        <v>164</v>
      </c>
      <c r="D104" s="27"/>
      <c r="E104" s="27"/>
      <c r="F104" s="27"/>
      <c r="G104" s="27"/>
      <c r="H104" s="27"/>
      <c r="I104" s="27"/>
      <c r="J104" s="27"/>
      <c r="K104" s="27"/>
      <c r="L104" s="113"/>
      <c r="M104" s="98"/>
      <c r="N104" s="140" t="s">
        <v>165</v>
      </c>
      <c r="O104" s="141"/>
      <c r="P104" s="142"/>
      <c r="Q104" s="147"/>
      <c r="R104" s="141"/>
      <c r="S104" s="144"/>
      <c r="T104" s="1"/>
    </row>
    <row r="105">
      <c r="A105" s="117"/>
      <c r="B105" s="33"/>
      <c r="C105" s="34"/>
      <c r="D105" s="35"/>
      <c r="E105" s="35"/>
      <c r="F105" s="35"/>
      <c r="G105" s="35"/>
      <c r="H105" s="35"/>
      <c r="I105" s="35"/>
      <c r="J105" s="35"/>
      <c r="K105" s="35"/>
      <c r="L105" s="118"/>
      <c r="M105" s="98"/>
      <c r="N105" s="149"/>
      <c r="O105" s="141"/>
      <c r="P105" s="142"/>
      <c r="Q105" s="147"/>
      <c r="R105" s="141"/>
      <c r="S105" s="144"/>
      <c r="T105" s="1"/>
    </row>
    <row r="106">
      <c r="A106" s="74"/>
      <c r="B106" s="1"/>
      <c r="C106" s="16"/>
      <c r="D106" s="16"/>
      <c r="E106" s="16"/>
      <c r="F106" s="16"/>
      <c r="G106" s="16"/>
      <c r="H106" s="17"/>
      <c r="I106" s="17"/>
      <c r="J106" s="16"/>
      <c r="K106" s="16"/>
      <c r="L106" s="16"/>
      <c r="M106" s="1"/>
      <c r="N106" s="150"/>
      <c r="O106" s="150"/>
      <c r="P106" s="150"/>
      <c r="Q106" s="150"/>
      <c r="R106" s="150"/>
      <c r="S106" s="150"/>
      <c r="T106" s="1"/>
    </row>
    <row r="107">
      <c r="A107" s="1"/>
      <c r="B107" s="1"/>
      <c r="C107" s="1"/>
      <c r="D107" s="1"/>
      <c r="E107" s="1"/>
      <c r="F107" s="1"/>
      <c r="G107" s="1"/>
      <c r="H107" s="21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3" t="s">
        <v>166</v>
      </c>
      <c r="C108" s="4"/>
      <c r="D108" s="10" t="s">
        <v>167</v>
      </c>
      <c r="E108" s="74"/>
      <c r="F108" s="151">
        <v>4.0</v>
      </c>
      <c r="G108" s="1"/>
      <c r="H108" s="152" t="s">
        <v>168</v>
      </c>
      <c r="I108" s="153">
        <f>F108+F109</f>
        <v>8</v>
      </c>
      <c r="J108" s="152" t="s">
        <v>169</v>
      </c>
      <c r="K108" s="153">
        <f>I108*3</f>
        <v>24</v>
      </c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7"/>
      <c r="C109" s="9"/>
      <c r="D109" s="10" t="s">
        <v>170</v>
      </c>
      <c r="E109" s="12"/>
      <c r="F109" s="154">
        <v>4.0</v>
      </c>
      <c r="G109" s="1"/>
      <c r="H109" s="152" t="s">
        <v>171</v>
      </c>
      <c r="I109" s="153">
        <f>I108*2</f>
        <v>16</v>
      </c>
      <c r="J109" s="152" t="s">
        <v>172</v>
      </c>
      <c r="K109" s="153">
        <f>K108*2</f>
        <v>48</v>
      </c>
      <c r="L109" s="1"/>
      <c r="M109" s="1"/>
      <c r="N109" s="93" t="s">
        <v>173</v>
      </c>
      <c r="O109" s="4"/>
      <c r="P109" s="10" t="s">
        <v>174</v>
      </c>
      <c r="Q109" s="12"/>
      <c r="R109" s="13">
        <v>17.0</v>
      </c>
      <c r="S109" s="15"/>
      <c r="T109" s="1"/>
    </row>
    <row r="110">
      <c r="A110" s="155"/>
      <c r="B110" s="155"/>
      <c r="C110" s="155"/>
      <c r="D110" s="155"/>
      <c r="E110" s="155"/>
      <c r="F110" s="156"/>
      <c r="G110" s="155"/>
      <c r="H110" s="157"/>
      <c r="I110" s="157"/>
      <c r="J110" s="155"/>
      <c r="K110" s="155"/>
      <c r="L110" s="155"/>
      <c r="M110" s="1"/>
      <c r="N110" s="5"/>
      <c r="O110" s="6"/>
      <c r="P110" s="10" t="s">
        <v>175</v>
      </c>
      <c r="Q110" s="12"/>
      <c r="R110" s="158">
        <v>17.0</v>
      </c>
      <c r="S110" s="84"/>
      <c r="T110" s="1"/>
    </row>
    <row r="111">
      <c r="A111" s="159"/>
      <c r="B111" s="159"/>
      <c r="C111" s="159"/>
      <c r="D111" s="159"/>
      <c r="E111" s="159"/>
      <c r="F111" s="159"/>
      <c r="G111" s="159"/>
      <c r="H111" s="160"/>
      <c r="I111" s="160"/>
      <c r="J111" s="159"/>
      <c r="K111" s="159"/>
      <c r="L111" s="159"/>
      <c r="M111" s="161"/>
      <c r="N111" s="7"/>
      <c r="O111" s="9"/>
      <c r="P111" s="10" t="s">
        <v>176</v>
      </c>
      <c r="Q111" s="12"/>
      <c r="R111" s="162"/>
      <c r="S111" s="84"/>
      <c r="T111" s="1"/>
    </row>
    <row r="112">
      <c r="A112" s="159"/>
      <c r="B112" s="163" t="s">
        <v>177</v>
      </c>
      <c r="C112" s="164"/>
      <c r="D112" s="165"/>
      <c r="E112" s="166" t="s">
        <v>174</v>
      </c>
      <c r="F112" s="167"/>
      <c r="G112" s="168">
        <f>INFB</f>
        <v>5</v>
      </c>
      <c r="H112" s="167"/>
      <c r="I112" s="160"/>
      <c r="J112" s="159"/>
      <c r="K112" s="159"/>
      <c r="L112" s="159"/>
      <c r="M112" s="161"/>
      <c r="N112" s="1"/>
      <c r="O112" s="1"/>
      <c r="P112" s="22"/>
      <c r="Q112" s="22"/>
      <c r="R112" s="169"/>
      <c r="S112" s="169"/>
      <c r="T112" s="1"/>
    </row>
    <row r="113">
      <c r="A113" s="170"/>
      <c r="B113" s="171"/>
      <c r="C113" s="172"/>
      <c r="D113" s="173"/>
      <c r="E113" s="174" t="s">
        <v>175</v>
      </c>
      <c r="F113" s="175"/>
      <c r="G113" s="176"/>
      <c r="H113" s="177"/>
      <c r="I113" s="178"/>
      <c r="J113" s="159"/>
      <c r="K113" s="159"/>
      <c r="L113" s="159"/>
      <c r="M113" s="161"/>
      <c r="N113" s="130" t="s">
        <v>178</v>
      </c>
      <c r="O113" s="25"/>
      <c r="P113" s="131"/>
      <c r="Q113" s="27"/>
      <c r="R113" s="27"/>
      <c r="S113" s="28"/>
      <c r="T113" s="134"/>
    </row>
    <row r="114">
      <c r="A114" s="1"/>
      <c r="B114" s="179"/>
      <c r="C114" s="179"/>
      <c r="D114" s="179"/>
      <c r="E114" s="1"/>
      <c r="F114" s="1"/>
      <c r="G114" s="16"/>
      <c r="H114" s="17"/>
      <c r="I114" s="180"/>
      <c r="J114" s="159"/>
      <c r="K114" s="159"/>
      <c r="L114" s="159"/>
      <c r="M114" s="161"/>
      <c r="N114" s="5"/>
      <c r="O114" s="31"/>
      <c r="P114" s="32"/>
      <c r="S114" s="31"/>
      <c r="T114" s="134"/>
    </row>
    <row r="115">
      <c r="A115" s="1"/>
      <c r="B115" s="181" t="s">
        <v>179</v>
      </c>
      <c r="C115" s="11"/>
      <c r="D115" s="74"/>
      <c r="E115" s="10" t="s">
        <v>174</v>
      </c>
      <c r="F115" s="12"/>
      <c r="G115" s="182">
        <v>11.0</v>
      </c>
      <c r="H115" s="15"/>
      <c r="I115" s="180"/>
      <c r="J115" s="159"/>
      <c r="K115" s="159"/>
      <c r="L115" s="159"/>
      <c r="M115" s="161"/>
      <c r="N115" s="5"/>
      <c r="O115" s="31"/>
      <c r="P115" s="32"/>
      <c r="S115" s="31"/>
      <c r="T115" s="134"/>
    </row>
    <row r="116">
      <c r="A116" s="155"/>
      <c r="B116" s="155"/>
      <c r="C116" s="155"/>
      <c r="D116" s="155"/>
      <c r="E116" s="155"/>
      <c r="F116" s="155"/>
      <c r="G116" s="156"/>
      <c r="H116" s="183"/>
      <c r="I116" s="184"/>
      <c r="J116" s="159"/>
      <c r="K116" s="159"/>
      <c r="L116" s="159"/>
      <c r="M116" s="161"/>
      <c r="N116" s="7"/>
      <c r="O116" s="33"/>
      <c r="P116" s="34"/>
      <c r="Q116" s="35"/>
      <c r="R116" s="35"/>
      <c r="S116" s="36"/>
      <c r="T116" s="134"/>
    </row>
    <row r="117">
      <c r="A117" s="159"/>
      <c r="B117" s="185" t="s">
        <v>180</v>
      </c>
      <c r="C117" s="186"/>
      <c r="D117" s="186"/>
      <c r="E117" s="186"/>
      <c r="F117" s="186"/>
      <c r="G117" s="186"/>
      <c r="H117" s="186"/>
      <c r="I117" s="167"/>
      <c r="J117" s="159"/>
      <c r="K117" s="159"/>
      <c r="L117" s="159"/>
      <c r="M117" s="161"/>
      <c r="N117" s="1"/>
      <c r="O117" s="1"/>
      <c r="P117" s="169"/>
      <c r="Q117" s="169"/>
      <c r="R117" s="169"/>
      <c r="S117" s="169"/>
      <c r="T117" s="1"/>
    </row>
    <row r="118">
      <c r="A118" s="159"/>
      <c r="B118" s="187" t="s">
        <v>181</v>
      </c>
      <c r="C118" s="188"/>
      <c r="D118" s="188"/>
      <c r="E118" s="189"/>
      <c r="F118" s="190"/>
      <c r="G118" s="188"/>
      <c r="H118" s="188"/>
      <c r="I118" s="177"/>
      <c r="J118" s="159"/>
      <c r="K118" s="159"/>
      <c r="L118" s="159"/>
      <c r="M118" s="161"/>
      <c r="N118" s="130" t="s">
        <v>182</v>
      </c>
      <c r="O118" s="25"/>
      <c r="P118" s="131"/>
      <c r="Q118" s="27"/>
      <c r="R118" s="27"/>
      <c r="S118" s="28"/>
      <c r="T118" s="134"/>
    </row>
    <row r="119">
      <c r="A119" s="159"/>
      <c r="B119" s="191"/>
      <c r="C119" s="70"/>
      <c r="D119" s="70"/>
      <c r="E119" s="192"/>
      <c r="F119" s="162"/>
      <c r="G119" s="70"/>
      <c r="H119" s="70"/>
      <c r="I119" s="193"/>
      <c r="J119" s="159"/>
      <c r="K119" s="159"/>
      <c r="L119" s="159"/>
      <c r="M119" s="161"/>
      <c r="N119" s="5"/>
      <c r="O119" s="31"/>
      <c r="P119" s="32"/>
      <c r="S119" s="31"/>
      <c r="T119" s="134"/>
    </row>
    <row r="120">
      <c r="A120" s="159"/>
      <c r="B120" s="191"/>
      <c r="C120" s="70"/>
      <c r="D120" s="70"/>
      <c r="E120" s="192"/>
      <c r="F120" s="162"/>
      <c r="G120" s="70"/>
      <c r="H120" s="70"/>
      <c r="I120" s="193"/>
      <c r="J120" s="159"/>
      <c r="K120" s="159"/>
      <c r="L120" s="159"/>
      <c r="M120" s="161"/>
      <c r="N120" s="5"/>
      <c r="O120" s="31"/>
      <c r="P120" s="32"/>
      <c r="S120" s="31"/>
      <c r="T120" s="134"/>
    </row>
    <row r="121">
      <c r="A121" s="159"/>
      <c r="B121" s="191"/>
      <c r="C121" s="70"/>
      <c r="D121" s="70"/>
      <c r="E121" s="192"/>
      <c r="F121" s="162"/>
      <c r="G121" s="70"/>
      <c r="H121" s="70"/>
      <c r="I121" s="193"/>
      <c r="J121" s="159"/>
      <c r="K121" s="159"/>
      <c r="L121" s="159"/>
      <c r="M121" s="161"/>
      <c r="N121" s="7"/>
      <c r="O121" s="33"/>
      <c r="P121" s="34"/>
      <c r="Q121" s="35"/>
      <c r="R121" s="35"/>
      <c r="S121" s="36"/>
      <c r="T121" s="134"/>
    </row>
    <row r="122">
      <c r="A122" s="159"/>
      <c r="B122" s="191"/>
      <c r="C122" s="70"/>
      <c r="D122" s="70"/>
      <c r="E122" s="192"/>
      <c r="F122" s="162"/>
      <c r="G122" s="70"/>
      <c r="H122" s="70"/>
      <c r="I122" s="193"/>
      <c r="J122" s="159"/>
      <c r="K122" s="159"/>
      <c r="L122" s="159"/>
      <c r="M122" s="161"/>
      <c r="N122" s="1"/>
      <c r="O122" s="1"/>
      <c r="P122" s="16"/>
      <c r="Q122" s="16"/>
      <c r="R122" s="16"/>
      <c r="S122" s="16"/>
      <c r="T122" s="1"/>
    </row>
    <row r="123">
      <c r="A123" s="159"/>
      <c r="B123" s="191"/>
      <c r="C123" s="70"/>
      <c r="D123" s="70"/>
      <c r="E123" s="192"/>
      <c r="F123" s="162"/>
      <c r="G123" s="70"/>
      <c r="H123" s="70"/>
      <c r="I123" s="193"/>
      <c r="J123" s="159"/>
      <c r="K123" s="159"/>
      <c r="L123" s="159"/>
      <c r="M123" s="194"/>
      <c r="N123" s="155"/>
      <c r="O123" s="155"/>
      <c r="P123" s="155"/>
      <c r="Q123" s="155"/>
      <c r="R123" s="155"/>
      <c r="S123" s="155"/>
      <c r="T123" s="155"/>
    </row>
    <row r="124">
      <c r="A124" s="159"/>
      <c r="B124" s="191"/>
      <c r="C124" s="70"/>
      <c r="D124" s="70"/>
      <c r="E124" s="192"/>
      <c r="F124" s="162"/>
      <c r="G124" s="70"/>
      <c r="H124" s="70"/>
      <c r="I124" s="193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</row>
    <row r="125">
      <c r="A125" s="159"/>
      <c r="B125" s="195"/>
      <c r="C125" s="195"/>
      <c r="D125" s="195"/>
      <c r="E125" s="195"/>
      <c r="F125" s="195"/>
      <c r="G125" s="195"/>
      <c r="H125" s="196"/>
      <c r="I125" s="196"/>
      <c r="J125" s="159"/>
      <c r="K125" s="159"/>
      <c r="L125" s="197" t="s">
        <v>183</v>
      </c>
      <c r="M125" s="164"/>
      <c r="N125" s="164"/>
      <c r="O125" s="164"/>
      <c r="P125" s="164"/>
      <c r="Q125" s="164"/>
      <c r="R125" s="164"/>
      <c r="S125" s="165"/>
      <c r="T125" s="159"/>
    </row>
    <row r="126">
      <c r="A126" s="159"/>
      <c r="B126" s="198" t="s">
        <v>184</v>
      </c>
      <c r="C126" s="164"/>
      <c r="D126" s="164"/>
      <c r="E126" s="164"/>
      <c r="F126" s="164"/>
      <c r="G126" s="164"/>
      <c r="H126" s="164"/>
      <c r="I126" s="165"/>
      <c r="J126" s="159"/>
      <c r="K126" s="159"/>
      <c r="L126" s="171"/>
      <c r="M126" s="172"/>
      <c r="N126" s="172"/>
      <c r="O126" s="172"/>
      <c r="P126" s="172"/>
      <c r="Q126" s="172"/>
      <c r="R126" s="172"/>
      <c r="S126" s="173"/>
      <c r="T126" s="159"/>
    </row>
    <row r="127">
      <c r="A127" s="159"/>
      <c r="B127" s="171"/>
      <c r="C127" s="172"/>
      <c r="D127" s="172"/>
      <c r="E127" s="172"/>
      <c r="F127" s="172"/>
      <c r="G127" s="172"/>
      <c r="H127" s="172"/>
      <c r="I127" s="173"/>
      <c r="J127" s="159"/>
      <c r="K127" s="166" t="s">
        <v>185</v>
      </c>
      <c r="L127" s="199"/>
      <c r="M127" s="200">
        <v>25150.0</v>
      </c>
      <c r="N127" s="166" t="s">
        <v>186</v>
      </c>
      <c r="O127" s="167"/>
      <c r="P127" s="160">
        <f>sum(P130:P250)</f>
        <v>23200</v>
      </c>
      <c r="Q127" s="166" t="s">
        <v>187</v>
      </c>
      <c r="R127" s="167"/>
      <c r="S127" s="201">
        <f>M127-P127</f>
        <v>1950</v>
      </c>
      <c r="T127" s="159"/>
    </row>
    <row r="128">
      <c r="A128" s="159"/>
      <c r="B128" s="202"/>
      <c r="C128" s="202"/>
      <c r="D128" s="202"/>
      <c r="E128" s="202"/>
      <c r="F128" s="202"/>
      <c r="G128" s="202"/>
      <c r="H128" s="202"/>
      <c r="I128" s="202"/>
      <c r="J128" s="159"/>
      <c r="K128" s="159"/>
      <c r="L128" s="159"/>
      <c r="M128" s="195"/>
      <c r="N128" s="159"/>
      <c r="O128" s="159"/>
      <c r="P128" s="159"/>
      <c r="Q128" s="159"/>
      <c r="R128" s="159"/>
      <c r="S128" s="159"/>
      <c r="T128" s="159"/>
    </row>
    <row r="129">
      <c r="A129" s="159"/>
      <c r="B129" s="159"/>
      <c r="C129" s="159"/>
      <c r="D129" s="166" t="s">
        <v>188</v>
      </c>
      <c r="E129" s="199"/>
      <c r="F129" s="203"/>
      <c r="G129" s="167"/>
      <c r="H129" s="160"/>
      <c r="I129" s="160"/>
      <c r="J129" s="159"/>
      <c r="K129" s="204" t="s">
        <v>183</v>
      </c>
      <c r="L129" s="188"/>
      <c r="M129" s="188"/>
      <c r="N129" s="188"/>
      <c r="O129" s="189"/>
      <c r="P129" s="205" t="s">
        <v>189</v>
      </c>
      <c r="Q129" s="189"/>
      <c r="R129" s="205" t="s">
        <v>190</v>
      </c>
      <c r="S129" s="177"/>
      <c r="T129" s="159"/>
    </row>
    <row r="130">
      <c r="A130" s="159"/>
      <c r="B130" s="206"/>
      <c r="C130" s="186"/>
      <c r="D130" s="186"/>
      <c r="E130" s="186"/>
      <c r="F130" s="186"/>
      <c r="G130" s="186"/>
      <c r="H130" s="186"/>
      <c r="I130" s="167"/>
      <c r="J130" s="159"/>
      <c r="K130" s="207" t="s">
        <v>191</v>
      </c>
      <c r="L130" s="70"/>
      <c r="M130" s="70"/>
      <c r="N130" s="70"/>
      <c r="O130" s="192"/>
      <c r="P130" s="100">
        <v>250.0</v>
      </c>
      <c r="Q130" s="192"/>
      <c r="R130" s="100" t="s">
        <v>192</v>
      </c>
      <c r="S130" s="193"/>
      <c r="T130" s="159"/>
    </row>
    <row r="131">
      <c r="A131" s="159"/>
      <c r="B131" s="208"/>
      <c r="C131" s="188"/>
      <c r="D131" s="188"/>
      <c r="E131" s="188"/>
      <c r="F131" s="188"/>
      <c r="G131" s="188"/>
      <c r="H131" s="188"/>
      <c r="I131" s="177"/>
      <c r="J131" s="159"/>
      <c r="K131" s="207" t="s">
        <v>193</v>
      </c>
      <c r="L131" s="70"/>
      <c r="M131" s="70"/>
      <c r="N131" s="70"/>
      <c r="O131" s="192"/>
      <c r="P131" s="100">
        <v>750.0</v>
      </c>
      <c r="Q131" s="192"/>
      <c r="R131" s="100" t="s">
        <v>192</v>
      </c>
      <c r="S131" s="193"/>
      <c r="T131" s="159"/>
    </row>
    <row r="132">
      <c r="A132" s="159"/>
      <c r="B132" s="191"/>
      <c r="C132" s="70"/>
      <c r="D132" s="70"/>
      <c r="E132" s="70"/>
      <c r="F132" s="70"/>
      <c r="G132" s="70"/>
      <c r="H132" s="70"/>
      <c r="I132" s="193"/>
      <c r="J132" s="159"/>
      <c r="K132" s="209" t="s">
        <v>194</v>
      </c>
      <c r="L132" s="70"/>
      <c r="M132" s="70"/>
      <c r="N132" s="70"/>
      <c r="O132" s="192"/>
      <c r="P132" s="210">
        <v>1800.0</v>
      </c>
      <c r="Q132" s="192"/>
      <c r="R132" s="100" t="s">
        <v>192</v>
      </c>
      <c r="S132" s="193"/>
      <c r="T132" s="159"/>
    </row>
    <row r="133">
      <c r="A133" s="159"/>
      <c r="B133" s="191"/>
      <c r="C133" s="70"/>
      <c r="D133" s="70"/>
      <c r="E133" s="70"/>
      <c r="F133" s="70"/>
      <c r="G133" s="70"/>
      <c r="H133" s="70"/>
      <c r="I133" s="193"/>
      <c r="J133" s="159"/>
      <c r="K133" s="207" t="s">
        <v>195</v>
      </c>
      <c r="L133" s="70"/>
      <c r="M133" s="70"/>
      <c r="N133" s="70"/>
      <c r="O133" s="192"/>
      <c r="P133" s="100">
        <v>250.0</v>
      </c>
      <c r="Q133" s="192"/>
      <c r="R133" s="100" t="s">
        <v>192</v>
      </c>
      <c r="S133" s="193"/>
      <c r="T133" s="159"/>
    </row>
    <row r="134">
      <c r="A134" s="159"/>
      <c r="B134" s="191"/>
      <c r="C134" s="70"/>
      <c r="D134" s="70"/>
      <c r="E134" s="70"/>
      <c r="F134" s="70"/>
      <c r="G134" s="70"/>
      <c r="H134" s="70"/>
      <c r="I134" s="193"/>
      <c r="J134" s="159"/>
      <c r="K134" s="209" t="s">
        <v>196</v>
      </c>
      <c r="L134" s="70"/>
      <c r="M134" s="70"/>
      <c r="N134" s="70"/>
      <c r="O134" s="192"/>
      <c r="P134" s="210">
        <v>750.0</v>
      </c>
      <c r="Q134" s="192"/>
      <c r="R134" s="100" t="s">
        <v>192</v>
      </c>
      <c r="S134" s="193"/>
      <c r="T134" s="159"/>
    </row>
    <row r="135">
      <c r="A135" s="159"/>
      <c r="B135" s="191"/>
      <c r="C135" s="70"/>
      <c r="D135" s="70"/>
      <c r="E135" s="70"/>
      <c r="F135" s="70"/>
      <c r="G135" s="70"/>
      <c r="H135" s="70"/>
      <c r="I135" s="193"/>
      <c r="J135" s="159"/>
      <c r="K135" s="207" t="s">
        <v>197</v>
      </c>
      <c r="L135" s="70"/>
      <c r="M135" s="70"/>
      <c r="N135" s="70"/>
      <c r="O135" s="192"/>
      <c r="P135" s="100">
        <v>250.0</v>
      </c>
      <c r="Q135" s="192"/>
      <c r="R135" s="100" t="s">
        <v>198</v>
      </c>
      <c r="S135" s="193"/>
      <c r="T135" s="159"/>
    </row>
    <row r="136">
      <c r="A136" s="159"/>
      <c r="B136" s="191"/>
      <c r="C136" s="70"/>
      <c r="D136" s="70"/>
      <c r="E136" s="70"/>
      <c r="F136" s="70"/>
      <c r="G136" s="70"/>
      <c r="H136" s="70"/>
      <c r="I136" s="193"/>
      <c r="J136" s="159"/>
      <c r="K136" s="207" t="s">
        <v>199</v>
      </c>
      <c r="L136" s="70"/>
      <c r="M136" s="70"/>
      <c r="N136" s="70"/>
      <c r="O136" s="192"/>
      <c r="P136" s="100">
        <v>250.0</v>
      </c>
      <c r="Q136" s="192"/>
      <c r="R136" s="100" t="s">
        <v>198</v>
      </c>
      <c r="S136" s="193"/>
      <c r="T136" s="159"/>
    </row>
    <row r="137">
      <c r="A137" s="159"/>
      <c r="B137" s="191"/>
      <c r="C137" s="70"/>
      <c r="D137" s="70"/>
      <c r="E137" s="70"/>
      <c r="F137" s="70"/>
      <c r="G137" s="70"/>
      <c r="H137" s="70"/>
      <c r="I137" s="193"/>
      <c r="J137" s="159"/>
      <c r="K137" s="207" t="s">
        <v>200</v>
      </c>
      <c r="L137" s="70"/>
      <c r="M137" s="70"/>
      <c r="N137" s="70"/>
      <c r="O137" s="192"/>
      <c r="P137" s="100">
        <v>200.0</v>
      </c>
      <c r="Q137" s="192"/>
      <c r="R137" s="100" t="s">
        <v>198</v>
      </c>
      <c r="S137" s="193"/>
      <c r="T137" s="159"/>
    </row>
    <row r="138">
      <c r="A138" s="159"/>
      <c r="B138" s="191"/>
      <c r="C138" s="70"/>
      <c r="D138" s="70"/>
      <c r="E138" s="70"/>
      <c r="F138" s="70"/>
      <c r="G138" s="70"/>
      <c r="H138" s="70"/>
      <c r="I138" s="193"/>
      <c r="J138" s="159"/>
      <c r="K138" s="207" t="s">
        <v>201</v>
      </c>
      <c r="L138" s="70"/>
      <c r="M138" s="70"/>
      <c r="N138" s="70"/>
      <c r="O138" s="192"/>
      <c r="P138" s="100">
        <v>200.0</v>
      </c>
      <c r="Q138" s="192"/>
      <c r="R138" s="100" t="s">
        <v>198</v>
      </c>
      <c r="S138" s="193"/>
      <c r="T138" s="159"/>
    </row>
    <row r="139">
      <c r="A139" s="159"/>
      <c r="B139" s="191"/>
      <c r="C139" s="70"/>
      <c r="D139" s="70"/>
      <c r="E139" s="70"/>
      <c r="F139" s="70"/>
      <c r="G139" s="70"/>
      <c r="H139" s="70"/>
      <c r="I139" s="193"/>
      <c r="J139" s="159"/>
      <c r="K139" s="207" t="s">
        <v>202</v>
      </c>
      <c r="L139" s="70"/>
      <c r="M139" s="70"/>
      <c r="N139" s="70"/>
      <c r="O139" s="192"/>
      <c r="P139" s="100">
        <v>200.0</v>
      </c>
      <c r="Q139" s="192"/>
      <c r="R139" s="100" t="s">
        <v>198</v>
      </c>
      <c r="S139" s="193"/>
      <c r="T139" s="159"/>
    </row>
    <row r="140">
      <c r="A140" s="159"/>
      <c r="B140" s="191"/>
      <c r="C140" s="70"/>
      <c r="D140" s="70"/>
      <c r="E140" s="70"/>
      <c r="F140" s="70"/>
      <c r="G140" s="70"/>
      <c r="H140" s="70"/>
      <c r="I140" s="193"/>
      <c r="J140" s="159"/>
      <c r="K140" s="207" t="s">
        <v>203</v>
      </c>
      <c r="L140" s="70"/>
      <c r="M140" s="70"/>
      <c r="N140" s="70"/>
      <c r="O140" s="192"/>
      <c r="P140" s="100">
        <v>350.0</v>
      </c>
      <c r="Q140" s="192"/>
      <c r="R140" s="100" t="s">
        <v>198</v>
      </c>
      <c r="S140" s="193"/>
      <c r="T140" s="159"/>
    </row>
    <row r="141">
      <c r="A141" s="159"/>
      <c r="B141" s="191"/>
      <c r="C141" s="70"/>
      <c r="D141" s="70"/>
      <c r="E141" s="70"/>
      <c r="F141" s="70"/>
      <c r="G141" s="70"/>
      <c r="H141" s="70"/>
      <c r="I141" s="193"/>
      <c r="J141" s="159"/>
      <c r="K141" s="207" t="s">
        <v>204</v>
      </c>
      <c r="L141" s="70"/>
      <c r="M141" s="70"/>
      <c r="N141" s="70"/>
      <c r="O141" s="192"/>
      <c r="P141" s="100">
        <v>750.0</v>
      </c>
      <c r="Q141" s="192"/>
      <c r="R141" s="100" t="s">
        <v>198</v>
      </c>
      <c r="S141" s="193"/>
      <c r="T141" s="159"/>
    </row>
    <row r="142">
      <c r="A142" s="159"/>
      <c r="B142" s="191"/>
      <c r="C142" s="70"/>
      <c r="D142" s="70"/>
      <c r="E142" s="70"/>
      <c r="F142" s="70"/>
      <c r="G142" s="70"/>
      <c r="H142" s="70"/>
      <c r="I142" s="193"/>
      <c r="J142" s="159"/>
      <c r="K142" s="207" t="s">
        <v>205</v>
      </c>
      <c r="L142" s="70"/>
      <c r="M142" s="70"/>
      <c r="N142" s="70"/>
      <c r="O142" s="192"/>
      <c r="P142" s="100">
        <v>350.0</v>
      </c>
      <c r="Q142" s="192"/>
      <c r="R142" s="100" t="s">
        <v>198</v>
      </c>
      <c r="S142" s="193"/>
      <c r="T142" s="159"/>
    </row>
    <row r="143">
      <c r="A143" s="159"/>
      <c r="B143" s="191"/>
      <c r="C143" s="70"/>
      <c r="D143" s="70"/>
      <c r="E143" s="70"/>
      <c r="F143" s="70"/>
      <c r="G143" s="70"/>
      <c r="H143" s="70"/>
      <c r="I143" s="193"/>
      <c r="J143" s="159"/>
      <c r="K143" s="207" t="s">
        <v>206</v>
      </c>
      <c r="L143" s="70"/>
      <c r="M143" s="70"/>
      <c r="N143" s="70"/>
      <c r="O143" s="192"/>
      <c r="P143" s="100">
        <v>250.0</v>
      </c>
      <c r="Q143" s="192"/>
      <c r="R143" s="100" t="s">
        <v>198</v>
      </c>
      <c r="S143" s="193"/>
      <c r="T143" s="159"/>
    </row>
    <row r="144">
      <c r="A144" s="159"/>
      <c r="B144" s="191"/>
      <c r="C144" s="70"/>
      <c r="D144" s="70"/>
      <c r="E144" s="70"/>
      <c r="F144" s="70"/>
      <c r="G144" s="70"/>
      <c r="H144" s="70"/>
      <c r="I144" s="193"/>
      <c r="J144" s="159"/>
      <c r="K144" s="207" t="s">
        <v>207</v>
      </c>
      <c r="L144" s="70"/>
      <c r="M144" s="70"/>
      <c r="N144" s="70"/>
      <c r="O144" s="192"/>
      <c r="P144" s="100">
        <v>500.0</v>
      </c>
      <c r="Q144" s="192"/>
      <c r="R144" s="100" t="s">
        <v>198</v>
      </c>
      <c r="S144" s="193"/>
      <c r="T144" s="159"/>
    </row>
    <row r="145">
      <c r="A145" s="159"/>
      <c r="B145" s="191"/>
      <c r="C145" s="70"/>
      <c r="D145" s="70"/>
      <c r="E145" s="70"/>
      <c r="F145" s="70"/>
      <c r="G145" s="70"/>
      <c r="H145" s="70"/>
      <c r="I145" s="193"/>
      <c r="J145" s="159"/>
      <c r="K145" s="209" t="s">
        <v>208</v>
      </c>
      <c r="L145" s="70"/>
      <c r="M145" s="70"/>
      <c r="N145" s="70"/>
      <c r="O145" s="192"/>
      <c r="P145" s="210">
        <v>1600.0</v>
      </c>
      <c r="Q145" s="192"/>
      <c r="R145" s="100" t="s">
        <v>198</v>
      </c>
      <c r="S145" s="193"/>
      <c r="T145" s="159"/>
    </row>
    <row r="146">
      <c r="A146" s="159"/>
      <c r="B146" s="191"/>
      <c r="C146" s="70"/>
      <c r="D146" s="70"/>
      <c r="E146" s="70"/>
      <c r="F146" s="70"/>
      <c r="G146" s="70"/>
      <c r="H146" s="70"/>
      <c r="I146" s="193"/>
      <c r="J146" s="159"/>
      <c r="K146" s="207" t="s">
        <v>209</v>
      </c>
      <c r="L146" s="70"/>
      <c r="M146" s="70"/>
      <c r="N146" s="70"/>
      <c r="O146" s="192"/>
      <c r="P146" s="100">
        <v>1500.0</v>
      </c>
      <c r="Q146" s="192"/>
      <c r="R146" s="100" t="s">
        <v>210</v>
      </c>
      <c r="S146" s="193"/>
      <c r="T146" s="159"/>
    </row>
    <row r="147">
      <c r="A147" s="159"/>
      <c r="B147" s="191"/>
      <c r="C147" s="70"/>
      <c r="D147" s="70"/>
      <c r="E147" s="70"/>
      <c r="F147" s="70"/>
      <c r="G147" s="70"/>
      <c r="H147" s="70"/>
      <c r="I147" s="193"/>
      <c r="J147" s="159"/>
      <c r="K147" s="209" t="s">
        <v>211</v>
      </c>
      <c r="L147" s="70"/>
      <c r="M147" s="70"/>
      <c r="N147" s="70"/>
      <c r="O147" s="192"/>
      <c r="P147" s="210">
        <v>250.0</v>
      </c>
      <c r="Q147" s="192"/>
      <c r="R147" s="100" t="s">
        <v>210</v>
      </c>
      <c r="S147" s="193"/>
      <c r="T147" s="159"/>
    </row>
    <row r="148">
      <c r="A148" s="159"/>
      <c r="B148" s="191"/>
      <c r="C148" s="70"/>
      <c r="D148" s="70"/>
      <c r="E148" s="70"/>
      <c r="F148" s="70"/>
      <c r="G148" s="70"/>
      <c r="H148" s="70"/>
      <c r="I148" s="193"/>
      <c r="J148" s="159"/>
      <c r="K148" s="209" t="s">
        <v>212</v>
      </c>
      <c r="L148" s="70"/>
      <c r="M148" s="70"/>
      <c r="N148" s="70"/>
      <c r="O148" s="192"/>
      <c r="P148" s="210">
        <v>2500.0</v>
      </c>
      <c r="Q148" s="192"/>
      <c r="R148" s="100" t="s">
        <v>210</v>
      </c>
      <c r="S148" s="193"/>
      <c r="T148" s="159"/>
    </row>
    <row r="149">
      <c r="A149" s="159"/>
      <c r="B149" s="191"/>
      <c r="C149" s="70"/>
      <c r="D149" s="70"/>
      <c r="E149" s="70"/>
      <c r="F149" s="70"/>
      <c r="G149" s="70"/>
      <c r="H149" s="70"/>
      <c r="I149" s="193"/>
      <c r="J149" s="159"/>
      <c r="K149" s="207" t="s">
        <v>213</v>
      </c>
      <c r="L149" s="70"/>
      <c r="M149" s="70"/>
      <c r="N149" s="70"/>
      <c r="O149" s="192"/>
      <c r="P149" s="100">
        <v>200.0</v>
      </c>
      <c r="Q149" s="192"/>
      <c r="R149" s="100" t="s">
        <v>210</v>
      </c>
      <c r="S149" s="193"/>
      <c r="T149" s="159"/>
    </row>
    <row r="150">
      <c r="A150" s="159"/>
      <c r="B150" s="191"/>
      <c r="C150" s="70"/>
      <c r="D150" s="70"/>
      <c r="E150" s="70"/>
      <c r="F150" s="70"/>
      <c r="G150" s="70"/>
      <c r="H150" s="70"/>
      <c r="I150" s="193"/>
      <c r="J150" s="159"/>
      <c r="K150" s="209" t="s">
        <v>214</v>
      </c>
      <c r="L150" s="70"/>
      <c r="M150" s="70"/>
      <c r="N150" s="70"/>
      <c r="O150" s="192"/>
      <c r="P150" s="210">
        <v>1300.0</v>
      </c>
      <c r="Q150" s="192"/>
      <c r="R150" s="210" t="s">
        <v>198</v>
      </c>
      <c r="S150" s="193"/>
      <c r="T150" s="159"/>
    </row>
    <row r="151">
      <c r="A151" s="159"/>
      <c r="B151" s="191"/>
      <c r="C151" s="70"/>
      <c r="D151" s="70"/>
      <c r="E151" s="70"/>
      <c r="F151" s="70"/>
      <c r="G151" s="70"/>
      <c r="H151" s="70"/>
      <c r="I151" s="193"/>
      <c r="J151" s="159"/>
      <c r="K151" s="209" t="s">
        <v>215</v>
      </c>
      <c r="L151" s="70"/>
      <c r="M151" s="70"/>
      <c r="N151" s="70"/>
      <c r="O151" s="70"/>
      <c r="P151" s="210">
        <v>350.0</v>
      </c>
      <c r="Q151" s="70"/>
      <c r="R151" s="210" t="s">
        <v>210</v>
      </c>
      <c r="S151" s="70"/>
      <c r="T151" s="159"/>
    </row>
    <row r="152">
      <c r="A152" s="159"/>
      <c r="B152" s="191"/>
      <c r="C152" s="70"/>
      <c r="D152" s="70"/>
      <c r="E152" s="70"/>
      <c r="F152" s="70"/>
      <c r="G152" s="70"/>
      <c r="H152" s="70"/>
      <c r="I152" s="193"/>
      <c r="J152" s="159"/>
      <c r="K152" s="209" t="s">
        <v>216</v>
      </c>
      <c r="L152" s="70"/>
      <c r="M152" s="70"/>
      <c r="N152" s="70"/>
      <c r="O152" s="70"/>
      <c r="P152" s="210">
        <v>1250.0</v>
      </c>
      <c r="Q152" s="70"/>
      <c r="R152" s="100" t="s">
        <v>210</v>
      </c>
      <c r="S152" s="70"/>
      <c r="T152" s="159"/>
    </row>
    <row r="153">
      <c r="A153" s="159"/>
      <c r="B153" s="191"/>
      <c r="C153" s="70"/>
      <c r="D153" s="70"/>
      <c r="E153" s="70"/>
      <c r="F153" s="70"/>
      <c r="G153" s="70"/>
      <c r="H153" s="70"/>
      <c r="I153" s="193"/>
      <c r="J153" s="159"/>
      <c r="K153" s="207" t="s">
        <v>217</v>
      </c>
      <c r="L153" s="70"/>
      <c r="M153" s="70"/>
      <c r="N153" s="70"/>
      <c r="O153" s="70"/>
      <c r="P153" s="100">
        <v>250.0</v>
      </c>
      <c r="Q153" s="70"/>
      <c r="R153" s="100" t="s">
        <v>210</v>
      </c>
      <c r="S153" s="70"/>
      <c r="T153" s="159"/>
    </row>
    <row r="154">
      <c r="A154" s="159"/>
      <c r="B154" s="191"/>
      <c r="C154" s="70"/>
      <c r="D154" s="70"/>
      <c r="E154" s="70"/>
      <c r="F154" s="70"/>
      <c r="G154" s="70"/>
      <c r="H154" s="70"/>
      <c r="I154" s="193"/>
      <c r="J154" s="159"/>
      <c r="K154" s="207" t="s">
        <v>218</v>
      </c>
      <c r="L154" s="70"/>
      <c r="M154" s="70"/>
      <c r="N154" s="70"/>
      <c r="O154" s="192"/>
      <c r="P154" s="100">
        <v>200.0</v>
      </c>
      <c r="Q154" s="192"/>
      <c r="R154" s="100" t="s">
        <v>210</v>
      </c>
      <c r="S154" s="193"/>
      <c r="T154" s="159"/>
    </row>
    <row r="155">
      <c r="A155" s="159"/>
      <c r="B155" s="191"/>
      <c r="C155" s="70"/>
      <c r="D155" s="70"/>
      <c r="E155" s="70"/>
      <c r="F155" s="70"/>
      <c r="G155" s="70"/>
      <c r="H155" s="70"/>
      <c r="I155" s="193"/>
      <c r="J155" s="159"/>
      <c r="K155" s="207" t="s">
        <v>206</v>
      </c>
      <c r="L155" s="70"/>
      <c r="M155" s="70"/>
      <c r="N155" s="70"/>
      <c r="O155" s="192"/>
      <c r="P155" s="100">
        <v>200.0</v>
      </c>
      <c r="Q155" s="192"/>
      <c r="R155" s="100" t="s">
        <v>198</v>
      </c>
      <c r="S155" s="193"/>
      <c r="T155" s="159"/>
    </row>
    <row r="156">
      <c r="A156" s="159"/>
      <c r="B156" s="191"/>
      <c r="C156" s="70"/>
      <c r="D156" s="70"/>
      <c r="E156" s="70"/>
      <c r="F156" s="70"/>
      <c r="G156" s="70"/>
      <c r="H156" s="70"/>
      <c r="I156" s="193"/>
      <c r="J156" s="159"/>
      <c r="K156" s="207" t="s">
        <v>219</v>
      </c>
      <c r="L156" s="70"/>
      <c r="M156" s="70"/>
      <c r="N156" s="70"/>
      <c r="O156" s="192"/>
      <c r="P156" s="100">
        <v>250.0</v>
      </c>
      <c r="Q156" s="192"/>
      <c r="R156" s="100" t="s">
        <v>220</v>
      </c>
      <c r="S156" s="193"/>
      <c r="T156" s="159"/>
    </row>
    <row r="157">
      <c r="A157" s="159"/>
      <c r="B157" s="191"/>
      <c r="C157" s="70"/>
      <c r="D157" s="70"/>
      <c r="E157" s="70"/>
      <c r="F157" s="70"/>
      <c r="G157" s="70"/>
      <c r="H157" s="70"/>
      <c r="I157" s="193"/>
      <c r="J157" s="159"/>
      <c r="K157" s="209" t="s">
        <v>221</v>
      </c>
      <c r="L157" s="70"/>
      <c r="M157" s="70"/>
      <c r="N157" s="70"/>
      <c r="O157" s="70"/>
      <c r="P157" s="210">
        <v>500.0</v>
      </c>
      <c r="Q157" s="70"/>
      <c r="R157" s="210" t="s">
        <v>210</v>
      </c>
      <c r="S157" s="70"/>
      <c r="T157" s="159"/>
    </row>
    <row r="158">
      <c r="A158" s="159"/>
      <c r="B158" s="191"/>
      <c r="C158" s="70"/>
      <c r="D158" s="70"/>
      <c r="E158" s="70"/>
      <c r="F158" s="70"/>
      <c r="G158" s="70"/>
      <c r="H158" s="70"/>
      <c r="I158" s="193"/>
      <c r="J158" s="159"/>
      <c r="K158" s="209" t="s">
        <v>222</v>
      </c>
      <c r="L158" s="70"/>
      <c r="M158" s="70"/>
      <c r="N158" s="70"/>
      <c r="O158" s="70"/>
      <c r="P158" s="210">
        <v>500.0</v>
      </c>
      <c r="Q158" s="70"/>
      <c r="R158" s="210" t="s">
        <v>210</v>
      </c>
      <c r="S158" s="70"/>
      <c r="T158" s="159"/>
    </row>
    <row r="159">
      <c r="A159" s="159"/>
      <c r="B159" s="191"/>
      <c r="C159" s="70"/>
      <c r="D159" s="70"/>
      <c r="E159" s="70"/>
      <c r="F159" s="70"/>
      <c r="G159" s="70"/>
      <c r="H159" s="70"/>
      <c r="I159" s="193"/>
      <c r="J159" s="159"/>
      <c r="K159" s="209" t="s">
        <v>223</v>
      </c>
      <c r="L159" s="70"/>
      <c r="M159" s="70"/>
      <c r="N159" s="70"/>
      <c r="O159" s="192"/>
      <c r="P159" s="210">
        <v>350.0</v>
      </c>
      <c r="Q159" s="192"/>
      <c r="R159" s="210" t="s">
        <v>198</v>
      </c>
      <c r="S159" s="193"/>
      <c r="T159" s="159"/>
    </row>
    <row r="160">
      <c r="A160" s="159"/>
      <c r="B160" s="191"/>
      <c r="C160" s="70"/>
      <c r="D160" s="70"/>
      <c r="E160" s="70"/>
      <c r="F160" s="70"/>
      <c r="G160" s="70"/>
      <c r="H160" s="70"/>
      <c r="I160" s="193"/>
      <c r="J160" s="159"/>
      <c r="K160" s="209" t="s">
        <v>224</v>
      </c>
      <c r="L160" s="70"/>
      <c r="M160" s="70"/>
      <c r="N160" s="70"/>
      <c r="O160" s="192"/>
      <c r="P160" s="210">
        <v>750.0</v>
      </c>
      <c r="Q160" s="192"/>
      <c r="R160" s="210" t="s">
        <v>210</v>
      </c>
      <c r="S160" s="193"/>
      <c r="T160" s="159"/>
    </row>
    <row r="161">
      <c r="A161" s="159"/>
      <c r="B161" s="191"/>
      <c r="C161" s="70"/>
      <c r="D161" s="70"/>
      <c r="E161" s="70"/>
      <c r="F161" s="70"/>
      <c r="G161" s="70"/>
      <c r="H161" s="70"/>
      <c r="I161" s="193"/>
      <c r="J161" s="159"/>
      <c r="K161" s="209" t="s">
        <v>225</v>
      </c>
      <c r="L161" s="70"/>
      <c r="M161" s="70"/>
      <c r="N161" s="70"/>
      <c r="O161" s="192"/>
      <c r="P161" s="210">
        <v>750.0</v>
      </c>
      <c r="Q161" s="192"/>
      <c r="R161" s="210" t="s">
        <v>210</v>
      </c>
      <c r="S161" s="193"/>
      <c r="T161" s="159"/>
    </row>
    <row r="162">
      <c r="A162" s="159"/>
      <c r="B162" s="191"/>
      <c r="C162" s="70"/>
      <c r="D162" s="70"/>
      <c r="E162" s="70"/>
      <c r="F162" s="70"/>
      <c r="G162" s="70"/>
      <c r="H162" s="70"/>
      <c r="I162" s="193"/>
      <c r="J162" s="159"/>
      <c r="K162" s="209" t="s">
        <v>226</v>
      </c>
      <c r="L162" s="70"/>
      <c r="M162" s="70"/>
      <c r="N162" s="70"/>
      <c r="O162" s="192"/>
      <c r="P162" s="210">
        <v>750.0</v>
      </c>
      <c r="Q162" s="192"/>
      <c r="R162" s="210" t="s">
        <v>210</v>
      </c>
      <c r="S162" s="193"/>
      <c r="T162" s="159"/>
    </row>
    <row r="163">
      <c r="A163" s="159"/>
      <c r="B163" s="191"/>
      <c r="C163" s="70"/>
      <c r="D163" s="70"/>
      <c r="E163" s="70"/>
      <c r="F163" s="70"/>
      <c r="G163" s="70"/>
      <c r="H163" s="70"/>
      <c r="I163" s="193"/>
      <c r="J163" s="159"/>
      <c r="K163" s="209" t="s">
        <v>227</v>
      </c>
      <c r="L163" s="70"/>
      <c r="M163" s="70"/>
      <c r="N163" s="70"/>
      <c r="O163" s="192"/>
      <c r="P163" s="210">
        <v>1050.0</v>
      </c>
      <c r="Q163" s="192"/>
      <c r="R163" s="210" t="s">
        <v>210</v>
      </c>
      <c r="S163" s="193"/>
      <c r="T163" s="159"/>
    </row>
    <row r="164">
      <c r="A164" s="159"/>
      <c r="B164" s="191"/>
      <c r="C164" s="70"/>
      <c r="D164" s="70"/>
      <c r="E164" s="70"/>
      <c r="F164" s="70"/>
      <c r="G164" s="70"/>
      <c r="H164" s="70"/>
      <c r="I164" s="193"/>
      <c r="J164" s="159"/>
      <c r="K164" s="209" t="s">
        <v>228</v>
      </c>
      <c r="L164" s="70"/>
      <c r="M164" s="70"/>
      <c r="N164" s="70"/>
      <c r="O164" s="192"/>
      <c r="P164" s="210">
        <v>500.0</v>
      </c>
      <c r="Q164" s="192"/>
      <c r="R164" s="210" t="s">
        <v>210</v>
      </c>
      <c r="S164" s="193"/>
      <c r="T164" s="159"/>
    </row>
    <row r="165">
      <c r="A165" s="159"/>
      <c r="B165" s="191"/>
      <c r="C165" s="70"/>
      <c r="D165" s="70"/>
      <c r="E165" s="70"/>
      <c r="F165" s="70"/>
      <c r="G165" s="70"/>
      <c r="H165" s="70"/>
      <c r="I165" s="193"/>
      <c r="J165" s="159"/>
      <c r="K165" s="209" t="s">
        <v>223</v>
      </c>
      <c r="L165" s="70"/>
      <c r="M165" s="70"/>
      <c r="N165" s="70"/>
      <c r="O165" s="192"/>
      <c r="P165" s="210">
        <v>500.0</v>
      </c>
      <c r="Q165" s="192"/>
      <c r="R165" s="210" t="s">
        <v>210</v>
      </c>
      <c r="S165" s="193"/>
      <c r="T165" s="159"/>
    </row>
    <row r="166">
      <c r="A166" s="159"/>
      <c r="B166" s="191"/>
      <c r="C166" s="70"/>
      <c r="D166" s="70"/>
      <c r="E166" s="70"/>
      <c r="F166" s="70"/>
      <c r="G166" s="70"/>
      <c r="H166" s="70"/>
      <c r="I166" s="193"/>
      <c r="J166" s="159"/>
      <c r="K166" s="209" t="s">
        <v>229</v>
      </c>
      <c r="L166" s="70"/>
      <c r="M166" s="70"/>
      <c r="N166" s="70"/>
      <c r="O166" s="192"/>
      <c r="P166" s="210">
        <v>200.0</v>
      </c>
      <c r="Q166" s="192"/>
      <c r="R166" s="210" t="s">
        <v>210</v>
      </c>
      <c r="S166" s="193"/>
      <c r="T166" s="159"/>
    </row>
    <row r="167">
      <c r="A167" s="159"/>
      <c r="B167" s="191"/>
      <c r="C167" s="70"/>
      <c r="D167" s="70"/>
      <c r="E167" s="70"/>
      <c r="F167" s="70"/>
      <c r="G167" s="70"/>
      <c r="H167" s="70"/>
      <c r="I167" s="193"/>
      <c r="J167" s="159"/>
      <c r="K167" s="209" t="s">
        <v>230</v>
      </c>
      <c r="L167" s="70"/>
      <c r="M167" s="70"/>
      <c r="N167" s="70"/>
      <c r="O167" s="192"/>
      <c r="P167" s="210">
        <v>400.0</v>
      </c>
      <c r="Q167" s="192"/>
      <c r="R167" s="210" t="s">
        <v>210</v>
      </c>
      <c r="S167" s="193"/>
      <c r="T167" s="159"/>
    </row>
    <row r="168">
      <c r="A168" s="159"/>
      <c r="B168" s="191"/>
      <c r="C168" s="70"/>
      <c r="D168" s="70"/>
      <c r="E168" s="70"/>
      <c r="F168" s="70"/>
      <c r="G168" s="70"/>
      <c r="H168" s="70"/>
      <c r="I168" s="193"/>
      <c r="J168" s="159"/>
      <c r="K168" s="209"/>
      <c r="L168" s="70"/>
      <c r="M168" s="70"/>
      <c r="N168" s="70"/>
      <c r="O168" s="192"/>
      <c r="P168" s="210"/>
      <c r="Q168" s="192"/>
      <c r="R168" s="210"/>
      <c r="S168" s="193"/>
      <c r="T168" s="159"/>
    </row>
    <row r="169">
      <c r="A169" s="159"/>
      <c r="B169" s="191"/>
      <c r="C169" s="70"/>
      <c r="D169" s="70"/>
      <c r="E169" s="70"/>
      <c r="F169" s="70"/>
      <c r="G169" s="70"/>
      <c r="H169" s="70"/>
      <c r="I169" s="193"/>
      <c r="J169" s="159"/>
      <c r="K169" s="191"/>
      <c r="L169" s="70"/>
      <c r="M169" s="70"/>
      <c r="N169" s="70"/>
      <c r="O169" s="192"/>
      <c r="P169" s="148"/>
      <c r="Q169" s="192"/>
      <c r="R169" s="148"/>
      <c r="S169" s="193"/>
      <c r="T169" s="159"/>
    </row>
    <row r="170">
      <c r="A170" s="159"/>
      <c r="B170" s="191"/>
      <c r="C170" s="70"/>
      <c r="D170" s="70"/>
      <c r="E170" s="70"/>
      <c r="F170" s="70"/>
      <c r="G170" s="70"/>
      <c r="H170" s="70"/>
      <c r="I170" s="193"/>
      <c r="J170" s="159"/>
      <c r="K170" s="191"/>
      <c r="L170" s="70"/>
      <c r="M170" s="70"/>
      <c r="N170" s="70"/>
      <c r="O170" s="192"/>
      <c r="P170" s="148"/>
      <c r="Q170" s="192"/>
      <c r="R170" s="148"/>
      <c r="S170" s="193"/>
      <c r="T170" s="159"/>
    </row>
    <row r="171">
      <c r="A171" s="159"/>
      <c r="B171" s="191"/>
      <c r="C171" s="70"/>
      <c r="D171" s="70"/>
      <c r="E171" s="70"/>
      <c r="F171" s="70"/>
      <c r="G171" s="70"/>
      <c r="H171" s="70"/>
      <c r="I171" s="193"/>
      <c r="J171" s="159"/>
      <c r="K171" s="209"/>
      <c r="L171" s="70"/>
      <c r="M171" s="70"/>
      <c r="N171" s="70"/>
      <c r="O171" s="192"/>
      <c r="P171" s="148"/>
      <c r="Q171" s="192"/>
      <c r="R171" s="148"/>
      <c r="S171" s="193"/>
      <c r="T171" s="159"/>
    </row>
    <row r="172">
      <c r="A172" s="159"/>
      <c r="B172" s="191"/>
      <c r="C172" s="70"/>
      <c r="D172" s="70"/>
      <c r="E172" s="70"/>
      <c r="F172" s="70"/>
      <c r="G172" s="70"/>
      <c r="H172" s="70"/>
      <c r="I172" s="193"/>
      <c r="J172" s="159"/>
      <c r="K172" s="191"/>
      <c r="L172" s="70"/>
      <c r="M172" s="70"/>
      <c r="N172" s="70"/>
      <c r="O172" s="192"/>
      <c r="P172" s="148"/>
      <c r="Q172" s="192"/>
      <c r="R172" s="148"/>
      <c r="S172" s="193"/>
      <c r="T172" s="159"/>
    </row>
    <row r="173">
      <c r="A173" s="159"/>
      <c r="B173" s="211"/>
      <c r="C173" s="211"/>
      <c r="D173" s="211"/>
      <c r="E173" s="211"/>
      <c r="F173" s="195"/>
      <c r="G173" s="195"/>
      <c r="H173" s="196"/>
      <c r="I173" s="196"/>
      <c r="J173" s="159"/>
      <c r="K173" s="195"/>
      <c r="L173" s="195"/>
      <c r="M173" s="195"/>
      <c r="N173" s="195"/>
      <c r="O173" s="211"/>
      <c r="P173" s="211"/>
      <c r="Q173" s="211"/>
      <c r="R173" s="211"/>
      <c r="S173" s="211"/>
      <c r="T173" s="159"/>
    </row>
    <row r="174">
      <c r="A174" s="212"/>
      <c r="B174" s="1"/>
      <c r="C174" s="1"/>
      <c r="D174" s="1"/>
      <c r="E174" s="1"/>
      <c r="F174" s="213"/>
      <c r="G174" s="159"/>
      <c r="H174" s="160"/>
      <c r="I174" s="160"/>
      <c r="J174" s="159"/>
      <c r="K174" s="159"/>
      <c r="L174" s="159"/>
      <c r="M174" s="159"/>
      <c r="N174" s="212"/>
      <c r="O174" s="1"/>
      <c r="P174" s="1"/>
      <c r="Q174" s="1"/>
      <c r="R174" s="1"/>
      <c r="S174" s="1"/>
      <c r="T174" s="213"/>
    </row>
    <row r="175">
      <c r="A175" s="212"/>
      <c r="B175" s="1"/>
      <c r="C175" s="1"/>
      <c r="D175" s="1"/>
      <c r="E175" s="1"/>
      <c r="F175" s="213"/>
      <c r="G175" s="159"/>
      <c r="H175" s="198" t="s">
        <v>190</v>
      </c>
      <c r="I175" s="164"/>
      <c r="J175" s="164"/>
      <c r="K175" s="164"/>
      <c r="L175" s="164"/>
      <c r="M175" s="165"/>
      <c r="N175" s="212"/>
      <c r="O175" s="1"/>
      <c r="P175" s="1"/>
      <c r="Q175" s="1"/>
      <c r="R175" s="1"/>
      <c r="S175" s="1"/>
      <c r="T175" s="213"/>
    </row>
    <row r="176">
      <c r="A176" s="159"/>
      <c r="B176" s="214"/>
      <c r="C176" s="214"/>
      <c r="D176" s="214"/>
      <c r="E176" s="214"/>
      <c r="F176" s="159"/>
      <c r="G176" s="159"/>
      <c r="H176" s="171"/>
      <c r="I176" s="172"/>
      <c r="J176" s="172"/>
      <c r="K176" s="172"/>
      <c r="L176" s="172"/>
      <c r="M176" s="173"/>
      <c r="N176" s="159"/>
      <c r="O176" s="214"/>
      <c r="P176" s="214"/>
      <c r="Q176" s="214"/>
      <c r="R176" s="214"/>
      <c r="S176" s="214"/>
      <c r="T176" s="159"/>
    </row>
    <row r="177">
      <c r="A177" s="159"/>
      <c r="B177" s="159"/>
      <c r="C177" s="159"/>
      <c r="D177" s="159"/>
      <c r="E177" s="159"/>
      <c r="F177" s="159"/>
      <c r="G177" s="170"/>
      <c r="H177" s="178"/>
      <c r="I177" s="178"/>
      <c r="J177" s="170"/>
      <c r="K177" s="170"/>
      <c r="L177" s="170"/>
      <c r="M177" s="170"/>
      <c r="N177" s="159"/>
      <c r="O177" s="159"/>
      <c r="P177" s="159"/>
      <c r="Q177" s="159"/>
      <c r="R177" s="159"/>
      <c r="S177" s="159"/>
      <c r="T177" s="159"/>
    </row>
    <row r="178">
      <c r="A178" s="159"/>
      <c r="B178" s="159"/>
      <c r="C178" s="159"/>
      <c r="D178" s="159"/>
      <c r="E178" s="159"/>
      <c r="F178" s="212"/>
      <c r="G178" s="10" t="s">
        <v>231</v>
      </c>
      <c r="H178" s="74"/>
      <c r="I178" s="215">
        <f>countif($R$130:$R$172,"Khorne")</f>
        <v>0</v>
      </c>
      <c r="J178" s="30"/>
      <c r="K178" s="216" t="s">
        <v>220</v>
      </c>
      <c r="L178" s="74"/>
      <c r="M178" s="215">
        <f>countif(R130:R172,"Slaanesh")</f>
        <v>1</v>
      </c>
      <c r="N178" s="213"/>
      <c r="O178" s="159"/>
      <c r="P178" s="159"/>
      <c r="Q178" s="159"/>
      <c r="R178" s="159"/>
      <c r="S178" s="159"/>
      <c r="T178" s="159"/>
    </row>
    <row r="179">
      <c r="A179" s="159"/>
      <c r="B179" s="159"/>
      <c r="C179" s="159"/>
      <c r="D179" s="159"/>
      <c r="E179" s="159"/>
      <c r="F179" s="212"/>
      <c r="G179" s="1"/>
      <c r="H179" s="21"/>
      <c r="I179" s="217"/>
      <c r="J179" s="30"/>
      <c r="K179" s="30"/>
      <c r="L179" s="30"/>
      <c r="M179" s="30"/>
      <c r="N179" s="213"/>
      <c r="O179" s="159"/>
      <c r="P179" s="159"/>
      <c r="Q179" s="159"/>
      <c r="R179" s="159"/>
      <c r="S179" s="159"/>
      <c r="T179" s="159"/>
    </row>
    <row r="180">
      <c r="A180" s="159"/>
      <c r="B180" s="159"/>
      <c r="C180" s="159"/>
      <c r="D180" s="159"/>
      <c r="E180" s="159"/>
      <c r="F180" s="212"/>
      <c r="G180" s="1"/>
      <c r="H180" s="21"/>
      <c r="I180" s="216" t="s">
        <v>210</v>
      </c>
      <c r="J180" s="74"/>
      <c r="K180" s="215">
        <f>countif($R$130:$R$172,"Unaligned")</f>
        <v>18</v>
      </c>
      <c r="L180" s="30"/>
      <c r="M180" s="30"/>
      <c r="N180" s="213"/>
      <c r="O180" s="159"/>
      <c r="P180" s="159"/>
      <c r="Q180" s="159"/>
      <c r="R180" s="159"/>
      <c r="S180" s="159"/>
      <c r="T180" s="159"/>
    </row>
    <row r="181">
      <c r="A181" s="159"/>
      <c r="B181" s="159"/>
      <c r="C181" s="159"/>
      <c r="D181" s="159"/>
      <c r="E181" s="159"/>
      <c r="F181" s="212"/>
      <c r="G181" s="1"/>
      <c r="H181" s="21"/>
      <c r="I181" s="217"/>
      <c r="J181" s="30"/>
      <c r="K181" s="30"/>
      <c r="L181" s="30"/>
      <c r="M181" s="30"/>
      <c r="N181" s="213"/>
      <c r="O181" s="159"/>
      <c r="P181" s="159"/>
      <c r="Q181" s="159"/>
      <c r="R181" s="159"/>
      <c r="S181" s="159"/>
      <c r="T181" s="159"/>
    </row>
    <row r="182">
      <c r="A182" s="159"/>
      <c r="B182" s="159"/>
      <c r="C182" s="159"/>
      <c r="D182" s="159"/>
      <c r="E182" s="159"/>
      <c r="F182" s="212"/>
      <c r="G182" s="10" t="s">
        <v>192</v>
      </c>
      <c r="H182" s="74"/>
      <c r="I182" s="215">
        <f>countif($R$130:$R$172,"Nurgle")</f>
        <v>5</v>
      </c>
      <c r="J182" s="30"/>
      <c r="K182" s="216" t="s">
        <v>198</v>
      </c>
      <c r="L182" s="74"/>
      <c r="M182" s="215">
        <f>countif($R$130:$R$172,"Tzeentch")</f>
        <v>14</v>
      </c>
      <c r="N182" s="213"/>
      <c r="O182" s="159"/>
      <c r="P182" s="159"/>
      <c r="Q182" s="159"/>
      <c r="R182" s="159"/>
      <c r="S182" s="159"/>
      <c r="T182" s="159"/>
    </row>
    <row r="183">
      <c r="A183" s="159"/>
      <c r="B183" s="159"/>
      <c r="C183" s="159"/>
      <c r="D183" s="159"/>
      <c r="E183" s="159"/>
      <c r="F183" s="159"/>
      <c r="G183" s="214"/>
      <c r="H183" s="218"/>
      <c r="I183" s="218"/>
      <c r="J183" s="214"/>
      <c r="K183" s="214"/>
      <c r="L183" s="214"/>
      <c r="M183" s="214"/>
      <c r="N183" s="159"/>
      <c r="O183" s="159"/>
      <c r="P183" s="159"/>
      <c r="Q183" s="159"/>
      <c r="R183" s="159"/>
      <c r="S183" s="159"/>
      <c r="T183" s="159"/>
    </row>
    <row r="184">
      <c r="A184" s="159"/>
      <c r="B184" s="159"/>
      <c r="C184" s="159"/>
      <c r="D184" s="159"/>
      <c r="E184" s="159"/>
      <c r="F184" s="159"/>
      <c r="G184" s="159"/>
      <c r="H184" s="160"/>
      <c r="I184" s="219" t="s">
        <v>232</v>
      </c>
      <c r="J184" s="186"/>
      <c r="K184" s="186"/>
      <c r="L184" s="167"/>
      <c r="M184" s="159"/>
      <c r="N184" s="159"/>
      <c r="O184" s="159"/>
      <c r="P184" s="159"/>
      <c r="Q184" s="159"/>
      <c r="R184" s="159"/>
      <c r="S184" s="159"/>
      <c r="T184" s="159"/>
    </row>
    <row r="185">
      <c r="A185" s="159"/>
      <c r="B185" s="159"/>
      <c r="C185" s="159"/>
      <c r="D185" s="159"/>
      <c r="E185" s="159"/>
      <c r="F185" s="159"/>
      <c r="G185" s="159"/>
      <c r="H185" s="160"/>
      <c r="I185" s="220" t="s">
        <v>210</v>
      </c>
      <c r="J185" s="188"/>
      <c r="K185" s="188"/>
      <c r="L185" s="177"/>
      <c r="M185" s="159"/>
      <c r="N185" s="159"/>
      <c r="O185" s="159"/>
      <c r="P185" s="159"/>
      <c r="Q185" s="159"/>
      <c r="R185" s="159"/>
      <c r="S185" s="159"/>
      <c r="T185" s="159"/>
    </row>
    <row r="186">
      <c r="A186" s="159"/>
      <c r="B186" s="159"/>
      <c r="C186" s="159"/>
      <c r="D186" s="159"/>
      <c r="E186" s="159"/>
      <c r="F186" s="159"/>
      <c r="G186" s="159"/>
      <c r="H186" s="160"/>
      <c r="I186" s="196"/>
      <c r="J186" s="195"/>
      <c r="K186" s="195"/>
      <c r="L186" s="195"/>
      <c r="M186" s="159"/>
      <c r="N186" s="159"/>
      <c r="O186" s="159"/>
      <c r="P186" s="159"/>
      <c r="Q186" s="159"/>
      <c r="R186" s="159"/>
      <c r="S186" s="159"/>
      <c r="T186" s="159"/>
    </row>
    <row r="187">
      <c r="A187" s="159"/>
      <c r="B187" s="159"/>
      <c r="C187" s="159"/>
      <c r="D187" s="159"/>
      <c r="E187" s="159"/>
      <c r="F187" s="159"/>
      <c r="G187" s="159"/>
      <c r="H187" s="160"/>
      <c r="I187" s="160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</row>
    <row r="188">
      <c r="A188" s="159"/>
      <c r="B188" s="159"/>
      <c r="C188" s="159"/>
      <c r="D188" s="159"/>
      <c r="E188" s="159"/>
      <c r="F188" s="159"/>
      <c r="G188" s="159"/>
      <c r="H188" s="160"/>
      <c r="I188" s="160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</row>
    <row r="189">
      <c r="A189" s="159"/>
      <c r="B189" s="159"/>
      <c r="C189" s="159"/>
      <c r="D189" s="159"/>
      <c r="E189" s="159"/>
      <c r="F189" s="159"/>
      <c r="G189" s="159"/>
      <c r="H189" s="160"/>
      <c r="I189" s="160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</row>
    <row r="190">
      <c r="A190" s="159"/>
      <c r="B190" s="159"/>
      <c r="C190" s="159"/>
      <c r="D190" s="159"/>
      <c r="E190" s="159"/>
      <c r="F190" s="159"/>
      <c r="G190" s="159"/>
      <c r="H190" s="160"/>
      <c r="I190" s="160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</row>
    <row r="191">
      <c r="A191" s="159"/>
      <c r="B191" s="159"/>
      <c r="C191" s="159"/>
      <c r="D191" s="159"/>
      <c r="E191" s="159"/>
      <c r="F191" s="159"/>
      <c r="G191" s="159"/>
      <c r="H191" s="160"/>
      <c r="I191" s="160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</row>
    <row r="192">
      <c r="A192" s="159"/>
      <c r="B192" s="221" t="s">
        <v>233</v>
      </c>
      <c r="C192" s="186"/>
      <c r="D192" s="186"/>
      <c r="E192" s="186"/>
      <c r="F192" s="167"/>
      <c r="G192" s="159"/>
      <c r="H192" s="160"/>
      <c r="I192" s="222" t="s">
        <v>234</v>
      </c>
      <c r="J192" s="186"/>
      <c r="K192" s="186"/>
      <c r="L192" s="186"/>
      <c r="M192" s="167"/>
      <c r="N192" s="159"/>
      <c r="O192" s="159"/>
      <c r="P192" s="159"/>
      <c r="Q192" s="159"/>
      <c r="R192" s="159"/>
      <c r="S192" s="159"/>
      <c r="T192" s="159"/>
    </row>
    <row r="193">
      <c r="A193" s="159"/>
      <c r="B193" s="159"/>
      <c r="C193" s="159"/>
      <c r="D193" s="159"/>
      <c r="E193" s="159"/>
      <c r="F193" s="159"/>
      <c r="G193" s="159"/>
      <c r="H193" s="160"/>
      <c r="I193" s="160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</row>
  </sheetData>
  <mergeCells count="476">
    <mergeCell ref="H93:I93"/>
    <mergeCell ref="E93:F93"/>
    <mergeCell ref="K92:L92"/>
    <mergeCell ref="H92:I92"/>
    <mergeCell ref="N94:P94"/>
    <mergeCell ref="N95:P95"/>
    <mergeCell ref="K93:L93"/>
    <mergeCell ref="B92:C92"/>
    <mergeCell ref="B93:C93"/>
    <mergeCell ref="C94:L94"/>
    <mergeCell ref="A94:B94"/>
    <mergeCell ref="E92:F92"/>
    <mergeCell ref="C77:L78"/>
    <mergeCell ref="C76:L76"/>
    <mergeCell ref="R81:S82"/>
    <mergeCell ref="R78:S78"/>
    <mergeCell ref="N78:O78"/>
    <mergeCell ref="A76:B76"/>
    <mergeCell ref="A77:B78"/>
    <mergeCell ref="E83:F83"/>
    <mergeCell ref="B83:C83"/>
    <mergeCell ref="K75:L75"/>
    <mergeCell ref="K74:L74"/>
    <mergeCell ref="K84:L84"/>
    <mergeCell ref="C85:L85"/>
    <mergeCell ref="C86:L87"/>
    <mergeCell ref="H75:I75"/>
    <mergeCell ref="E74:F74"/>
    <mergeCell ref="H74:I74"/>
    <mergeCell ref="B74:C74"/>
    <mergeCell ref="A36:B36"/>
    <mergeCell ref="A35:B35"/>
    <mergeCell ref="H35:I35"/>
    <mergeCell ref="O35:T35"/>
    <mergeCell ref="A41:B41"/>
    <mergeCell ref="A44:B44"/>
    <mergeCell ref="A43:B43"/>
    <mergeCell ref="A42:B42"/>
    <mergeCell ref="A47:B47"/>
    <mergeCell ref="A46:B46"/>
    <mergeCell ref="H45:I45"/>
    <mergeCell ref="O46:T46"/>
    <mergeCell ref="H46:I46"/>
    <mergeCell ref="O47:T47"/>
    <mergeCell ref="A45:B45"/>
    <mergeCell ref="H57:I57"/>
    <mergeCell ref="H55:I55"/>
    <mergeCell ref="H56:I56"/>
    <mergeCell ref="H58:I58"/>
    <mergeCell ref="H66:I66"/>
    <mergeCell ref="A53:B53"/>
    <mergeCell ref="A54:B54"/>
    <mergeCell ref="A40:B40"/>
    <mergeCell ref="A39:B39"/>
    <mergeCell ref="A38:B38"/>
    <mergeCell ref="A55:B55"/>
    <mergeCell ref="A52:B52"/>
    <mergeCell ref="A51:B51"/>
    <mergeCell ref="A56:B56"/>
    <mergeCell ref="E75:F75"/>
    <mergeCell ref="B75:C75"/>
    <mergeCell ref="E66:F66"/>
    <mergeCell ref="B73:L73"/>
    <mergeCell ref="A71:L72"/>
    <mergeCell ref="A62:L63"/>
    <mergeCell ref="B64:L64"/>
    <mergeCell ref="N63:S64"/>
    <mergeCell ref="N69:O69"/>
    <mergeCell ref="N70:O70"/>
    <mergeCell ref="N71:O71"/>
    <mergeCell ref="N72:O73"/>
    <mergeCell ref="A57:B57"/>
    <mergeCell ref="A58:B58"/>
    <mergeCell ref="K65:L65"/>
    <mergeCell ref="K66:L66"/>
    <mergeCell ref="C67:L67"/>
    <mergeCell ref="A67:B67"/>
    <mergeCell ref="R71:S71"/>
    <mergeCell ref="R69:S69"/>
    <mergeCell ref="R70:S70"/>
    <mergeCell ref="C68:L69"/>
    <mergeCell ref="A68:B69"/>
    <mergeCell ref="B65:C65"/>
    <mergeCell ref="E65:F65"/>
    <mergeCell ref="H65:I65"/>
    <mergeCell ref="B66:C66"/>
    <mergeCell ref="O57:T57"/>
    <mergeCell ref="P69:Q70"/>
    <mergeCell ref="P68:Q68"/>
    <mergeCell ref="P67:Q67"/>
    <mergeCell ref="P66:Q66"/>
    <mergeCell ref="O58:T58"/>
    <mergeCell ref="P76:Q76"/>
    <mergeCell ref="P77:Q78"/>
    <mergeCell ref="R79:S79"/>
    <mergeCell ref="R80:S80"/>
    <mergeCell ref="P85:S87"/>
    <mergeCell ref="P88:S90"/>
    <mergeCell ref="O54:T54"/>
    <mergeCell ref="O55:T55"/>
    <mergeCell ref="Q98:S98"/>
    <mergeCell ref="Q95:S95"/>
    <mergeCell ref="Q97:S97"/>
    <mergeCell ref="Q96:S96"/>
    <mergeCell ref="Q103:S103"/>
    <mergeCell ref="Q101:S101"/>
    <mergeCell ref="R134:S134"/>
    <mergeCell ref="R133:S133"/>
    <mergeCell ref="R136:S136"/>
    <mergeCell ref="R135:S135"/>
    <mergeCell ref="P135:Q135"/>
    <mergeCell ref="P134:Q134"/>
    <mergeCell ref="P133:Q133"/>
    <mergeCell ref="P137:Q137"/>
    <mergeCell ref="P136:Q136"/>
    <mergeCell ref="O43:T43"/>
    <mergeCell ref="O56:T56"/>
    <mergeCell ref="O53:T53"/>
    <mergeCell ref="O45:T45"/>
    <mergeCell ref="O44:T44"/>
    <mergeCell ref="O51:T51"/>
    <mergeCell ref="O52:T52"/>
    <mergeCell ref="P74:Q74"/>
    <mergeCell ref="P75:Q75"/>
    <mergeCell ref="R143:S143"/>
    <mergeCell ref="R144:S144"/>
    <mergeCell ref="P144:Q144"/>
    <mergeCell ref="P143:Q143"/>
    <mergeCell ref="R142:S142"/>
    <mergeCell ref="R141:S141"/>
    <mergeCell ref="P142:Q142"/>
    <mergeCell ref="P141:Q141"/>
    <mergeCell ref="P140:Q140"/>
    <mergeCell ref="P139:Q139"/>
    <mergeCell ref="P138:Q138"/>
    <mergeCell ref="P113:S116"/>
    <mergeCell ref="P111:Q111"/>
    <mergeCell ref="R111:S111"/>
    <mergeCell ref="R110:S110"/>
    <mergeCell ref="R109:S109"/>
    <mergeCell ref="P110:Q110"/>
    <mergeCell ref="P109:Q109"/>
    <mergeCell ref="P118:S121"/>
    <mergeCell ref="O40:T40"/>
    <mergeCell ref="O41:T41"/>
    <mergeCell ref="O42:T42"/>
    <mergeCell ref="Q105:S105"/>
    <mergeCell ref="Q104:S104"/>
    <mergeCell ref="R72:S73"/>
    <mergeCell ref="Q94:S94"/>
    <mergeCell ref="R129:S129"/>
    <mergeCell ref="P129:Q129"/>
    <mergeCell ref="R132:S132"/>
    <mergeCell ref="R131:S131"/>
    <mergeCell ref="P130:Q130"/>
    <mergeCell ref="P131:Q131"/>
    <mergeCell ref="P132:Q132"/>
    <mergeCell ref="R130:S130"/>
    <mergeCell ref="Q127:R127"/>
    <mergeCell ref="K160:O160"/>
    <mergeCell ref="K161:O161"/>
    <mergeCell ref="P156:Q156"/>
    <mergeCell ref="P155:Q155"/>
    <mergeCell ref="P157:Q157"/>
    <mergeCell ref="K157:O157"/>
    <mergeCell ref="P158:Q158"/>
    <mergeCell ref="P154:Q154"/>
    <mergeCell ref="R154:S154"/>
    <mergeCell ref="K166:O166"/>
    <mergeCell ref="P166:Q166"/>
    <mergeCell ref="R166:S166"/>
    <mergeCell ref="K165:O165"/>
    <mergeCell ref="R165:S165"/>
    <mergeCell ref="P165:Q165"/>
    <mergeCell ref="R164:S164"/>
    <mergeCell ref="R163:S163"/>
    <mergeCell ref="P163:Q163"/>
    <mergeCell ref="R159:S159"/>
    <mergeCell ref="R158:S158"/>
    <mergeCell ref="R157:S157"/>
    <mergeCell ref="R161:S161"/>
    <mergeCell ref="P161:Q161"/>
    <mergeCell ref="P160:Q160"/>
    <mergeCell ref="R160:S160"/>
    <mergeCell ref="P162:Q162"/>
    <mergeCell ref="R162:S162"/>
    <mergeCell ref="P159:Q159"/>
    <mergeCell ref="K169:O169"/>
    <mergeCell ref="K171:O171"/>
    <mergeCell ref="K168:O168"/>
    <mergeCell ref="K172:O172"/>
    <mergeCell ref="H175:M176"/>
    <mergeCell ref="K178:L178"/>
    <mergeCell ref="K167:O167"/>
    <mergeCell ref="R171:S171"/>
    <mergeCell ref="R172:S172"/>
    <mergeCell ref="R169:S169"/>
    <mergeCell ref="P169:Q169"/>
    <mergeCell ref="K170:O170"/>
    <mergeCell ref="P171:Q171"/>
    <mergeCell ref="P172:Q172"/>
    <mergeCell ref="P167:Q167"/>
    <mergeCell ref="R167:S167"/>
    <mergeCell ref="P168:Q168"/>
    <mergeCell ref="R168:S168"/>
    <mergeCell ref="K148:O148"/>
    <mergeCell ref="K147:O147"/>
    <mergeCell ref="K159:O159"/>
    <mergeCell ref="K158:O158"/>
    <mergeCell ref="K153:O153"/>
    <mergeCell ref="K152:O152"/>
    <mergeCell ref="K149:O149"/>
    <mergeCell ref="K150:O150"/>
    <mergeCell ref="K151:O151"/>
    <mergeCell ref="B155:I155"/>
    <mergeCell ref="B158:I158"/>
    <mergeCell ref="B157:I157"/>
    <mergeCell ref="B156:I156"/>
    <mergeCell ref="R155:S155"/>
    <mergeCell ref="R156:S156"/>
    <mergeCell ref="B152:I152"/>
    <mergeCell ref="B153:I153"/>
    <mergeCell ref="B154:I154"/>
    <mergeCell ref="B150:I150"/>
    <mergeCell ref="B151:I151"/>
    <mergeCell ref="B145:I145"/>
    <mergeCell ref="B146:I146"/>
    <mergeCell ref="P145:Q145"/>
    <mergeCell ref="K146:O146"/>
    <mergeCell ref="P146:Q146"/>
    <mergeCell ref="K145:O145"/>
    <mergeCell ref="B149:I149"/>
    <mergeCell ref="B148:I148"/>
    <mergeCell ref="B147:I147"/>
    <mergeCell ref="B166:I166"/>
    <mergeCell ref="B167:I167"/>
    <mergeCell ref="B163:I163"/>
    <mergeCell ref="B165:I165"/>
    <mergeCell ref="B164:I164"/>
    <mergeCell ref="P170:Q170"/>
    <mergeCell ref="R170:S170"/>
    <mergeCell ref="B162:I162"/>
    <mergeCell ref="B160:I160"/>
    <mergeCell ref="B161:I161"/>
    <mergeCell ref="B159:I159"/>
    <mergeCell ref="B170:I170"/>
    <mergeCell ref="R151:S151"/>
    <mergeCell ref="R152:S152"/>
    <mergeCell ref="R150:S150"/>
    <mergeCell ref="R138:S138"/>
    <mergeCell ref="R137:S137"/>
    <mergeCell ref="R145:S145"/>
    <mergeCell ref="R146:S146"/>
    <mergeCell ref="R147:S147"/>
    <mergeCell ref="G178:H178"/>
    <mergeCell ref="G182:H182"/>
    <mergeCell ref="I184:L184"/>
    <mergeCell ref="I185:L185"/>
    <mergeCell ref="I192:M192"/>
    <mergeCell ref="B192:F192"/>
    <mergeCell ref="K182:L182"/>
    <mergeCell ref="I180:J180"/>
    <mergeCell ref="R153:S153"/>
    <mergeCell ref="P153:Q153"/>
    <mergeCell ref="P152:Q152"/>
    <mergeCell ref="P151:Q151"/>
    <mergeCell ref="P148:Q148"/>
    <mergeCell ref="P149:Q149"/>
    <mergeCell ref="P150:Q150"/>
    <mergeCell ref="P147:Q147"/>
    <mergeCell ref="K142:O142"/>
    <mergeCell ref="K143:O143"/>
    <mergeCell ref="B143:I143"/>
    <mergeCell ref="B141:I141"/>
    <mergeCell ref="B142:I142"/>
    <mergeCell ref="R140:S140"/>
    <mergeCell ref="R139:S139"/>
    <mergeCell ref="K140:O140"/>
    <mergeCell ref="K137:O137"/>
    <mergeCell ref="K139:O139"/>
    <mergeCell ref="K141:O141"/>
    <mergeCell ref="K138:O138"/>
    <mergeCell ref="K144:O144"/>
    <mergeCell ref="B144:I144"/>
    <mergeCell ref="B169:I169"/>
    <mergeCell ref="B168:I168"/>
    <mergeCell ref="B171:I171"/>
    <mergeCell ref="B172:I172"/>
    <mergeCell ref="O29:T31"/>
    <mergeCell ref="O34:T34"/>
    <mergeCell ref="E23:F24"/>
    <mergeCell ref="A23:B24"/>
    <mergeCell ref="G23:H24"/>
    <mergeCell ref="I23:J24"/>
    <mergeCell ref="Q23:R24"/>
    <mergeCell ref="O23:P24"/>
    <mergeCell ref="H36:I36"/>
    <mergeCell ref="H37:I37"/>
    <mergeCell ref="S23:T24"/>
    <mergeCell ref="A29:N31"/>
    <mergeCell ref="A37:B37"/>
    <mergeCell ref="G32:G34"/>
    <mergeCell ref="K23:L24"/>
    <mergeCell ref="M23:N24"/>
    <mergeCell ref="A21:B21"/>
    <mergeCell ref="E21:F21"/>
    <mergeCell ref="C21:D21"/>
    <mergeCell ref="G21:H21"/>
    <mergeCell ref="I21:J21"/>
    <mergeCell ref="O21:P21"/>
    <mergeCell ref="S21:T21"/>
    <mergeCell ref="Q21:R21"/>
    <mergeCell ref="M32:M34"/>
    <mergeCell ref="N9:O9"/>
    <mergeCell ref="J9:M9"/>
    <mergeCell ref="M7:T7"/>
    <mergeCell ref="K7:L7"/>
    <mergeCell ref="M5:T5"/>
    <mergeCell ref="P9:T9"/>
    <mergeCell ref="K21:L21"/>
    <mergeCell ref="C9:G9"/>
    <mergeCell ref="C7:H7"/>
    <mergeCell ref="D5:J5"/>
    <mergeCell ref="B1:S4"/>
    <mergeCell ref="A5:C5"/>
    <mergeCell ref="A9:B9"/>
    <mergeCell ref="H9:I9"/>
    <mergeCell ref="A18:T20"/>
    <mergeCell ref="K5:L5"/>
    <mergeCell ref="A7:B7"/>
    <mergeCell ref="H39:I39"/>
    <mergeCell ref="H38:I38"/>
    <mergeCell ref="O37:T37"/>
    <mergeCell ref="O36:T36"/>
    <mergeCell ref="O39:T39"/>
    <mergeCell ref="O38:T38"/>
    <mergeCell ref="H40:I40"/>
    <mergeCell ref="O33:T33"/>
    <mergeCell ref="O32:T32"/>
    <mergeCell ref="L32:L34"/>
    <mergeCell ref="K32:K34"/>
    <mergeCell ref="E32:E34"/>
    <mergeCell ref="F32:F34"/>
    <mergeCell ref="D32:D34"/>
    <mergeCell ref="C23:D24"/>
    <mergeCell ref="C12:R17"/>
    <mergeCell ref="A12:B17"/>
    <mergeCell ref="N32:N34"/>
    <mergeCell ref="M21:N21"/>
    <mergeCell ref="H49:I49"/>
    <mergeCell ref="H50:I50"/>
    <mergeCell ref="A48:B48"/>
    <mergeCell ref="A49:B49"/>
    <mergeCell ref="O50:T50"/>
    <mergeCell ref="H48:I48"/>
    <mergeCell ref="O48:T48"/>
    <mergeCell ref="O49:T49"/>
    <mergeCell ref="A50:B50"/>
    <mergeCell ref="N102:P102"/>
    <mergeCell ref="N101:P101"/>
    <mergeCell ref="N104:P104"/>
    <mergeCell ref="N103:P103"/>
    <mergeCell ref="N113:O116"/>
    <mergeCell ref="N109:O111"/>
    <mergeCell ref="N105:P105"/>
    <mergeCell ref="N118:O121"/>
    <mergeCell ref="N85:O87"/>
    <mergeCell ref="N88:O90"/>
    <mergeCell ref="N99:P99"/>
    <mergeCell ref="N97:P97"/>
    <mergeCell ref="N98:P98"/>
    <mergeCell ref="N100:P100"/>
    <mergeCell ref="N96:P96"/>
    <mergeCell ref="Q102:S102"/>
    <mergeCell ref="Q99:S99"/>
    <mergeCell ref="Q100:S100"/>
    <mergeCell ref="N79:O79"/>
    <mergeCell ref="N92:S93"/>
    <mergeCell ref="N80:O80"/>
    <mergeCell ref="N81:O82"/>
    <mergeCell ref="H53:I53"/>
    <mergeCell ref="H54:I54"/>
    <mergeCell ref="H47:I47"/>
    <mergeCell ref="H51:I51"/>
    <mergeCell ref="H52:I52"/>
    <mergeCell ref="H42:I42"/>
    <mergeCell ref="H43:I43"/>
    <mergeCell ref="H44:I44"/>
    <mergeCell ref="H41:I41"/>
    <mergeCell ref="B137:I137"/>
    <mergeCell ref="B130:I130"/>
    <mergeCell ref="B132:I132"/>
    <mergeCell ref="B131:I131"/>
    <mergeCell ref="B134:I134"/>
    <mergeCell ref="B133:I133"/>
    <mergeCell ref="B135:I135"/>
    <mergeCell ref="B136:I136"/>
    <mergeCell ref="B124:E124"/>
    <mergeCell ref="F124:I124"/>
    <mergeCell ref="K127:L127"/>
    <mergeCell ref="B126:I127"/>
    <mergeCell ref="B121:E121"/>
    <mergeCell ref="B123:E123"/>
    <mergeCell ref="F121:I121"/>
    <mergeCell ref="F129:G129"/>
    <mergeCell ref="F123:I123"/>
    <mergeCell ref="B102:C102"/>
    <mergeCell ref="B101:C101"/>
    <mergeCell ref="C104:L105"/>
    <mergeCell ref="C103:L103"/>
    <mergeCell ref="B100:L100"/>
    <mergeCell ref="A98:L99"/>
    <mergeCell ref="K102:L102"/>
    <mergeCell ref="K101:L101"/>
    <mergeCell ref="B108:C109"/>
    <mergeCell ref="A104:B105"/>
    <mergeCell ref="C95:L96"/>
    <mergeCell ref="A95:B96"/>
    <mergeCell ref="B82:L82"/>
    <mergeCell ref="A80:L81"/>
    <mergeCell ref="H83:I83"/>
    <mergeCell ref="K83:L83"/>
    <mergeCell ref="A89:L90"/>
    <mergeCell ref="B91:L91"/>
    <mergeCell ref="H84:I84"/>
    <mergeCell ref="R149:S149"/>
    <mergeCell ref="R148:S148"/>
    <mergeCell ref="K164:O164"/>
    <mergeCell ref="K163:O163"/>
    <mergeCell ref="K162:O162"/>
    <mergeCell ref="K156:O156"/>
    <mergeCell ref="P164:Q164"/>
    <mergeCell ref="K131:O131"/>
    <mergeCell ref="K130:O130"/>
    <mergeCell ref="K135:O135"/>
    <mergeCell ref="K134:O134"/>
    <mergeCell ref="K155:O155"/>
    <mergeCell ref="K154:O154"/>
    <mergeCell ref="K132:O132"/>
    <mergeCell ref="K136:O136"/>
    <mergeCell ref="L125:S126"/>
    <mergeCell ref="N127:O127"/>
    <mergeCell ref="K129:O129"/>
    <mergeCell ref="K133:O133"/>
    <mergeCell ref="E84:F84"/>
    <mergeCell ref="H102:I102"/>
    <mergeCell ref="H101:I101"/>
    <mergeCell ref="E101:F101"/>
    <mergeCell ref="E102:F102"/>
    <mergeCell ref="A86:B87"/>
    <mergeCell ref="A85:B85"/>
    <mergeCell ref="B84:C84"/>
    <mergeCell ref="B138:I138"/>
    <mergeCell ref="B139:I139"/>
    <mergeCell ref="B140:I140"/>
    <mergeCell ref="A103:B103"/>
    <mergeCell ref="D129:E129"/>
    <mergeCell ref="B118:E118"/>
    <mergeCell ref="B119:E119"/>
    <mergeCell ref="B120:E120"/>
    <mergeCell ref="B122:E122"/>
    <mergeCell ref="B117:I117"/>
    <mergeCell ref="E115:F115"/>
    <mergeCell ref="G115:H115"/>
    <mergeCell ref="B115:D115"/>
    <mergeCell ref="F118:I118"/>
    <mergeCell ref="G113:H113"/>
    <mergeCell ref="B112:D113"/>
    <mergeCell ref="E113:F113"/>
    <mergeCell ref="E112:F112"/>
    <mergeCell ref="D108:E108"/>
    <mergeCell ref="D109:E109"/>
    <mergeCell ref="G112:H112"/>
    <mergeCell ref="F119:I119"/>
    <mergeCell ref="F120:I120"/>
    <mergeCell ref="F122:I122"/>
  </mergeCells>
  <dataValidations>
    <dataValidation type="decimal" operator="greaterThanOrEqual" allowBlank="1" showDropDown="1" showInputMessage="1" showErrorMessage="1" prompt="Number Only" sqref="P130:P172">
      <formula1>0.0</formula1>
    </dataValidation>
    <dataValidation type="decimal" operator="equal" allowBlank="1" showDropDown="1" showInputMessage="1" showErrorMessage="1" prompt="use only lowercase x" sqref="A26:T27 D35:G58 K35:N58">
      <formula1>x</formula1>
    </dataValidation>
    <dataValidation type="list" allowBlank="1" showInputMessage="1" showErrorMessage="1" prompt="Choose a Chaos God" sqref="R130:R172 I185">
      <formula1>Sheet2!$A$1:$A$5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23" t="s">
        <v>231</v>
      </c>
    </row>
    <row r="2">
      <c r="A2" s="223" t="s">
        <v>192</v>
      </c>
    </row>
    <row r="3">
      <c r="A3" s="223" t="s">
        <v>220</v>
      </c>
    </row>
    <row r="4">
      <c r="A4" s="223" t="s">
        <v>198</v>
      </c>
    </row>
    <row r="5">
      <c r="A5" s="223" t="s">
        <v>210</v>
      </c>
    </row>
  </sheetData>
  <drawing r:id="rId1"/>
</worksheet>
</file>