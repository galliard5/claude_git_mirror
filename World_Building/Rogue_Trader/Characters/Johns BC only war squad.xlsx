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name="BSB">Sheet1!$C$22</definedName>
    <definedName name="STB">Sheet1!$E$22</definedName>
    <definedName name="PER">Sheet1!$M$23</definedName>
    <definedName name="FELB">Sheet1!$Q$22</definedName>
    <definedName name="TUFB">Sheet1!$G$22</definedName>
    <definedName name="Alignment">Sheet2!$A$1:$A$6</definedName>
    <definedName name="INFB">Sheet1!$S$22</definedName>
    <definedName name="TUF">Sheet1!$G$23</definedName>
    <definedName name="INTB">Sheet1!$K$22</definedName>
    <definedName name="PERB">Sheet1!$M$22</definedName>
    <definedName name="AG">Sheet1!$I$23</definedName>
    <definedName name="WS">Sheet1!$A$23</definedName>
    <definedName name="INF">Sheet1!$S$23</definedName>
    <definedName name="FEL">Sheet1!$Q$23</definedName>
    <definedName name="AGB">Sheet1!$I$22</definedName>
    <definedName name="INT">Sheet1!$K$23</definedName>
    <definedName name="BS">Sheet1!$C$23</definedName>
    <definedName name="WPB">Sheet1!$O$22</definedName>
    <definedName name="ST">Sheet1!$E$23</definedName>
    <definedName name="WP">Sheet1!$O$23</definedName>
    <definedName name="WSB">Sheet1!$A$22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2">
      <text>
        <t xml:space="preserve">final bonus (calc'd)
</t>
      </text>
    </comment>
    <comment authorId="0" ref="B22">
      <text>
        <t xml:space="preserve">any 'bonus' modifiers
</t>
      </text>
    </comment>
    <comment authorId="0" ref="A25">
      <text>
        <t xml:space="preserve">Base score here
</t>
      </text>
    </comment>
    <comment authorId="0" ref="B25">
      <text>
        <t xml:space="preserve">any other stat bonuses
</t>
      </text>
    </comment>
    <comment authorId="0" ref="B26">
      <text>
        <t xml:space="preserve">X off advancements here
</t>
      </text>
    </comment>
    <comment authorId="0" ref="A29">
      <text>
        <t xml:space="preserve">Fill in trained, +10, +20, +3 with lowercase x only
</t>
      </text>
    </comment>
  </commentList>
</comments>
</file>

<file path=xl/sharedStrings.xml><?xml version="1.0" encoding="utf-8"?>
<sst xmlns="http://schemas.openxmlformats.org/spreadsheetml/2006/main" count="352" uniqueCount="219">
  <si>
    <t>Black Crusade</t>
  </si>
  <si>
    <t>Charachter Name</t>
  </si>
  <si>
    <t>Balphereon</t>
  </si>
  <si>
    <t>Player Name</t>
  </si>
  <si>
    <t>Specialty</t>
  </si>
  <si>
    <t>Sergeant</t>
  </si>
  <si>
    <t>Rank</t>
  </si>
  <si>
    <t>Warband</t>
  </si>
  <si>
    <t>Pride</t>
  </si>
  <si>
    <t>Disgrace</t>
  </si>
  <si>
    <t>Motivation</t>
  </si>
  <si>
    <t>Description</t>
  </si>
  <si>
    <t>Charachteristics</t>
  </si>
  <si>
    <t>WS</t>
  </si>
  <si>
    <t>BS</t>
  </si>
  <si>
    <t>ST</t>
  </si>
  <si>
    <t>TUF</t>
  </si>
  <si>
    <t>AG</t>
  </si>
  <si>
    <t>INT</t>
  </si>
  <si>
    <t>PER</t>
  </si>
  <si>
    <t>WP</t>
  </si>
  <si>
    <t>FEL</t>
  </si>
  <si>
    <t>INF</t>
  </si>
  <si>
    <t>x</t>
  </si>
  <si>
    <t>Skills</t>
  </si>
  <si>
    <t>Talents and Traits</t>
  </si>
  <si>
    <t>Trained</t>
  </si>
  <si>
    <t>+10</t>
  </si>
  <si>
    <t>+20</t>
  </si>
  <si>
    <t>+30</t>
  </si>
  <si>
    <t>Defence</t>
  </si>
  <si>
    <t>fellowship</t>
  </si>
  <si>
    <t>leadership</t>
  </si>
  <si>
    <t>Acrobatics AG</t>
  </si>
  <si>
    <t>Medicae INT</t>
  </si>
  <si>
    <t>perception</t>
  </si>
  <si>
    <t>Athletics ST</t>
  </si>
  <si>
    <t>Nav Surface INT</t>
  </si>
  <si>
    <t>Strength</t>
  </si>
  <si>
    <t>Awareness PER</t>
  </si>
  <si>
    <t>Nav Stellar INT</t>
  </si>
  <si>
    <t>toughness</t>
  </si>
  <si>
    <t>Charm FEL</t>
  </si>
  <si>
    <t>Nav Warp INT</t>
  </si>
  <si>
    <t>weapon skill</t>
  </si>
  <si>
    <t>Commerce INT</t>
  </si>
  <si>
    <t>Operate Aero AG</t>
  </si>
  <si>
    <t>agility</t>
  </si>
  <si>
    <t>Common Lore</t>
  </si>
  <si>
    <t>Operate Surf AG</t>
  </si>
  <si>
    <t>Command FEL</t>
  </si>
  <si>
    <t>Operate Void AG</t>
  </si>
  <si>
    <t>Survival Per</t>
  </si>
  <si>
    <t>Parry WS</t>
  </si>
  <si>
    <t>iron discipline (comrades resist pinning and fear)</t>
  </si>
  <si>
    <t>Psyniscience PER</t>
  </si>
  <si>
    <t>weapon training(chain, solid, low tech, plas)</t>
  </si>
  <si>
    <t>Scholastic Lore INT</t>
  </si>
  <si>
    <t>common las pistol</t>
  </si>
  <si>
    <t>Tactica imperialis</t>
  </si>
  <si>
    <t>common chainsword</t>
  </si>
  <si>
    <t>Deceive FEL</t>
  </si>
  <si>
    <t>Dodge AG</t>
  </si>
  <si>
    <t>lightning reflexes</t>
  </si>
  <si>
    <t>Forbidden Lore INT</t>
  </si>
  <si>
    <t>paranoia</t>
  </si>
  <si>
    <t>chaos</t>
  </si>
  <si>
    <t>Scrutiny PER</t>
  </si>
  <si>
    <t>rapid reload</t>
  </si>
  <si>
    <t>mutant</t>
  </si>
  <si>
    <t>Security INT</t>
  </si>
  <si>
    <t>favored terrain (jungle)</t>
  </si>
  <si>
    <t>Sleight of Hand AG</t>
  </si>
  <si>
    <t>Stealth AG</t>
  </si>
  <si>
    <t>Inquiry FEL</t>
  </si>
  <si>
    <t>Tech-Use INT</t>
  </si>
  <si>
    <t>Intimidate WP</t>
  </si>
  <si>
    <t>Tracking INT</t>
  </si>
  <si>
    <t>Linguistics INT</t>
  </si>
  <si>
    <t>Trade INT</t>
  </si>
  <si>
    <t>Logic INT</t>
  </si>
  <si>
    <t>Weapon</t>
  </si>
  <si>
    <t>Armour</t>
  </si>
  <si>
    <t>Name</t>
  </si>
  <si>
    <t>Plasma Pistol</t>
  </si>
  <si>
    <t>Class</t>
  </si>
  <si>
    <t>Plasma</t>
  </si>
  <si>
    <t>Dmg</t>
  </si>
  <si>
    <t>1d10+7y</t>
  </si>
  <si>
    <t>Type</t>
  </si>
  <si>
    <t>E</t>
  </si>
  <si>
    <t>Pen</t>
  </si>
  <si>
    <t>Range</t>
  </si>
  <si>
    <t>ROF</t>
  </si>
  <si>
    <t>s/2</t>
  </si>
  <si>
    <t>Clip</t>
  </si>
  <si>
    <t>RLD</t>
  </si>
  <si>
    <t>3 ful</t>
  </si>
  <si>
    <t>Head</t>
  </si>
  <si>
    <t>Attachments</t>
  </si>
  <si>
    <t>red dot +10 to hit, silencer</t>
  </si>
  <si>
    <t>(1-10)</t>
  </si>
  <si>
    <t>Special Rules</t>
  </si>
  <si>
    <t>maximal, overheat, good, reliable</t>
  </si>
  <si>
    <t>Right Arm</t>
  </si>
  <si>
    <t>best carapace</t>
  </si>
  <si>
    <t>Left Arm</t>
  </si>
  <si>
    <t>(11-20)</t>
  </si>
  <si>
    <t>(21-30)</t>
  </si>
  <si>
    <t>Value</t>
  </si>
  <si>
    <t>Power sword</t>
  </si>
  <si>
    <t>melee</t>
  </si>
  <si>
    <t>1d10+5</t>
  </si>
  <si>
    <t>e</t>
  </si>
  <si>
    <t>Body</t>
  </si>
  <si>
    <t>(31-70)</t>
  </si>
  <si>
    <t>deulists hilt, +5 parry</t>
  </si>
  <si>
    <t>Right Leg</t>
  </si>
  <si>
    <t>Left Leg</t>
  </si>
  <si>
    <t>(71-85)</t>
  </si>
  <si>
    <t>(86-00)</t>
  </si>
  <si>
    <t>Accessories</t>
  </si>
  <si>
    <t>Notes</t>
  </si>
  <si>
    <t>Gear</t>
  </si>
  <si>
    <t>Movement</t>
  </si>
  <si>
    <t>Base</t>
  </si>
  <si>
    <t>Half</t>
  </si>
  <si>
    <t>Run</t>
  </si>
  <si>
    <t>Modifier</t>
  </si>
  <si>
    <t>Full</t>
  </si>
  <si>
    <t>Charge</t>
  </si>
  <si>
    <t>Wounds</t>
  </si>
  <si>
    <t>Total</t>
  </si>
  <si>
    <t>Current</t>
  </si>
  <si>
    <t>Fatigue</t>
  </si>
  <si>
    <t>Infamy Points</t>
  </si>
  <si>
    <t>Critical Damage</t>
  </si>
  <si>
    <t>Coruption Points</t>
  </si>
  <si>
    <t>Gifts of the Gods</t>
  </si>
  <si>
    <t>animal hybrid</t>
  </si>
  <si>
    <t>regeneration 1</t>
  </si>
  <si>
    <t>Mental Disorders</t>
  </si>
  <si>
    <t>tail</t>
  </si>
  <si>
    <t>winged</t>
  </si>
  <si>
    <t>eye of chaos</t>
  </si>
  <si>
    <t>wreathed in chaos</t>
  </si>
  <si>
    <t>Advancement</t>
  </si>
  <si>
    <t>Psychic Powers</t>
  </si>
  <si>
    <t>Total XP</t>
  </si>
  <si>
    <t>Spent XP</t>
  </si>
  <si>
    <t>Unspent XP</t>
  </si>
  <si>
    <t>Psy Rating</t>
  </si>
  <si>
    <t>Cost</t>
  </si>
  <si>
    <t>Alignment</t>
  </si>
  <si>
    <t>basic starting xp</t>
  </si>
  <si>
    <t>air of authority 2 1</t>
  </si>
  <si>
    <t>Double team 1 1</t>
  </si>
  <si>
    <t>iron jaw 2 1</t>
  </si>
  <si>
    <t>jaded 1 1</t>
  </si>
  <si>
    <t>orthoproxy 0 1</t>
  </si>
  <si>
    <t>street fighting 1 1</t>
  </si>
  <si>
    <t>unarmed warrior 1 1</t>
  </si>
  <si>
    <t>combat master 2 2</t>
  </si>
  <si>
    <t>counter attack 2 2</t>
  </si>
  <si>
    <t>crippling strike 1 2</t>
  </si>
  <si>
    <t>hard target 2 2</t>
  </si>
  <si>
    <t>nerves of steel 1 2</t>
  </si>
  <si>
    <t>swift attack 1 2</t>
  </si>
  <si>
    <t>unshakeable faith 1 2</t>
  </si>
  <si>
    <t>whirlwind of death 1 2</t>
  </si>
  <si>
    <t>blademaster 1 3</t>
  </si>
  <si>
    <t>crushing blow 1 3</t>
  </si>
  <si>
    <t>fearless 1 3</t>
  </si>
  <si>
    <t>into the jaws of hell 2 3</t>
  </si>
  <si>
    <t>step aside 2 3</t>
  </si>
  <si>
    <t>sidearm 1 3</t>
  </si>
  <si>
    <t>true grit 2 3</t>
  </si>
  <si>
    <t>weapon training plasma 1 1</t>
  </si>
  <si>
    <t>2 wep wield balistic, melee 0,1 2</t>
  </si>
  <si>
    <t>fellowship +5+5+5+5 1</t>
  </si>
  <si>
    <t>toughness +5+5+5+5 2</t>
  </si>
  <si>
    <t>ws +5+5+5 1</t>
  </si>
  <si>
    <t>BS +5 +5 0</t>
  </si>
  <si>
    <t>ST +5+5+5+5 2</t>
  </si>
  <si>
    <t>Ag +5+5 1</t>
  </si>
  <si>
    <t>int +5+5 0</t>
  </si>
  <si>
    <t>per +5 1</t>
  </si>
  <si>
    <t>WP +5 +5 0</t>
  </si>
  <si>
    <t>dodge +10 2</t>
  </si>
  <si>
    <t>parry +10 2</t>
  </si>
  <si>
    <t>stealth +10 1</t>
  </si>
  <si>
    <t>scrutiny +10 2</t>
  </si>
  <si>
    <t>intimidate +10 1</t>
  </si>
  <si>
    <t>command +20 2</t>
  </si>
  <si>
    <t>athletics +10 2</t>
  </si>
  <si>
    <t>all  sergent special orders</t>
  </si>
  <si>
    <t>tech use T 0</t>
  </si>
  <si>
    <t>navigate land t 0</t>
  </si>
  <si>
    <t>forbiden lore chaos t 0</t>
  </si>
  <si>
    <t>Page 2 skills</t>
  </si>
  <si>
    <t>milestone upgrade per2 st2 tuf2 ws</t>
  </si>
  <si>
    <t>Khorne</t>
  </si>
  <si>
    <t>Slaanesh</t>
  </si>
  <si>
    <t>Unaligned</t>
  </si>
  <si>
    <t>Nurgle</t>
  </si>
  <si>
    <t>Tzeentch</t>
  </si>
  <si>
    <t>Current Alignment</t>
  </si>
  <si>
    <t>Sheet by Galliard</t>
  </si>
  <si>
    <t>Black Crusade, WH40K, Etc. (c) Games Workshop</t>
  </si>
  <si>
    <t>regiment stuff</t>
  </si>
  <si>
    <t>death world home world</t>
  </si>
  <si>
    <t>skills</t>
  </si>
  <si>
    <t>total:</t>
  </si>
  <si>
    <t>Inqury +10 +20 1</t>
  </si>
  <si>
    <t>forbidden lore mutation</t>
  </si>
  <si>
    <t>security +10 0</t>
  </si>
  <si>
    <t>commerce 0</t>
  </si>
  <si>
    <t>awareness +10 1</t>
  </si>
  <si>
    <t>Logic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</si>
</sst>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/>
    <font>
      <b/>
      <sz val="36.0"/>
    </font>
    <font>
      <b/>
      <sz val="14.0"/>
    </font>
    <font>
      <b/>
      <sz val="10.0"/>
    </font>
    <font>
      <b/>
      <sz val="12.0"/>
    </font>
    <font>
      <b/>
      <strike/>
      <sz val="10.0"/>
    </font>
    <font>
      <sz val="6.0"/>
    </font>
    <font>
      <sz val="8.0"/>
    </font>
    <font>
      <sz val="12.0"/>
    </font>
    <font>
      <sz val="8.0"/>
      <color rgb="FFD9D9D9"/>
    </font>
    <font>
      <sz val="8.0"/>
      <color rgb="FFCCCCCC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3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hair">
        <color rgb="FF000000"/>
      </right>
      <top style="thin">
        <color rgb="FFFFFFFF"/>
      </top>
      <bottom style="thin">
        <color rgb="FFFFFFFF"/>
      </bottom>
    </border>
    <border>
      <left style="hair">
        <color rgb="FF000000"/>
      </left>
      <top style="thin">
        <color rgb="FFFFFFFF"/>
      </top>
      <bottom style="hair">
        <color rgb="FF000000"/>
      </bottom>
    </border>
    <border>
      <top style="thin">
        <color rgb="FFFFFFFF"/>
      </top>
      <bottom style="hair">
        <color rgb="FF000000"/>
      </bottom>
    </border>
    <border>
      <right style="thin">
        <color rgb="FFFFFFFF"/>
      </right>
      <top style="thin">
        <color rgb="FFFFFFFF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hair">
        <color rgb="FF000000"/>
      </top>
      <bottom style="thin">
        <color rgb="FFFFFFFF"/>
      </bottom>
    </border>
    <border>
      <left style="thin">
        <color rgb="FFFFFFFF"/>
      </left>
      <right style="hair">
        <color rgb="FF000000"/>
      </right>
      <top style="thin">
        <color rgb="FFFFFFFF"/>
      </top>
      <bottom style="thin">
        <color rgb="FFFFFFFF"/>
      </bottom>
    </border>
    <border>
      <left style="hair">
        <color rgb="FF000000"/>
      </left>
      <right style="thin">
        <color rgb="FFFFFFFF"/>
      </right>
      <top style="thin">
        <color rgb="FFFFFFFF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hair">
        <color rgb="FF000000"/>
      </bottom>
    </border>
    <border>
      <right style="hair">
        <color rgb="FF000000"/>
      </right>
      <top style="thin">
        <color rgb="FFFFFFFF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  <bottom style="thin">
        <color rgb="FFFFFFFF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CCCCCC"/>
      </right>
      <top style="thin">
        <color rgb="FF000000"/>
      </top>
      <bottom style="hair">
        <color rgb="FFCCCCCC"/>
      </bottom>
    </border>
    <border>
      <left style="hair">
        <color rgb="FFCCCCCC"/>
      </left>
      <right style="thin">
        <color rgb="FF000000"/>
      </right>
      <top style="thin">
        <color rgb="FF000000"/>
      </top>
      <bottom style="hair">
        <color rgb="FFCCCCCC"/>
      </bottom>
    </border>
    <border>
      <left style="thin">
        <color rgb="FF000000"/>
      </left>
      <right style="hair">
        <color rgb="FFCCCCCC"/>
      </right>
      <top style="hair">
        <color rgb="FFCCCCCC"/>
      </top>
      <bottom style="thin">
        <color rgb="FF000000"/>
      </bottom>
    </border>
    <border>
      <left style="hair">
        <color rgb="FFCCCCCC"/>
      </left>
      <right style="thin">
        <color rgb="FF000000"/>
      </right>
      <top style="hair">
        <color rgb="FFCCCCCC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hair">
        <color rgb="FFCCCCCC"/>
      </right>
      <top style="thin">
        <color rgb="FFFFFFFF"/>
      </top>
      <bottom style="thin">
        <color rgb="FFFFFFFF"/>
      </bottom>
    </border>
    <border>
      <left style="hair">
        <color rgb="FFCCCCCC"/>
      </left>
      <right style="hair">
        <color rgb="FFCCCCCC"/>
      </right>
      <top style="thin">
        <color rgb="FFFFFFFF"/>
      </top>
    </border>
    <border>
      <left style="hair">
        <color rgb="FFCCCCCC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hair">
        <color rgb="FF000000"/>
      </bottom>
    </border>
    <border>
      <left style="hair">
        <color rgb="FFCCCCCC"/>
      </left>
      <right style="hair">
        <color rgb="FFCCCCCC"/>
      </right>
    </border>
    <border>
      <left style="hair">
        <color rgb="FFCCCCCC"/>
      </left>
      <right style="thin">
        <color rgb="FFFFFFFF"/>
      </right>
    </border>
    <border>
      <left style="thin">
        <color rgb="FFFFFFFF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CCCCCC"/>
      </left>
      <right style="hair">
        <color rgb="FFCCCCCC"/>
      </right>
      <bottom style="thin">
        <color rgb="FFFFFFFF"/>
      </bottom>
    </border>
    <border>
      <left style="hair">
        <color rgb="FFCCCCCC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FFFFFF"/>
      </right>
      <top style="hair">
        <color rgb="FFCCCCCC"/>
      </top>
      <bottom style="hair">
        <color rgb="FFCCCCCC"/>
      </bottom>
    </border>
    <border>
      <right style="thin">
        <color rgb="FFFFFFFF"/>
      </right>
      <top style="hair">
        <color rgb="FF000000"/>
      </top>
      <bottom style="hair">
        <color rgb="FF000000"/>
      </bottom>
    </border>
    <border>
      <left style="thin">
        <color rgb="FFFFFFFF"/>
      </left>
      <top style="hair">
        <color rgb="FF000000"/>
      </top>
      <bottom style="thin">
        <color rgb="FFFFFFFF"/>
      </bottom>
    </border>
    <border>
      <right style="thin">
        <color rgb="FFFFFFFF"/>
      </right>
      <top style="hair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hair">
        <color rgb="FFCCCCCC"/>
      </top>
      <bottom style="thin">
        <color rgb="FFFFFFFF"/>
      </bottom>
    </border>
    <border>
      <left style="thin">
        <color rgb="FF000000"/>
      </left>
      <right style="hair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hair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FFFFFF"/>
      </left>
      <right style="hair">
        <color rgb="FF000000"/>
      </right>
      <top style="hair">
        <color rgb="FF000000"/>
      </top>
      <bottom style="thin">
        <color rgb="FFFFFFFF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FFFFFF"/>
      </bottom>
    </border>
    <border>
      <right style="thin">
        <color rgb="FF000000"/>
      </right>
      <top style="hair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</border>
    <border>
      <right style="thin">
        <color rgb="FF000000"/>
      </right>
      <top style="hair">
        <color rgb="FF000000"/>
      </top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bottom style="thin">
        <color rgb="FFFFFFFF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hair">
        <color rgb="FF000000"/>
      </bottom>
    </border>
    <border>
      <left style="thin">
        <color rgb="FFFFFFFF"/>
      </left>
      <top style="thin">
        <color rgb="FFFFFFFF"/>
      </top>
      <bottom style="hair">
        <color rgb="FF999999"/>
      </bottom>
    </border>
    <border>
      <top style="thin">
        <color rgb="FFFFFFFF"/>
      </top>
      <bottom style="hair">
        <color rgb="FF999999"/>
      </bottom>
    </border>
    <border>
      <right style="hair">
        <color rgb="FF999999"/>
      </right>
      <top style="thin">
        <color rgb="FFFFFFFF"/>
      </top>
      <bottom style="hair">
        <color rgb="FF999999"/>
      </bottom>
    </border>
    <border>
      <left style="hair">
        <color rgb="FF999999"/>
      </left>
      <top style="thin">
        <color rgb="FFFFFFFF"/>
      </top>
      <bottom style="hair">
        <color rgb="FF999999"/>
      </bottom>
    </border>
    <border>
      <right style="thin">
        <color rgb="FFFFFFFF"/>
      </right>
      <top style="thin">
        <color rgb="FFFFFFFF"/>
      </top>
      <bottom style="hair">
        <color rgb="FF999999"/>
      </bottom>
    </border>
    <border>
      <left style="thin">
        <color rgb="FFFFFFFF"/>
      </left>
      <top style="hair">
        <color rgb="FF999999"/>
      </top>
      <bottom style="hair">
        <color rgb="FF999999"/>
      </bottom>
    </border>
    <border>
      <top style="hair">
        <color rgb="FF999999"/>
      </top>
      <bottom style="hair">
        <color rgb="FF999999"/>
      </bottom>
    </border>
    <border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999999"/>
      </left>
      <top style="hair">
        <color rgb="FF999999"/>
      </top>
      <bottom style="hair">
        <color rgb="FF999999"/>
      </bottom>
    </border>
    <border>
      <right style="thin">
        <color rgb="FFFFFFFF"/>
      </right>
      <top style="hair">
        <color rgb="FF999999"/>
      </top>
      <bottom style="hair">
        <color rgb="FF999999"/>
      </bottom>
    </border>
    <border>
      <left style="thin">
        <color rgb="FFFFFFFF"/>
      </left>
      <right style="thin">
        <color rgb="FFFFFFFF"/>
      </right>
      <top style="hair">
        <color rgb="FF99999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hair">
        <color rgb="FFFFFFFF"/>
      </bottom>
    </border>
    <border>
      <left style="thin">
        <color rgb="FFFFFFFF"/>
      </left>
      <right style="thin">
        <color rgb="FFFFFFFF"/>
      </right>
      <top style="hair">
        <color rgb="FF000000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FFFFFF"/>
      </left>
      <top style="hair">
        <color rgb="FFFFFFFF"/>
      </top>
    </border>
    <border>
      <top style="hair">
        <color rgb="FFFFFFFF"/>
      </top>
    </border>
    <border>
      <right style="hair">
        <color rgb="FFFFFFFF"/>
      </right>
      <top style="hair">
        <color rgb="FFFFFFFF"/>
      </top>
    </border>
    <border>
      <left style="hair">
        <color rgb="FFFFFFFF"/>
      </left>
      <top style="hair">
        <color rgb="FFFFFFFF"/>
      </top>
      <bottom style="hair">
        <color rgb="FFFFFFFF"/>
      </bottom>
    </border>
    <border>
      <right style="hair">
        <color rgb="FFFFFFFF"/>
      </right>
      <top style="hair">
        <color rgb="FFFFFFFF"/>
      </top>
      <bottom style="hair">
        <color rgb="FFFFFFFF"/>
      </bottom>
    </border>
    <border>
      <left style="thin">
        <color rgb="FFFFFFFF"/>
      </left>
      <right style="thin">
        <color rgb="FFFFFFFF"/>
      </right>
      <top style="hair">
        <color rgb="FF000000"/>
      </top>
      <bottom style="hair">
        <color rgb="FF000000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thin">
        <color rgb="FFFFFFFF"/>
      </bottom>
    </border>
    <border>
      <left style="hair">
        <color rgb="FFFFFFFF"/>
      </left>
      <bottom style="hair">
        <color rgb="FFFFFFFF"/>
      </bottom>
    </border>
    <border>
      <bottom style="hair">
        <color rgb="FFFFFFFF"/>
      </bottom>
    </border>
    <border>
      <right style="hair">
        <color rgb="FFFFFFFF"/>
      </right>
      <bottom style="hair">
        <color rgb="FFFFFFFF"/>
      </bottom>
    </border>
    <border>
      <left style="hair">
        <color rgb="FFFFFFFF"/>
      </left>
      <top style="hair">
        <color rgb="FFFFFFFF"/>
      </top>
      <bottom style="thin">
        <color rgb="FFFFFFFF"/>
      </bottom>
    </border>
    <border>
      <right style="hair">
        <color rgb="FF000000"/>
      </right>
      <top style="hair">
        <color rgb="FFFFFFFF"/>
      </top>
      <bottom style="thin">
        <color rgb="FFFFFFFF"/>
      </bottom>
    </border>
    <border>
      <left style="hair">
        <color rgb="FF000000"/>
      </left>
      <top style="hair">
        <color rgb="FFFFFFFF"/>
      </top>
      <bottom style="hair">
        <color rgb="FF000000"/>
      </bottom>
    </border>
    <border>
      <right style="hair">
        <color rgb="FFFFFFFF"/>
      </right>
      <top style="hair">
        <color rgb="FFFFFFFF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hair">
        <color rgb="FFFFFFFF"/>
      </top>
      <bottom style="thin">
        <color rgb="FFFFFFFF"/>
      </bottom>
    </border>
    <border>
      <left style="thin">
        <color rgb="FFFFFFFF"/>
      </left>
      <right style="hair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hair">
        <color rgb="FFFFFFFF"/>
      </right>
      <top style="thin">
        <color rgb="FFFFFFFF"/>
      </top>
      <bottom style="hair">
        <color rgb="FFFFFFFF"/>
      </bottom>
    </border>
    <border>
      <top style="hair">
        <color rgb="FFFFFFFF"/>
      </top>
      <bottom style="hair">
        <color rgb="FFFFFFFF"/>
      </bottom>
    </border>
    <border>
      <left style="hair">
        <color rgb="FFFFFFFF"/>
      </left>
      <top style="hair">
        <color rgb="FFFFFFFF"/>
      </top>
      <bottom style="hair">
        <color rgb="FF000000"/>
      </bottom>
    </border>
    <border>
      <top style="hair">
        <color rgb="FFFFFFFF"/>
      </top>
      <bottom style="hair">
        <color rgb="FF000000"/>
      </bottom>
    </border>
    <border>
      <right style="hair">
        <color rgb="FF000000"/>
      </right>
      <top style="hair">
        <color rgb="FFFFFFFF"/>
      </top>
      <bottom style="hair">
        <color rgb="FF000000"/>
      </bottom>
    </border>
    <border>
      <left style="hair">
        <color rgb="FFFFFFFF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FFFFFF"/>
      </right>
      <top style="hair">
        <color rgb="FF000000"/>
      </top>
      <bottom style="hair">
        <color rgb="FF000000"/>
      </bottom>
    </border>
    <border>
      <left style="hair">
        <color rgb="FFFFFFFF"/>
      </left>
      <right style="thin">
        <color rgb="FFFFFFFF"/>
      </right>
      <top style="thin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000000"/>
      </top>
      <bottom style="hair">
        <color rgb="FFFFFFFF"/>
      </bottom>
    </border>
    <border>
      <right style="hair">
        <color rgb="FF000000"/>
      </right>
      <top style="hair">
        <color rgb="FFFFFFFF"/>
      </top>
      <bottom style="hair">
        <color rgb="FFFFFFFF"/>
      </bottom>
    </border>
    <border>
      <left style="hair">
        <color rgb="FF000000"/>
      </left>
      <right style="hair">
        <color rgb="FFFFFFFF"/>
      </right>
      <top style="hair">
        <color rgb="FFFFFFFF"/>
      </top>
      <bottom style="hair">
        <color rgb="FF000000"/>
      </bottom>
    </border>
    <border>
      <left style="hair">
        <color rgb="FF000000"/>
      </lef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</border>
    <border>
      <left style="thin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thin">
        <color rgb="FFFFFFFF"/>
      </top>
      <bottom style="hair">
        <color rgb="FFFFFFFF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horizontal="right" readingOrder="0" shrinkToFit="0" vertical="bottom" wrapText="1"/>
    </xf>
    <xf borderId="11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shrinkToFit="0" wrapText="1"/>
    </xf>
    <xf borderId="13" fillId="2" fontId="1" numFmtId="0" xfId="0" applyAlignment="1" applyBorder="1" applyFill="1" applyFont="1">
      <alignment readingOrder="0" shrinkToFit="0" wrapText="1"/>
    </xf>
    <xf borderId="14" fillId="0" fontId="1" numFmtId="0" xfId="0" applyAlignment="1" applyBorder="1" applyFont="1">
      <alignment shrinkToFit="0" wrapText="1"/>
    </xf>
    <xf borderId="15" fillId="0" fontId="1" numFmtId="0" xfId="0" applyAlignment="1" applyBorder="1" applyFont="1">
      <alignment shrinkToFit="0" wrapText="1"/>
    </xf>
    <xf borderId="13" fillId="2" fontId="1" numFmtId="0" xfId="0" applyAlignment="1" applyBorder="1" applyFont="1">
      <alignment shrinkToFit="0" wrapText="1"/>
    </xf>
    <xf borderId="16" fillId="0" fontId="1" numFmtId="0" xfId="0" applyAlignment="1" applyBorder="1" applyFont="1">
      <alignment shrinkToFit="0" wrapText="1"/>
    </xf>
    <xf borderId="16" fillId="0" fontId="1" numFmtId="0" xfId="0" applyAlignment="1" applyBorder="1" applyFont="1">
      <alignment horizontal="center" shrinkToFit="0" vertical="bottom" wrapText="1"/>
    </xf>
    <xf borderId="10" fillId="0" fontId="1" numFmtId="0" xfId="0" applyAlignment="1" applyBorder="1" applyFont="1">
      <alignment horizontal="right" readingOrder="0" shrinkToFit="0" vertical="bottom" wrapText="1"/>
    </xf>
    <xf borderId="17" fillId="0" fontId="1" numFmtId="0" xfId="0" applyAlignment="1" applyBorder="1" applyFont="1">
      <alignment horizontal="right" readingOrder="0" shrinkToFit="0" vertical="bottom" wrapText="1"/>
    </xf>
    <xf borderId="18" fillId="2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vertical="bottom" wrapText="1"/>
    </xf>
    <xf borderId="19" fillId="0" fontId="1" numFmtId="0" xfId="0" applyAlignment="1" applyBorder="1" applyFont="1">
      <alignment shrinkToFit="0" wrapText="1"/>
    </xf>
    <xf borderId="19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right" readingOrder="0" shrinkToFit="0" vertical="center" wrapText="1"/>
    </xf>
    <xf borderId="20" fillId="0" fontId="1" numFmtId="0" xfId="0" applyAlignment="1" applyBorder="1" applyFont="1">
      <alignment shrinkToFit="0" wrapText="1"/>
    </xf>
    <xf borderId="21" fillId="2" fontId="1" numFmtId="0" xfId="0" applyAlignment="1" applyBorder="1" applyFont="1">
      <alignment horizontal="left" shrinkToFit="0" vertical="top" wrapText="1"/>
    </xf>
    <xf borderId="22" fillId="0" fontId="1" numFmtId="0" xfId="0" applyAlignment="1" applyBorder="1" applyFont="1">
      <alignment shrinkToFit="0" wrapText="1"/>
    </xf>
    <xf borderId="23" fillId="0" fontId="1" numFmtId="0" xfId="0" applyAlignment="1" applyBorder="1" applyFont="1">
      <alignment shrinkToFit="0" wrapText="1"/>
    </xf>
    <xf borderId="24" fillId="3" fontId="1" numFmtId="0" xfId="0" applyAlignment="1" applyBorder="1" applyFill="1" applyFont="1">
      <alignment shrinkToFit="0" wrapText="1"/>
    </xf>
    <xf borderId="1" fillId="3" fontId="1" numFmtId="0" xfId="0" applyAlignment="1" applyBorder="1" applyFont="1">
      <alignment shrinkToFit="0" wrapText="1"/>
    </xf>
    <xf borderId="25" fillId="0" fontId="1" numFmtId="0" xfId="0" applyAlignment="1" applyBorder="1" applyFont="1">
      <alignment shrinkToFit="0" wrapText="1"/>
    </xf>
    <xf borderId="26" fillId="0" fontId="1" numFmtId="0" xfId="0" applyAlignment="1" applyBorder="1" applyFont="1">
      <alignment shrinkToFit="0" wrapText="1"/>
    </xf>
    <xf borderId="27" fillId="0" fontId="1" numFmtId="0" xfId="0" applyAlignment="1" applyBorder="1" applyFont="1">
      <alignment shrinkToFit="0" wrapText="1"/>
    </xf>
    <xf borderId="28" fillId="0" fontId="1" numFmtId="0" xfId="0" applyAlignment="1" applyBorder="1" applyFont="1">
      <alignment shrinkToFit="0" wrapText="1"/>
    </xf>
    <xf borderId="29" fillId="0" fontId="1" numFmtId="0" xfId="0" applyAlignment="1" applyBorder="1" applyFont="1">
      <alignment shrinkToFit="0" wrapText="1"/>
    </xf>
    <xf borderId="30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readingOrder="0" shrinkToFit="0" vertical="center" wrapText="1"/>
    </xf>
    <xf borderId="31" fillId="0" fontId="4" numFmtId="0" xfId="0" applyAlignment="1" applyBorder="1" applyFont="1">
      <alignment horizontal="center" readingOrder="0" shrinkToFit="0" vertical="bottom" wrapText="1"/>
    </xf>
    <xf borderId="32" fillId="0" fontId="1" numFmtId="0" xfId="0" applyAlignment="1" applyBorder="1" applyFont="1">
      <alignment shrinkToFit="0" wrapText="1"/>
    </xf>
    <xf borderId="33" fillId="3" fontId="1" numFmtId="0" xfId="0" applyAlignment="1" applyBorder="1" applyFont="1">
      <alignment horizontal="center" shrinkToFit="0" vertical="bottom" wrapText="1"/>
    </xf>
    <xf borderId="33" fillId="2" fontId="1" numFmtId="0" xfId="0" applyAlignment="1" applyBorder="1" applyFont="1">
      <alignment horizontal="center" shrinkToFit="0" vertical="bottom" wrapText="1"/>
    </xf>
    <xf borderId="34" fillId="2" fontId="1" numFmtId="0" xfId="0" applyAlignment="1" applyBorder="1" applyFont="1">
      <alignment horizontal="center" shrinkToFit="0" vertical="bottom" wrapText="1"/>
    </xf>
    <xf borderId="35" fillId="3" fontId="5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shrinkToFit="0" wrapText="1"/>
    </xf>
    <xf borderId="37" fillId="0" fontId="1" numFmtId="0" xfId="0" applyAlignment="1" applyBorder="1" applyFont="1">
      <alignment shrinkToFit="0" wrapText="1"/>
    </xf>
    <xf borderId="38" fillId="0" fontId="1" numFmtId="0" xfId="0" applyAlignment="1" applyBorder="1" applyFont="1">
      <alignment shrinkToFit="0" wrapText="1"/>
    </xf>
    <xf borderId="33" fillId="2" fontId="1" numFmtId="0" xfId="0" applyAlignment="1" applyBorder="1" applyFont="1">
      <alignment readingOrder="0" shrinkToFit="0" wrapText="1"/>
    </xf>
    <xf borderId="33" fillId="2" fontId="1" numFmtId="0" xfId="0" applyAlignment="1" applyBorder="1" applyFont="1">
      <alignment shrinkToFit="0" wrapText="1"/>
    </xf>
    <xf borderId="33" fillId="2" fontId="1" numFmtId="0" xfId="0" applyAlignment="1" applyBorder="1" applyFont="1">
      <alignment horizontal="center" readingOrder="0" shrinkToFit="0" vertical="bottom" wrapText="1"/>
    </xf>
    <xf borderId="39" fillId="2" fontId="6" numFmtId="0" xfId="0" applyAlignment="1" applyBorder="1" applyFont="1">
      <alignment horizontal="center" readingOrder="0" shrinkToFit="0" vertical="bottom" wrapText="1"/>
    </xf>
    <xf borderId="40" fillId="0" fontId="6" numFmtId="0" xfId="0" applyAlignment="1" applyBorder="1" applyFont="1">
      <alignment horizontal="center" readingOrder="0" shrinkToFit="0" vertical="bottom" wrapText="1"/>
    </xf>
    <xf borderId="40" fillId="0" fontId="4" numFmtId="0" xfId="0" applyAlignment="1" applyBorder="1" applyFont="1">
      <alignment horizontal="center" readingOrder="0" shrinkToFit="0" vertical="bottom" wrapText="1"/>
    </xf>
    <xf borderId="40" fillId="0" fontId="6" numFmtId="0" xfId="0" applyAlignment="1" applyBorder="1" applyFont="1">
      <alignment horizontal="center" shrinkToFit="0" vertical="bottom" wrapText="1"/>
    </xf>
    <xf borderId="41" fillId="0" fontId="4" numFmtId="0" xfId="0" applyAlignment="1" applyBorder="1" applyFont="1">
      <alignment horizontal="center" readingOrder="0" shrinkToFit="0" vertical="bottom" wrapText="1"/>
    </xf>
    <xf borderId="42" fillId="2" fontId="6" numFmtId="0" xfId="0" applyAlignment="1" applyBorder="1" applyFont="1">
      <alignment horizontal="center" shrinkToFit="0" vertical="bottom" wrapText="1"/>
    </xf>
    <xf borderId="41" fillId="0" fontId="6" numFmtId="0" xfId="0" applyAlignment="1" applyBorder="1" applyFont="1">
      <alignment horizontal="center" shrinkToFit="0" vertical="bottom" wrapText="1"/>
    </xf>
    <xf borderId="41" fillId="0" fontId="6" numFmtId="0" xfId="0" applyAlignment="1" applyBorder="1" applyFont="1">
      <alignment horizontal="center" readingOrder="0" shrinkToFit="0" vertical="bottom" wrapText="1"/>
    </xf>
    <xf borderId="42" fillId="2" fontId="6" numFmtId="0" xfId="0" applyAlignment="1" applyBorder="1" applyFont="1">
      <alignment horizontal="center" readingOrder="0" shrinkToFit="0" vertical="bottom" wrapText="1"/>
    </xf>
    <xf borderId="43" fillId="0" fontId="1" numFmtId="0" xfId="0" applyAlignment="1" applyBorder="1" applyFont="1">
      <alignment shrinkToFit="0" wrapText="1"/>
    </xf>
    <xf borderId="43" fillId="0" fontId="1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readingOrder="0" shrinkToFit="0" vertical="center" wrapText="1"/>
    </xf>
    <xf borderId="44" fillId="0" fontId="1" numFmtId="0" xfId="0" applyAlignment="1" applyBorder="1" applyFont="1">
      <alignment shrinkToFit="0" wrapText="1"/>
    </xf>
    <xf borderId="45" fillId="0" fontId="7" numFmtId="0" xfId="0" applyAlignment="1" applyBorder="1" applyFont="1">
      <alignment horizontal="center" readingOrder="0" shrinkToFit="0" vertical="center" wrapText="1"/>
    </xf>
    <xf quotePrefix="1" borderId="45" fillId="0" fontId="7" numFmtId="0" xfId="0" applyAlignment="1" applyBorder="1" applyFont="1">
      <alignment horizontal="center" readingOrder="0" shrinkToFit="0" vertical="center" wrapText="1"/>
    </xf>
    <xf quotePrefix="1" borderId="46" fillId="0" fontId="7" numFmtId="0" xfId="0" applyAlignment="1" applyBorder="1" applyFont="1">
      <alignment horizontal="center" readingOrder="0" shrinkToFit="0" vertical="center" wrapText="1"/>
    </xf>
    <xf borderId="47" fillId="2" fontId="1" numFmtId="0" xfId="0" applyAlignment="1" applyBorder="1" applyFont="1">
      <alignment readingOrder="0" shrinkToFit="0" wrapText="1"/>
    </xf>
    <xf borderId="48" fillId="0" fontId="1" numFmtId="0" xfId="0" applyAlignment="1" applyBorder="1" applyFont="1">
      <alignment shrinkToFit="0" wrapText="1"/>
    </xf>
    <xf borderId="49" fillId="0" fontId="1" numFmtId="0" xfId="0" applyAlignment="1" applyBorder="1" applyFont="1">
      <alignment shrinkToFit="0" wrapText="1"/>
    </xf>
    <xf borderId="50" fillId="2" fontId="1" numFmtId="0" xfId="0" applyAlignment="1" applyBorder="1" applyFont="1">
      <alignment readingOrder="0" shrinkToFit="0" wrapText="1"/>
    </xf>
    <xf borderId="51" fillId="0" fontId="1" numFmtId="0" xfId="0" applyAlignment="1" applyBorder="1" applyFont="1">
      <alignment shrinkToFit="0" wrapText="1"/>
    </xf>
    <xf borderId="52" fillId="0" fontId="1" numFmtId="0" xfId="0" applyAlignment="1" applyBorder="1" applyFont="1">
      <alignment shrinkToFit="0" wrapText="1"/>
    </xf>
    <xf borderId="53" fillId="0" fontId="1" numFmtId="0" xfId="0" applyAlignment="1" applyBorder="1" applyFont="1">
      <alignment shrinkToFit="0" wrapText="1"/>
    </xf>
    <xf borderId="10" fillId="0" fontId="8" numFmtId="0" xfId="0" applyAlignment="1" applyBorder="1" applyFont="1">
      <alignment horizontal="right" readingOrder="0" shrinkToFit="0" vertical="bottom" wrapText="1"/>
    </xf>
    <xf borderId="54" fillId="0" fontId="1" numFmtId="0" xfId="0" applyAlignment="1" applyBorder="1" applyFont="1">
      <alignment shrinkToFit="0" wrapText="1"/>
    </xf>
    <xf borderId="44" fillId="0" fontId="8" numFmtId="0" xfId="0" applyAlignment="1" applyBorder="1" applyFont="1">
      <alignment horizontal="center" shrinkToFit="0" vertical="bottom" wrapText="1"/>
    </xf>
    <xf borderId="55" fillId="0" fontId="6" numFmtId="0" xfId="0" applyAlignment="1" applyBorder="1" applyFont="1">
      <alignment horizontal="center" readingOrder="0" shrinkToFit="0" vertical="bottom" wrapText="1"/>
    </xf>
    <xf borderId="55" fillId="0" fontId="6" numFmtId="0" xfId="0" applyAlignment="1" applyBorder="1" applyFont="1">
      <alignment horizontal="center" shrinkToFit="0" vertical="bottom" wrapText="1"/>
    </xf>
    <xf borderId="56" fillId="0" fontId="6" numFmtId="0" xfId="0" applyAlignment="1" applyBorder="1" applyFont="1">
      <alignment horizontal="center" shrinkToFit="0" vertical="bottom" wrapText="1"/>
    </xf>
    <xf borderId="55" fillId="0" fontId="4" numFmtId="0" xfId="0" applyAlignment="1" applyBorder="1" applyFont="1">
      <alignment horizontal="center" readingOrder="0" shrinkToFit="0" vertical="bottom" wrapText="1"/>
    </xf>
    <xf borderId="50" fillId="2" fontId="1" numFmtId="0" xfId="0" applyAlignment="1" applyBorder="1" applyFont="1">
      <alignment shrinkToFit="0" wrapText="1"/>
    </xf>
    <xf borderId="47" fillId="2" fontId="8" numFmtId="0" xfId="0" applyAlignment="1" applyBorder="1" applyFont="1">
      <alignment horizontal="right" readingOrder="0" shrinkToFit="0" vertical="bottom" wrapText="1"/>
    </xf>
    <xf borderId="50" fillId="2" fontId="8" numFmtId="0" xfId="0" applyAlignment="1" applyBorder="1" applyFont="1">
      <alignment horizontal="right" readingOrder="0" shrinkToFit="0" vertical="bottom" wrapText="1"/>
    </xf>
    <xf borderId="57" fillId="0" fontId="1" numFmtId="0" xfId="0" applyAlignment="1" applyBorder="1" applyFont="1">
      <alignment shrinkToFit="0" wrapText="1"/>
    </xf>
    <xf borderId="50" fillId="2" fontId="8" numFmtId="0" xfId="0" applyAlignment="1" applyBorder="1" applyFont="1">
      <alignment horizontal="right" shrinkToFit="0" vertical="bottom" wrapText="1"/>
    </xf>
    <xf borderId="58" fillId="0" fontId="8" numFmtId="0" xfId="0" applyAlignment="1" applyBorder="1" applyFont="1">
      <alignment horizontal="right" readingOrder="0" shrinkToFit="0" vertical="bottom" wrapText="1"/>
    </xf>
    <xf borderId="59" fillId="0" fontId="1" numFmtId="0" xfId="0" applyAlignment="1" applyBorder="1" applyFont="1">
      <alignment shrinkToFit="0" wrapText="1"/>
    </xf>
    <xf borderId="47" fillId="2" fontId="8" numFmtId="0" xfId="0" applyAlignment="1" applyBorder="1" applyFont="1">
      <alignment horizontal="right" shrinkToFit="0" vertical="bottom" wrapText="1"/>
    </xf>
    <xf borderId="60" fillId="0" fontId="1" numFmtId="0" xfId="0" applyAlignment="1" applyBorder="1" applyFont="1">
      <alignment shrinkToFit="0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61" fillId="0" fontId="1" numFmtId="0" xfId="0" applyAlignment="1" applyBorder="1" applyFont="1">
      <alignment horizontal="right" readingOrder="0" shrinkToFit="0" vertical="bottom" wrapText="1"/>
    </xf>
    <xf borderId="13" fillId="2" fontId="1" numFmtId="0" xfId="0" applyAlignment="1" applyBorder="1" applyFont="1">
      <alignment horizontal="left" readingOrder="0" shrinkToFit="0" vertical="bottom" wrapText="1"/>
    </xf>
    <xf borderId="62" fillId="0" fontId="1" numFmtId="0" xfId="0" applyAlignment="1" applyBorder="1" applyFont="1">
      <alignment shrinkToFit="0" wrapText="1"/>
    </xf>
    <xf borderId="63" fillId="0" fontId="1" numFmtId="0" xfId="0" applyAlignment="1" applyBorder="1" applyFont="1">
      <alignment shrinkToFit="0" wrapText="1"/>
    </xf>
    <xf borderId="64" fillId="2" fontId="1" numFmtId="0" xfId="0" applyAlignment="1" applyBorder="1" applyFont="1">
      <alignment horizontal="center" readingOrder="0" shrinkToFit="0" vertical="bottom" wrapText="1"/>
    </xf>
    <xf borderId="65" fillId="0" fontId="1" numFmtId="0" xfId="0" applyAlignment="1" applyBorder="1" applyFont="1">
      <alignment horizontal="right" readingOrder="0" shrinkToFit="0" vertical="bottom" wrapText="1"/>
    </xf>
    <xf borderId="66" fillId="0" fontId="1" numFmtId="0" xfId="0" applyAlignment="1" applyBorder="1" applyFont="1">
      <alignment shrinkToFit="0" wrapText="1"/>
    </xf>
    <xf borderId="67" fillId="0" fontId="1" numFmtId="0" xfId="0" applyAlignment="1" applyBorder="1" applyFont="1">
      <alignment shrinkToFit="0" wrapText="1"/>
    </xf>
    <xf borderId="68" fillId="2" fontId="1" numFmtId="0" xfId="0" applyAlignment="1" applyBorder="1" applyFont="1">
      <alignment horizontal="center" readingOrder="0" shrinkToFit="0" vertical="bottom" wrapText="1"/>
    </xf>
    <xf borderId="69" fillId="0" fontId="1" numFmtId="0" xfId="0" applyAlignment="1" applyBorder="1" applyFont="1">
      <alignment shrinkToFit="0" wrapText="1"/>
    </xf>
    <xf borderId="70" fillId="0" fontId="1" numFmtId="0" xfId="0" applyAlignment="1" applyBorder="1" applyFont="1">
      <alignment shrinkToFit="0" wrapText="1"/>
    </xf>
    <xf borderId="71" fillId="0" fontId="1" numFmtId="0" xfId="0" applyAlignment="1" applyBorder="1" applyFont="1">
      <alignment horizontal="center" readingOrder="0" shrinkToFit="0" vertical="bottom" wrapText="1"/>
    </xf>
    <xf borderId="72" fillId="0" fontId="1" numFmtId="0" xfId="0" applyAlignment="1" applyBorder="1" applyFont="1">
      <alignment shrinkToFit="0" wrapText="1"/>
    </xf>
    <xf borderId="73" fillId="0" fontId="1" numFmtId="0" xfId="0" applyAlignment="1" applyBorder="1" applyFont="1">
      <alignment horizontal="right" readingOrder="0" shrinkToFit="0" vertical="bottom" wrapText="1"/>
    </xf>
    <xf quotePrefix="1" borderId="73" fillId="0" fontId="7" numFmtId="0" xfId="0" applyAlignment="1" applyBorder="1" applyFont="1">
      <alignment horizontal="center" readingOrder="0" shrinkToFit="0" vertical="center" wrapText="1"/>
    </xf>
    <xf borderId="74" fillId="0" fontId="1" numFmtId="0" xfId="0" applyAlignment="1" applyBorder="1" applyFont="1">
      <alignment shrinkToFit="0" wrapText="1"/>
    </xf>
    <xf borderId="75" fillId="0" fontId="1" numFmtId="0" xfId="0" applyAlignment="1" applyBorder="1" applyFont="1">
      <alignment horizontal="right" readingOrder="0" shrinkToFit="0" vertical="center" wrapText="1"/>
    </xf>
    <xf borderId="21" fillId="2" fontId="1" numFmtId="0" xfId="0" applyAlignment="1" applyBorder="1" applyFont="1">
      <alignment horizontal="left" readingOrder="0" shrinkToFit="0" vertical="top" wrapText="1"/>
    </xf>
    <xf borderId="76" fillId="0" fontId="1" numFmtId="0" xfId="0" applyAlignment="1" applyBorder="1" applyFont="1">
      <alignment shrinkToFit="0" wrapText="1"/>
    </xf>
    <xf borderId="77" fillId="0" fontId="1" numFmtId="0" xfId="0" applyAlignment="1" applyBorder="1" applyFont="1">
      <alignment shrinkToFit="0" wrapText="1"/>
    </xf>
    <xf borderId="73" fillId="0" fontId="1" numFmtId="0" xfId="0" applyAlignment="1" applyBorder="1" applyFont="1">
      <alignment horizontal="center" readingOrder="0" shrinkToFit="0" vertical="bottom" wrapText="1"/>
    </xf>
    <xf borderId="78" fillId="0" fontId="1" numFmtId="0" xfId="0" applyAlignment="1" applyBorder="1" applyFont="1">
      <alignment shrinkToFit="0" wrapText="1"/>
    </xf>
    <xf borderId="79" fillId="0" fontId="1" numFmtId="0" xfId="0" applyAlignment="1" applyBorder="1" applyFont="1">
      <alignment shrinkToFit="0" wrapText="1"/>
    </xf>
    <xf borderId="80" fillId="0" fontId="1" numFmtId="0" xfId="0" applyAlignment="1" applyBorder="1" applyFont="1">
      <alignment shrinkToFit="0" wrapText="1"/>
    </xf>
    <xf borderId="81" fillId="0" fontId="1" numFmtId="0" xfId="0" applyAlignment="1" applyBorder="1" applyFont="1">
      <alignment shrinkToFit="0" wrapText="1"/>
    </xf>
    <xf borderId="75" fillId="2" fontId="8" numFmtId="0" xfId="0" applyAlignment="1" applyBorder="1" applyFont="1">
      <alignment horizontal="center" readingOrder="0" shrinkToFit="0" vertical="center" wrapText="1"/>
    </xf>
    <xf borderId="82" fillId="0" fontId="1" numFmtId="0" xfId="0" applyAlignment="1" applyBorder="1" applyFont="1">
      <alignment shrinkToFit="0" wrapText="1"/>
    </xf>
    <xf borderId="83" fillId="0" fontId="1" numFmtId="0" xfId="0" applyAlignment="1" applyBorder="1" applyFont="1">
      <alignment shrinkToFit="0" wrapText="1"/>
    </xf>
    <xf borderId="78" fillId="0" fontId="1" numFmtId="0" xfId="0" applyAlignment="1" applyBorder="1" applyFont="1">
      <alignment horizontal="right" readingOrder="0" shrinkToFit="0" vertical="bottom" wrapText="1"/>
    </xf>
    <xf borderId="77" fillId="2" fontId="1" numFmtId="0" xfId="0" applyAlignment="1" applyBorder="1" applyFont="1">
      <alignment readingOrder="0" shrinkToFit="0" wrapText="1"/>
    </xf>
    <xf borderId="84" fillId="0" fontId="1" numFmtId="0" xfId="0" applyAlignment="1" applyBorder="1" applyFont="1">
      <alignment shrinkToFit="0" wrapText="1"/>
    </xf>
    <xf borderId="85" fillId="0" fontId="1" numFmtId="0" xfId="0" applyAlignment="1" applyBorder="1" applyFont="1">
      <alignment shrinkToFit="0" wrapText="1"/>
    </xf>
    <xf borderId="68" fillId="2" fontId="1" numFmtId="0" xfId="0" applyAlignment="1" applyBorder="1" applyFont="1">
      <alignment horizontal="center" shrinkToFit="0" vertical="bottom" wrapText="1"/>
    </xf>
    <xf borderId="13" fillId="2" fontId="1" numFmtId="0" xfId="0" applyAlignment="1" applyBorder="1" applyFont="1">
      <alignment horizontal="left" shrinkToFit="0" vertical="bottom" wrapText="1"/>
    </xf>
    <xf borderId="64" fillId="2" fontId="1" numFmtId="0" xfId="0" applyAlignment="1" applyBorder="1" applyFont="1">
      <alignment horizontal="center" shrinkToFit="0" vertical="bottom" wrapText="1"/>
    </xf>
    <xf borderId="86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readingOrder="0" shrinkToFit="0" vertical="center" wrapText="1"/>
    </xf>
    <xf borderId="21" fillId="2" fontId="1" numFmtId="0" xfId="0" applyAlignment="1" applyBorder="1" applyFont="1">
      <alignment shrinkToFit="0" vertical="top" wrapText="1"/>
    </xf>
    <xf borderId="24" fillId="0" fontId="1" numFmtId="0" xfId="0" applyAlignment="1" applyBorder="1" applyFont="1">
      <alignment shrinkToFit="0" vertical="top" wrapText="1"/>
    </xf>
    <xf borderId="24" fillId="0" fontId="1" numFmtId="0" xfId="0" applyAlignment="1" applyBorder="1" applyFont="1">
      <alignment shrinkToFit="0" wrapText="1"/>
    </xf>
    <xf borderId="87" fillId="2" fontId="1" numFmtId="0" xfId="0" applyAlignment="1" applyBorder="1" applyFont="1">
      <alignment shrinkToFit="0" wrapText="1"/>
    </xf>
    <xf borderId="88" fillId="0" fontId="1" numFmtId="0" xfId="0" applyAlignment="1" applyBorder="1" applyFont="1">
      <alignment shrinkToFit="0" wrapText="1"/>
    </xf>
    <xf borderId="89" fillId="0" fontId="1" numFmtId="0" xfId="0" applyAlignment="1" applyBorder="1" applyFont="1">
      <alignment shrinkToFit="0" wrapText="1"/>
    </xf>
    <xf borderId="90" fillId="2" fontId="1" numFmtId="0" xfId="0" applyAlignment="1" applyBorder="1" applyFont="1">
      <alignment shrinkToFit="0" wrapText="1"/>
    </xf>
    <xf borderId="91" fillId="0" fontId="1" numFmtId="0" xfId="0" applyAlignment="1" applyBorder="1" applyFont="1">
      <alignment shrinkToFit="0" wrapText="1"/>
    </xf>
    <xf borderId="92" fillId="2" fontId="1" numFmtId="0" xfId="0" applyAlignment="1" applyBorder="1" applyFont="1">
      <alignment shrinkToFit="0" wrapText="1"/>
    </xf>
    <xf borderId="93" fillId="0" fontId="1" numFmtId="0" xfId="0" applyAlignment="1" applyBorder="1" applyFont="1">
      <alignment shrinkToFit="0" wrapText="1"/>
    </xf>
    <xf borderId="94" fillId="0" fontId="1" numFmtId="0" xfId="0" applyAlignment="1" applyBorder="1" applyFont="1">
      <alignment shrinkToFit="0" wrapText="1"/>
    </xf>
    <xf borderId="95" fillId="2" fontId="1" numFmtId="0" xfId="0" applyAlignment="1" applyBorder="1" applyFont="1">
      <alignment shrinkToFit="0" wrapText="1"/>
    </xf>
    <xf borderId="96" fillId="0" fontId="1" numFmtId="0" xfId="0" applyAlignment="1" applyBorder="1" applyFont="1">
      <alignment shrinkToFit="0" wrapText="1"/>
    </xf>
    <xf borderId="97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right" readingOrder="0" shrinkToFit="0" vertical="bottom" wrapText="1"/>
    </xf>
    <xf borderId="18" fillId="2" fontId="1" numFmtId="0" xfId="0" applyAlignment="1" applyBorder="1" applyFont="1">
      <alignment horizontal="left" shrinkToFit="0" vertical="bottom" wrapText="1"/>
    </xf>
    <xf borderId="98" fillId="0" fontId="1" numFmtId="0" xfId="0" applyAlignment="1" applyBorder="1" applyFont="1">
      <alignment shrinkToFit="0" wrapText="1"/>
    </xf>
    <xf borderId="99" fillId="0" fontId="1" numFmtId="0" xfId="0" applyAlignment="1" applyBorder="1" applyFont="1">
      <alignment shrinkToFit="0" wrapText="1"/>
    </xf>
    <xf borderId="98" fillId="0" fontId="1" numFmtId="0" xfId="0" applyAlignment="1" applyBorder="1" applyFont="1">
      <alignment horizontal="center" shrinkToFit="0" vertical="bottom" wrapText="1"/>
    </xf>
    <xf borderId="64" fillId="2" fontId="1" numFmtId="0" xfId="0" applyAlignment="1" applyBorder="1" applyFont="1">
      <alignment shrinkToFit="0" wrapText="1"/>
    </xf>
    <xf borderId="100" fillId="0" fontId="1" numFmtId="0" xfId="0" applyAlignment="1" applyBorder="1" applyFont="1">
      <alignment shrinkToFit="0" wrapText="1"/>
    </xf>
    <xf borderId="100" fillId="0" fontId="1" numFmtId="0" xfId="0" applyAlignment="1" applyBorder="1" applyFont="1">
      <alignment horizontal="center" shrinkToFit="0" vertical="bottom" wrapText="1"/>
    </xf>
    <xf borderId="101" fillId="0" fontId="1" numFmtId="0" xfId="0" applyAlignment="1" applyBorder="1" applyFont="1">
      <alignment shrinkToFit="0" wrapText="1"/>
    </xf>
    <xf borderId="102" fillId="0" fontId="9" numFmtId="0" xfId="0" applyAlignment="1" applyBorder="1" applyFont="1">
      <alignment horizontal="center" readingOrder="0" shrinkToFit="0" vertical="center" wrapText="1"/>
    </xf>
    <xf borderId="103" fillId="0" fontId="1" numFmtId="0" xfId="0" applyAlignment="1" applyBorder="1" applyFont="1">
      <alignment shrinkToFit="0" wrapText="1"/>
    </xf>
    <xf borderId="104" fillId="0" fontId="1" numFmtId="0" xfId="0" applyAlignment="1" applyBorder="1" applyFont="1">
      <alignment shrinkToFit="0" wrapText="1"/>
    </xf>
    <xf borderId="105" fillId="0" fontId="1" numFmtId="0" xfId="0" applyAlignment="1" applyBorder="1" applyFont="1">
      <alignment horizontal="right" readingOrder="0" shrinkToFit="0" vertical="bottom" wrapText="1"/>
    </xf>
    <xf borderId="106" fillId="0" fontId="1" numFmtId="0" xfId="0" applyAlignment="1" applyBorder="1" applyFont="1">
      <alignment shrinkToFit="0" wrapText="1"/>
    </xf>
    <xf borderId="105" fillId="0" fontId="1" numFmtId="0" xfId="0" applyAlignment="1" applyBorder="1" applyFont="1">
      <alignment horizontal="center" shrinkToFit="0" vertical="bottom" wrapText="1"/>
    </xf>
    <xf borderId="107" fillId="0" fontId="1" numFmtId="0" xfId="0" applyAlignment="1" applyBorder="1" applyFont="1">
      <alignment shrinkToFit="0" wrapText="1"/>
    </xf>
    <xf borderId="108" fillId="0" fontId="1" numFmtId="0" xfId="0" applyAlignment="1" applyBorder="1" applyFont="1">
      <alignment shrinkToFit="0" wrapText="1"/>
    </xf>
    <xf borderId="109" fillId="0" fontId="1" numFmtId="0" xfId="0" applyAlignment="1" applyBorder="1" applyFont="1">
      <alignment shrinkToFit="0" wrapText="1"/>
    </xf>
    <xf borderId="110" fillId="0" fontId="1" numFmtId="0" xfId="0" applyAlignment="1" applyBorder="1" applyFont="1">
      <alignment shrinkToFit="0" wrapText="1"/>
    </xf>
    <xf borderId="111" fillId="0" fontId="1" numFmtId="0" xfId="0" applyAlignment="1" applyBorder="1" applyFont="1">
      <alignment shrinkToFit="0" wrapText="1"/>
    </xf>
    <xf borderId="112" fillId="0" fontId="1" numFmtId="0" xfId="0" applyAlignment="1" applyBorder="1" applyFont="1">
      <alignment horizontal="right" readingOrder="0" shrinkToFit="0" vertical="bottom" wrapText="1"/>
    </xf>
    <xf borderId="113" fillId="0" fontId="1" numFmtId="0" xfId="0" applyAlignment="1" applyBorder="1" applyFont="1">
      <alignment shrinkToFit="0" wrapText="1"/>
    </xf>
    <xf borderId="114" fillId="2" fontId="1" numFmtId="0" xfId="0" applyAlignment="1" applyBorder="1" applyFont="1">
      <alignment horizontal="center" shrinkToFit="0" vertical="bottom" wrapText="1"/>
    </xf>
    <xf borderId="115" fillId="0" fontId="1" numFmtId="0" xfId="0" applyAlignment="1" applyBorder="1" applyFont="1">
      <alignment shrinkToFit="0" wrapText="1"/>
    </xf>
    <xf borderId="108" fillId="0" fontId="1" numFmtId="0" xfId="0" applyAlignment="1" applyBorder="1" applyFont="1">
      <alignment horizontal="center" shrinkToFit="0" vertical="bottom" wrapText="1"/>
    </xf>
    <xf borderId="116" fillId="0" fontId="1" numFmtId="0" xfId="0" applyAlignment="1" applyBorder="1" applyFont="1">
      <alignment shrinkToFit="0" wrapText="1"/>
    </xf>
    <xf borderId="117" fillId="0" fontId="1" numFmtId="0" xfId="0" applyAlignment="1" applyBorder="1" applyFont="1">
      <alignment horizontal="center" shrinkToFit="0" vertical="bottom" wrapText="1"/>
    </xf>
    <xf borderId="10" fillId="0" fontId="9" numFmtId="0" xfId="0" applyAlignment="1" applyBorder="1" applyFont="1">
      <alignment horizontal="center" readingOrder="0" shrinkToFit="0" vertical="bottom" wrapText="1"/>
    </xf>
    <xf borderId="13" fillId="2" fontId="1" numFmtId="0" xfId="0" applyAlignment="1" applyBorder="1" applyFont="1">
      <alignment horizontal="center" shrinkToFit="0" vertical="bottom" wrapText="1"/>
    </xf>
    <xf borderId="99" fillId="0" fontId="1" numFmtId="0" xfId="0" applyAlignment="1" applyBorder="1" applyFont="1">
      <alignment horizontal="center" shrinkToFit="0" vertical="bottom" wrapText="1"/>
    </xf>
    <xf borderId="118" fillId="0" fontId="1" numFmtId="0" xfId="0" applyAlignment="1" applyBorder="1" applyFont="1">
      <alignment horizontal="center" shrinkToFit="0" vertical="bottom" wrapText="1"/>
    </xf>
    <xf borderId="105" fillId="0" fontId="9" numFmtId="0" xfId="0" applyAlignment="1" applyBorder="1" applyFont="1">
      <alignment horizontal="center" readingOrder="0" shrinkToFit="0" vertical="bottom" wrapText="1"/>
    </xf>
    <xf borderId="119" fillId="0" fontId="1" numFmtId="0" xfId="0" applyAlignment="1" applyBorder="1" applyFont="1">
      <alignment shrinkToFit="0" wrapText="1"/>
    </xf>
    <xf borderId="120" fillId="2" fontId="1" numFmtId="0" xfId="0" applyAlignment="1" applyBorder="1" applyFont="1">
      <alignment readingOrder="0" shrinkToFit="0" wrapText="1"/>
    </xf>
    <xf borderId="121" fillId="0" fontId="1" numFmtId="0" xfId="0" applyAlignment="1" applyBorder="1" applyFont="1">
      <alignment shrinkToFit="0" wrapText="1"/>
    </xf>
    <xf borderId="122" fillId="0" fontId="1" numFmtId="0" xfId="0" applyAlignment="1" applyBorder="1" applyFont="1">
      <alignment shrinkToFit="0" wrapText="1"/>
    </xf>
    <xf borderId="114" fillId="2" fontId="1" numFmtId="0" xfId="0" applyAlignment="1" applyBorder="1" applyFont="1">
      <alignment readingOrder="0" shrinkToFit="0" wrapText="1"/>
    </xf>
    <xf borderId="123" fillId="2" fontId="1" numFmtId="0" xfId="0" applyAlignment="1" applyBorder="1" applyFont="1">
      <alignment readingOrder="0" shrinkToFit="0" wrapText="1"/>
    </xf>
    <xf borderId="124" fillId="0" fontId="1" numFmtId="0" xfId="0" applyAlignment="1" applyBorder="1" applyFont="1">
      <alignment shrinkToFit="0" wrapText="1"/>
    </xf>
    <xf borderId="125" fillId="0" fontId="1" numFmtId="0" xfId="0" applyAlignment="1" applyBorder="1" applyFont="1">
      <alignment shrinkToFit="0" wrapText="1"/>
    </xf>
    <xf borderId="123" fillId="2" fontId="1" numFmtId="0" xfId="0" applyAlignment="1" applyBorder="1" applyFont="1">
      <alignment shrinkToFit="0" wrapText="1"/>
    </xf>
    <xf borderId="126" fillId="0" fontId="1" numFmtId="0" xfId="0" applyAlignment="1" applyBorder="1" applyFont="1">
      <alignment shrinkToFit="0" wrapText="1"/>
    </xf>
    <xf borderId="127" fillId="0" fontId="1" numFmtId="0" xfId="0" applyAlignment="1" applyBorder="1" applyFont="1">
      <alignment shrinkToFit="0" wrapText="1"/>
    </xf>
    <xf borderId="127" fillId="0" fontId="1" numFmtId="0" xfId="0" applyAlignment="1" applyBorder="1" applyFont="1">
      <alignment horizontal="center" shrinkToFit="0" vertical="bottom" wrapText="1"/>
    </xf>
    <xf borderId="102" fillId="0" fontId="3" numFmtId="0" xfId="0" applyAlignment="1" applyBorder="1" applyFont="1">
      <alignment horizontal="center" readingOrder="0" shrinkToFit="0" vertical="center" wrapText="1"/>
    </xf>
    <xf borderId="102" fillId="0" fontId="5" numFmtId="0" xfId="0" applyAlignment="1" applyBorder="1" applyFont="1">
      <alignment horizontal="center" readingOrder="0" shrinkToFit="0" vertical="center" wrapText="1"/>
    </xf>
    <xf borderId="128" fillId="0" fontId="1" numFmtId="0" xfId="0" applyAlignment="1" applyBorder="1" applyFont="1">
      <alignment shrinkToFit="0" wrapText="1"/>
    </xf>
    <xf borderId="129" fillId="2" fontId="1" numFmtId="0" xfId="0" applyAlignment="1" applyBorder="1" applyFont="1">
      <alignment readingOrder="0" shrinkToFit="0" wrapText="1"/>
    </xf>
    <xf borderId="100" fillId="0" fontId="5" numFmtId="0" xfId="0" applyAlignment="1" applyBorder="1" applyFont="1">
      <alignment horizontal="center" shrinkToFit="0" vertical="center" wrapText="1"/>
    </xf>
    <xf borderId="130" fillId="2" fontId="1" numFmtId="0" xfId="0" applyAlignment="1" applyBorder="1" applyFont="1">
      <alignment horizontal="center" shrinkToFit="0" vertical="bottom" wrapText="1"/>
    </xf>
    <xf borderId="120" fillId="0" fontId="1" numFmtId="0" xfId="0" applyAlignment="1" applyBorder="1" applyFont="1">
      <alignment horizontal="center" readingOrder="0" shrinkToFit="0" vertical="bottom" wrapText="1"/>
    </xf>
    <xf borderId="114" fillId="0" fontId="1" numFmtId="0" xfId="0" applyAlignment="1" applyBorder="1" applyFont="1">
      <alignment horizontal="center" readingOrder="0" shrinkToFit="0" vertical="bottom" wrapText="1"/>
    </xf>
    <xf borderId="105" fillId="0" fontId="1" numFmtId="0" xfId="0" applyAlignment="1" applyBorder="1" applyFont="1">
      <alignment shrinkToFit="0" wrapText="1"/>
    </xf>
    <xf borderId="120" fillId="2" fontId="1" numFmtId="0" xfId="0" applyAlignment="1" applyBorder="1" applyFont="1">
      <alignment shrinkToFit="0" wrapText="1"/>
    </xf>
    <xf borderId="131" fillId="0" fontId="1" numFmtId="0" xfId="0" applyAlignment="1" applyBorder="1" applyFont="1">
      <alignment shrinkToFit="0" wrapText="1"/>
    </xf>
    <xf borderId="132" fillId="0" fontId="1" numFmtId="0" xfId="0" applyAlignment="1" applyBorder="1" applyFont="1">
      <alignment shrinkToFit="0" wrapText="1"/>
    </xf>
    <xf borderId="133" fillId="0" fontId="1" numFmtId="0" xfId="0" applyAlignment="1" applyBorder="1" applyFont="1">
      <alignment shrinkToFit="0" wrapText="1"/>
    </xf>
    <xf borderId="1" fillId="3" fontId="1" numFmtId="0" xfId="0" applyAlignment="1" applyBorder="1" applyFont="1">
      <alignment horizontal="left" shrinkToFit="0" vertical="bottom" wrapText="1"/>
    </xf>
    <xf borderId="10" fillId="3" fontId="1" numFmtId="0" xfId="0" applyAlignment="1" applyBorder="1" applyFont="1">
      <alignment horizontal="right" readingOrder="0" shrinkToFit="0" vertical="bottom" wrapText="1"/>
    </xf>
    <xf borderId="1" fillId="3" fontId="1" numFmtId="0" xfId="0" applyAlignment="1" applyBorder="1" applyFont="1">
      <alignment horizontal="center" shrinkToFit="0" vertical="bottom" wrapText="1"/>
    </xf>
    <xf borderId="133" fillId="0" fontId="1" numFmtId="0" xfId="0" applyAlignment="1" applyBorder="1" applyFont="1">
      <alignment horizontal="center" shrinkToFit="0" vertical="bottom" wrapText="1"/>
    </xf>
    <xf borderId="105" fillId="0" fontId="1" numFmtId="0" xfId="0" applyAlignment="1" applyBorder="1" applyFont="1">
      <alignment horizontal="center" readingOrder="0" shrinkToFit="0" vertical="bottom" wrapText="1"/>
    </xf>
    <xf borderId="120" fillId="2" fontId="1" numFmtId="0" xfId="0" applyAlignment="1" applyBorder="1" applyFont="1">
      <alignment horizontal="center" shrinkToFit="0" vertical="bottom" wrapText="1"/>
    </xf>
    <xf borderId="105" fillId="0" fontId="10" numFmtId="0" xfId="0" applyAlignment="1" applyBorder="1" applyFont="1">
      <alignment readingOrder="0" shrinkToFit="0" wrapText="1"/>
    </xf>
    <xf borderId="105" fillId="0" fontId="11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2" width="6.38"/>
    <col customWidth="1" min="3" max="7" width="5.75"/>
    <col customWidth="1" min="8" max="9" width="6.38"/>
    <col customWidth="1" min="10" max="20" width="5.7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</row>
    <row r="2">
      <c r="A2" s="1"/>
      <c r="B2" s="5"/>
      <c r="S2" s="6"/>
      <c r="T2" s="1"/>
    </row>
    <row r="3">
      <c r="A3" s="1"/>
      <c r="B3" s="5"/>
      <c r="S3" s="6"/>
      <c r="T3" s="1"/>
    </row>
    <row r="4">
      <c r="A4" s="1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  <c r="T4" s="1"/>
    </row>
    <row r="5">
      <c r="A5" s="10" t="s">
        <v>1</v>
      </c>
      <c r="B5" s="11"/>
      <c r="C5" s="12"/>
      <c r="D5" s="13" t="s">
        <v>2</v>
      </c>
      <c r="E5" s="14"/>
      <c r="F5" s="14"/>
      <c r="G5" s="14"/>
      <c r="H5" s="14"/>
      <c r="I5" s="14"/>
      <c r="J5" s="15"/>
      <c r="K5" s="10" t="s">
        <v>3</v>
      </c>
      <c r="L5" s="12"/>
      <c r="M5" s="16"/>
      <c r="N5" s="14"/>
      <c r="O5" s="14"/>
      <c r="P5" s="14"/>
      <c r="Q5" s="14"/>
      <c r="R5" s="14"/>
      <c r="S5" s="14"/>
      <c r="T5" s="15"/>
    </row>
    <row r="6">
      <c r="A6" s="1"/>
      <c r="B6" s="1"/>
      <c r="C6" s="1"/>
      <c r="D6" s="17"/>
      <c r="E6" s="17"/>
      <c r="F6" s="17"/>
      <c r="G6" s="17"/>
      <c r="H6" s="18"/>
      <c r="I6" s="18"/>
      <c r="J6" s="17"/>
      <c r="K6" s="1"/>
      <c r="L6" s="1"/>
      <c r="M6" s="17"/>
      <c r="N6" s="17"/>
      <c r="O6" s="17"/>
      <c r="P6" s="17"/>
      <c r="Q6" s="17"/>
      <c r="R6" s="17"/>
      <c r="S6" s="17"/>
      <c r="T6" s="17"/>
    </row>
    <row r="7">
      <c r="A7" s="19" t="s">
        <v>4</v>
      </c>
      <c r="B7" s="12"/>
      <c r="C7" s="13" t="s">
        <v>5</v>
      </c>
      <c r="D7" s="14"/>
      <c r="E7" s="14"/>
      <c r="F7" s="14"/>
      <c r="G7" s="14"/>
      <c r="H7" s="15"/>
      <c r="I7" s="20" t="s">
        <v>6</v>
      </c>
      <c r="J7" s="21"/>
      <c r="K7" s="10" t="s">
        <v>7</v>
      </c>
      <c r="L7" s="12"/>
      <c r="M7" s="16"/>
      <c r="N7" s="14"/>
      <c r="O7" s="14"/>
      <c r="P7" s="14"/>
      <c r="Q7" s="14"/>
      <c r="R7" s="14"/>
      <c r="S7" s="14"/>
      <c r="T7" s="15"/>
    </row>
    <row r="8">
      <c r="A8" s="1"/>
      <c r="B8" s="1"/>
      <c r="C8" s="17"/>
      <c r="D8" s="17"/>
      <c r="E8" s="17"/>
      <c r="F8" s="17"/>
      <c r="G8" s="17"/>
      <c r="H8" s="18"/>
      <c r="I8" s="22"/>
      <c r="J8" s="17"/>
      <c r="K8" s="1"/>
      <c r="L8" s="1"/>
      <c r="M8" s="17"/>
      <c r="N8" s="17"/>
      <c r="O8" s="17"/>
      <c r="P8" s="17"/>
      <c r="Q8" s="17"/>
      <c r="R8" s="17"/>
      <c r="S8" s="17"/>
      <c r="T8" s="17"/>
    </row>
    <row r="9">
      <c r="A9" s="10" t="s">
        <v>8</v>
      </c>
      <c r="B9" s="12"/>
      <c r="C9" s="16"/>
      <c r="D9" s="14"/>
      <c r="E9" s="14"/>
      <c r="F9" s="14"/>
      <c r="G9" s="15"/>
      <c r="H9" s="10" t="s">
        <v>9</v>
      </c>
      <c r="I9" s="12"/>
      <c r="J9" s="16"/>
      <c r="K9" s="14"/>
      <c r="L9" s="14"/>
      <c r="M9" s="15"/>
      <c r="N9" s="10" t="s">
        <v>10</v>
      </c>
      <c r="O9" s="12"/>
      <c r="P9" s="16"/>
      <c r="Q9" s="14"/>
      <c r="R9" s="14"/>
      <c r="S9" s="14"/>
      <c r="T9" s="15"/>
    </row>
    <row r="10">
      <c r="A10" s="1"/>
      <c r="B10" s="1"/>
      <c r="C10" s="17"/>
      <c r="D10" s="17"/>
      <c r="E10" s="17"/>
      <c r="F10" s="17"/>
      <c r="G10" s="17"/>
      <c r="H10" s="22"/>
      <c r="I10" s="22"/>
      <c r="J10" s="17"/>
      <c r="K10" s="17"/>
      <c r="L10" s="17"/>
      <c r="M10" s="17"/>
      <c r="N10" s="1"/>
      <c r="O10" s="1"/>
      <c r="P10" s="17"/>
      <c r="Q10" s="17"/>
      <c r="R10" s="17"/>
      <c r="S10" s="17"/>
      <c r="T10" s="17"/>
    </row>
    <row r="11">
      <c r="A11" s="1"/>
      <c r="B11" s="1"/>
      <c r="C11" s="23"/>
      <c r="D11" s="23"/>
      <c r="E11" s="23"/>
      <c r="F11" s="23"/>
      <c r="G11" s="23"/>
      <c r="H11" s="24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1"/>
      <c r="T11" s="1"/>
    </row>
    <row r="12">
      <c r="A12" s="25" t="s">
        <v>11</v>
      </c>
      <c r="B12" s="26"/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9"/>
      <c r="S12" s="30"/>
      <c r="T12" s="31"/>
    </row>
    <row r="13">
      <c r="A13" s="5"/>
      <c r="B13" s="32"/>
      <c r="C13" s="33"/>
      <c r="R13" s="32"/>
      <c r="S13" s="30"/>
      <c r="T13" s="31"/>
    </row>
    <row r="14">
      <c r="A14" s="5"/>
      <c r="B14" s="32"/>
      <c r="C14" s="33"/>
      <c r="R14" s="32"/>
      <c r="S14" s="30"/>
      <c r="T14" s="31"/>
    </row>
    <row r="15">
      <c r="A15" s="5"/>
      <c r="B15" s="32"/>
      <c r="C15" s="33"/>
      <c r="R15" s="32"/>
      <c r="S15" s="30"/>
      <c r="T15" s="31"/>
    </row>
    <row r="16">
      <c r="A16" s="5"/>
      <c r="B16" s="32"/>
      <c r="C16" s="33"/>
      <c r="R16" s="32"/>
      <c r="S16" s="30"/>
      <c r="T16" s="31"/>
    </row>
    <row r="17">
      <c r="A17" s="7"/>
      <c r="B17" s="34"/>
      <c r="C17" s="35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7"/>
      <c r="S17" s="30"/>
      <c r="T17" s="31"/>
    </row>
    <row r="18">
      <c r="A18" s="38" t="s">
        <v>12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4"/>
    </row>
    <row r="19">
      <c r="T19" s="6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"/>
    </row>
    <row r="21">
      <c r="A21" s="39" t="s">
        <v>13</v>
      </c>
      <c r="B21" s="40"/>
      <c r="C21" s="39" t="s">
        <v>14</v>
      </c>
      <c r="D21" s="40"/>
      <c r="E21" s="39" t="s">
        <v>15</v>
      </c>
      <c r="F21" s="40"/>
      <c r="G21" s="39" t="s">
        <v>16</v>
      </c>
      <c r="H21" s="40"/>
      <c r="I21" s="39" t="s">
        <v>17</v>
      </c>
      <c r="J21" s="40"/>
      <c r="K21" s="39" t="s">
        <v>18</v>
      </c>
      <c r="L21" s="40"/>
      <c r="M21" s="39" t="s">
        <v>19</v>
      </c>
      <c r="N21" s="40"/>
      <c r="O21" s="39" t="s">
        <v>20</v>
      </c>
      <c r="P21" s="40"/>
      <c r="Q21" s="39" t="s">
        <v>21</v>
      </c>
      <c r="R21" s="40"/>
      <c r="S21" s="39" t="s">
        <v>22</v>
      </c>
      <c r="T21" s="40"/>
    </row>
    <row r="22">
      <c r="A22" s="41">
        <f>floor(WS/10,1)+B22</f>
        <v>5</v>
      </c>
      <c r="B22" s="42"/>
      <c r="C22" s="41">
        <f>floor(BS/10,1)+D22</f>
        <v>4</v>
      </c>
      <c r="D22" s="42"/>
      <c r="E22" s="41">
        <f>floor(ST/10,1)+F22</f>
        <v>6</v>
      </c>
      <c r="F22" s="42"/>
      <c r="G22" s="41">
        <f>floor(TUF/10,1)+H22</f>
        <v>6</v>
      </c>
      <c r="H22" s="42"/>
      <c r="I22" s="41">
        <f>floor(AG/10,1)+J22</f>
        <v>3</v>
      </c>
      <c r="J22" s="42"/>
      <c r="K22" s="41">
        <f>floor(INT/10,1)+L22</f>
        <v>3</v>
      </c>
      <c r="L22" s="42"/>
      <c r="M22" s="41">
        <f>floor(PER/10,1)+N22</f>
        <v>5</v>
      </c>
      <c r="N22" s="42"/>
      <c r="O22" s="41">
        <f>floor(WP/10,1)+P22</f>
        <v>3</v>
      </c>
      <c r="P22" s="42"/>
      <c r="Q22" s="41">
        <f>floor(FEL/10,1)+R22</f>
        <v>6</v>
      </c>
      <c r="R22" s="42"/>
      <c r="S22" s="41">
        <f>floor(INF/10,1)+T22</f>
        <v>3</v>
      </c>
      <c r="T22" s="43"/>
    </row>
    <row r="23">
      <c r="A23" s="44">
        <f>A25+B25+(istext(A26)*5)+(istext(B26)*5)+(istext(A27)*5)+(istext(B27)*5)</f>
        <v>56</v>
      </c>
      <c r="B23" s="45"/>
      <c r="C23" s="44">
        <f>C25+D25+(istext(C26)*5)+(istext(D26)*5)+(istext(C27)*5)+(istext(D27)*5)</f>
        <v>43</v>
      </c>
      <c r="D23" s="45"/>
      <c r="E23" s="44">
        <f>E25+F25+(istext(E26)*5)+(istext(F26)*5)+(istext(E27)*5)+(istext(F27)*5)</f>
        <v>68</v>
      </c>
      <c r="F23" s="45"/>
      <c r="G23" s="44">
        <f>G25+H25+(istext(G26)*5)+(istext(H26)*5)+(istext(G27)*5)+(istext(H27)*5)</f>
        <v>68</v>
      </c>
      <c r="H23" s="45"/>
      <c r="I23" s="44">
        <f>I25+J25+(istext(I26)*5)+(istext(J26)*5)+(istext(I27)*5)+(istext(J27)*5)</f>
        <v>39</v>
      </c>
      <c r="J23" s="45"/>
      <c r="K23" s="44">
        <f>K25+L25+(istext(K26)*5)+(istext(L26)*5)+(istext(K27)*5)+(istext(L27)*5)</f>
        <v>38</v>
      </c>
      <c r="L23" s="45"/>
      <c r="M23" s="44">
        <f>M25+N25+(istext(M26)*5)+(istext(N26)*5)+(istext(M27)*5)+(istext(N27)*5)</f>
        <v>50</v>
      </c>
      <c r="N23" s="45"/>
      <c r="O23" s="44">
        <f>O25+P25+(istext(O26)*5)+(istext(P26)*5)+(istext(O27)*5)+(istext(P27)*5)</f>
        <v>36</v>
      </c>
      <c r="P23" s="45"/>
      <c r="Q23" s="44">
        <f>Q25+R25+(istext(Q26)*5)+(istext(R26)*5)+(istext(Q27)*5)+(istext(R27)*5)</f>
        <v>62</v>
      </c>
      <c r="R23" s="45"/>
      <c r="S23" s="44">
        <f>S25+T25+(istext(S26)*5)+(istext(T26)*5)+(istext(S27)*5)+(istext(T27)*5)</f>
        <v>32</v>
      </c>
      <c r="T23" s="45"/>
    </row>
    <row r="24">
      <c r="A24" s="46"/>
      <c r="B24" s="47"/>
      <c r="C24" s="46"/>
      <c r="D24" s="47"/>
      <c r="E24" s="46"/>
      <c r="F24" s="47"/>
      <c r="G24" s="46"/>
      <c r="H24" s="47"/>
      <c r="I24" s="46"/>
      <c r="J24" s="47"/>
      <c r="K24" s="46"/>
      <c r="L24" s="47"/>
      <c r="M24" s="46"/>
      <c r="N24" s="47"/>
      <c r="O24" s="46"/>
      <c r="P24" s="47"/>
      <c r="Q24" s="46"/>
      <c r="R24" s="47"/>
      <c r="S24" s="46"/>
      <c r="T24" s="47"/>
    </row>
    <row r="25">
      <c r="A25" s="48">
        <v>36.0</v>
      </c>
      <c r="B25" s="48">
        <v>5.0</v>
      </c>
      <c r="C25" s="48">
        <v>33.0</v>
      </c>
      <c r="D25" s="49"/>
      <c r="E25" s="48">
        <v>38.0</v>
      </c>
      <c r="F25" s="48">
        <v>10.0</v>
      </c>
      <c r="G25" s="48">
        <v>38.0</v>
      </c>
      <c r="H25" s="50">
        <v>10.0</v>
      </c>
      <c r="I25" s="50">
        <v>29.0</v>
      </c>
      <c r="J25" s="49"/>
      <c r="K25" s="48">
        <v>28.0</v>
      </c>
      <c r="L25" s="49"/>
      <c r="M25" s="48">
        <v>35.0</v>
      </c>
      <c r="N25" s="48">
        <v>10.0</v>
      </c>
      <c r="O25" s="48">
        <v>31.0</v>
      </c>
      <c r="P25" s="49"/>
      <c r="Q25" s="48">
        <v>37.0</v>
      </c>
      <c r="R25" s="48">
        <v>5.0</v>
      </c>
      <c r="S25" s="48">
        <v>27.0</v>
      </c>
      <c r="T25" s="48">
        <v>5.0</v>
      </c>
    </row>
    <row r="26">
      <c r="A26" s="51" t="s">
        <v>23</v>
      </c>
      <c r="B26" s="52" t="s">
        <v>23</v>
      </c>
      <c r="C26" s="51" t="s">
        <v>23</v>
      </c>
      <c r="D26" s="52" t="s">
        <v>23</v>
      </c>
      <c r="E26" s="51" t="s">
        <v>23</v>
      </c>
      <c r="F26" s="52" t="s">
        <v>23</v>
      </c>
      <c r="G26" s="51" t="s">
        <v>23</v>
      </c>
      <c r="H26" s="52" t="s">
        <v>23</v>
      </c>
      <c r="I26" s="51" t="s">
        <v>23</v>
      </c>
      <c r="J26" s="52" t="s">
        <v>23</v>
      </c>
      <c r="K26" s="51" t="s">
        <v>23</v>
      </c>
      <c r="L26" s="53" t="s">
        <v>23</v>
      </c>
      <c r="M26" s="51" t="s">
        <v>23</v>
      </c>
      <c r="N26" s="52"/>
      <c r="O26" s="51" t="s">
        <v>23</v>
      </c>
      <c r="P26" s="52"/>
      <c r="Q26" s="51" t="s">
        <v>23</v>
      </c>
      <c r="R26" s="52" t="s">
        <v>23</v>
      </c>
      <c r="S26" s="51"/>
      <c r="T26" s="54"/>
    </row>
    <row r="27">
      <c r="A27" s="55" t="s">
        <v>23</v>
      </c>
      <c r="B27" s="56"/>
      <c r="C27" s="57"/>
      <c r="D27" s="56"/>
      <c r="E27" s="58" t="s">
        <v>23</v>
      </c>
      <c r="F27" s="59" t="s">
        <v>23</v>
      </c>
      <c r="G27" s="58" t="s">
        <v>23</v>
      </c>
      <c r="H27" s="59" t="s">
        <v>23</v>
      </c>
      <c r="I27" s="57"/>
      <c r="J27" s="56"/>
      <c r="K27" s="57"/>
      <c r="L27" s="56"/>
      <c r="M27" s="57"/>
      <c r="N27" s="56"/>
      <c r="O27" s="57"/>
      <c r="P27" s="56"/>
      <c r="Q27" s="58" t="s">
        <v>23</v>
      </c>
      <c r="R27" s="59" t="s">
        <v>23</v>
      </c>
      <c r="S27" s="57"/>
      <c r="T27" s="56"/>
    </row>
    <row r="28">
      <c r="A28" s="60"/>
      <c r="B28" s="60"/>
      <c r="C28" s="60"/>
      <c r="D28" s="60"/>
      <c r="E28" s="60"/>
      <c r="F28" s="60"/>
      <c r="G28" s="60"/>
      <c r="H28" s="61"/>
      <c r="I28" s="61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</row>
    <row r="29">
      <c r="A29" s="62" t="s">
        <v>24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  <c r="O29" s="62" t="s">
        <v>25</v>
      </c>
      <c r="P29" s="3"/>
      <c r="Q29" s="3"/>
      <c r="R29" s="3"/>
      <c r="S29" s="3"/>
      <c r="T29" s="4"/>
    </row>
    <row r="30">
      <c r="A30" s="5"/>
      <c r="N30" s="6"/>
      <c r="O30" s="5"/>
      <c r="T30" s="6"/>
    </row>
    <row r="31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9"/>
      <c r="O31" s="7"/>
      <c r="P31" s="8"/>
      <c r="Q31" s="8"/>
      <c r="R31" s="8"/>
      <c r="S31" s="8"/>
      <c r="T31" s="9"/>
    </row>
    <row r="32">
      <c r="A32" s="22"/>
      <c r="B32" s="22"/>
      <c r="C32" s="63"/>
      <c r="D32" s="64" t="s">
        <v>26</v>
      </c>
      <c r="E32" s="65" t="s">
        <v>27</v>
      </c>
      <c r="F32" s="65" t="s">
        <v>28</v>
      </c>
      <c r="G32" s="66" t="s">
        <v>29</v>
      </c>
      <c r="H32" s="22"/>
      <c r="I32" s="22"/>
      <c r="J32" s="63"/>
      <c r="K32" s="64" t="s">
        <v>26</v>
      </c>
      <c r="L32" s="65" t="s">
        <v>27</v>
      </c>
      <c r="M32" s="65" t="s">
        <v>28</v>
      </c>
      <c r="N32" s="66" t="s">
        <v>29</v>
      </c>
      <c r="O32" s="67" t="s">
        <v>30</v>
      </c>
      <c r="P32" s="14"/>
      <c r="Q32" s="14"/>
      <c r="R32" s="14"/>
      <c r="S32" s="14"/>
      <c r="T32" s="14"/>
    </row>
    <row r="33">
      <c r="A33" s="22"/>
      <c r="B33" s="22"/>
      <c r="C33" s="63"/>
      <c r="D33" s="68"/>
      <c r="E33" s="68"/>
      <c r="F33" s="68"/>
      <c r="G33" s="69"/>
      <c r="H33" s="22"/>
      <c r="I33" s="22"/>
      <c r="J33" s="63"/>
      <c r="K33" s="68"/>
      <c r="L33" s="68"/>
      <c r="M33" s="68"/>
      <c r="N33" s="69"/>
      <c r="O33" s="70" t="s">
        <v>31</v>
      </c>
      <c r="P33" s="71"/>
      <c r="Q33" s="71"/>
      <c r="R33" s="71"/>
      <c r="S33" s="71"/>
      <c r="T33" s="71"/>
    </row>
    <row r="34">
      <c r="A34" s="22"/>
      <c r="B34" s="22"/>
      <c r="C34" s="63"/>
      <c r="D34" s="72"/>
      <c r="E34" s="72"/>
      <c r="F34" s="72"/>
      <c r="G34" s="73"/>
      <c r="H34" s="22"/>
      <c r="I34" s="22"/>
      <c r="J34" s="63"/>
      <c r="K34" s="72"/>
      <c r="L34" s="72"/>
      <c r="M34" s="72"/>
      <c r="N34" s="73"/>
      <c r="O34" s="70" t="s">
        <v>32</v>
      </c>
      <c r="P34" s="71"/>
      <c r="Q34" s="71"/>
      <c r="R34" s="71"/>
      <c r="S34" s="71"/>
      <c r="T34" s="71"/>
    </row>
    <row r="35">
      <c r="A35" s="74" t="s">
        <v>33</v>
      </c>
      <c r="B35" s="75"/>
      <c r="C35" s="76">
        <f>(AG-20)+(istext(D35)*20)+(istext(E35)*10)+(istext(F35)*10)+(istext(G35)*10)</f>
        <v>39</v>
      </c>
      <c r="D35" s="77" t="s">
        <v>23</v>
      </c>
      <c r="E35" s="78"/>
      <c r="F35" s="78"/>
      <c r="G35" s="79"/>
      <c r="H35" s="74" t="s">
        <v>34</v>
      </c>
      <c r="I35" s="75"/>
      <c r="J35" s="76">
        <f>(INT-20)+(istext(K35)*20)+(istext(L35)*10)+(istext(M35)*10)+(istext(N35)*10)</f>
        <v>18</v>
      </c>
      <c r="K35" s="78"/>
      <c r="L35" s="78"/>
      <c r="M35" s="78"/>
      <c r="N35" s="79"/>
      <c r="O35" s="70" t="s">
        <v>35</v>
      </c>
      <c r="P35" s="71"/>
      <c r="Q35" s="71"/>
      <c r="R35" s="71"/>
      <c r="S35" s="71"/>
      <c r="T35" s="71"/>
    </row>
    <row r="36">
      <c r="A36" s="74" t="s">
        <v>36</v>
      </c>
      <c r="B36" s="75"/>
      <c r="C36" s="76">
        <f>(ST-20)+(istext(D36)*20)+(istext(E36)*10)+(istext(F36)*10)+(istext(G36)*10)</f>
        <v>78</v>
      </c>
      <c r="D36" s="77" t="s">
        <v>23</v>
      </c>
      <c r="E36" s="77" t="s">
        <v>23</v>
      </c>
      <c r="F36" s="78"/>
      <c r="G36" s="79"/>
      <c r="H36" s="74" t="s">
        <v>37</v>
      </c>
      <c r="I36" s="75"/>
      <c r="J36" s="76">
        <f>(INT-20)+(istext(K36)*20)+(istext(L36)*10)+(istext(M36)*10)+(istext(N36)*10)</f>
        <v>38</v>
      </c>
      <c r="K36" s="77" t="s">
        <v>23</v>
      </c>
      <c r="L36" s="78"/>
      <c r="M36" s="78"/>
      <c r="N36" s="79"/>
      <c r="O36" s="70" t="s">
        <v>38</v>
      </c>
      <c r="P36" s="71"/>
      <c r="Q36" s="71"/>
      <c r="R36" s="71"/>
      <c r="S36" s="71"/>
      <c r="T36" s="71"/>
    </row>
    <row r="37">
      <c r="A37" s="74" t="s">
        <v>39</v>
      </c>
      <c r="B37" s="75"/>
      <c r="C37" s="76">
        <f>(PER-20)+(istext(D37)*20)+(istext(E37)*10)+(istext(F37)*10)+(istext(G37)*10)</f>
        <v>60</v>
      </c>
      <c r="D37" s="80" t="s">
        <v>23</v>
      </c>
      <c r="E37" s="80" t="s">
        <v>23</v>
      </c>
      <c r="F37" s="78"/>
      <c r="G37" s="79"/>
      <c r="H37" s="74" t="s">
        <v>40</v>
      </c>
      <c r="I37" s="75"/>
      <c r="J37" s="76">
        <f>(INT-20)+(istext(K37)*20)+(istext(L37)*10)+(istext(M37)*10)+(istext(N37)*10)</f>
        <v>18</v>
      </c>
      <c r="K37" s="78"/>
      <c r="L37" s="78"/>
      <c r="M37" s="78"/>
      <c r="N37" s="79"/>
      <c r="O37" s="70" t="s">
        <v>41</v>
      </c>
      <c r="P37" s="71"/>
      <c r="Q37" s="71"/>
      <c r="R37" s="71"/>
      <c r="S37" s="71"/>
      <c r="T37" s="71"/>
    </row>
    <row r="38">
      <c r="A38" s="74" t="s">
        <v>42</v>
      </c>
      <c r="B38" s="75"/>
      <c r="C38" s="76">
        <f>(FEL-20)+(istext(D38)*20)+(istext(E38)*10)+(istext(F38)*10)+(istext(G38)*10)</f>
        <v>62</v>
      </c>
      <c r="D38" s="77" t="s">
        <v>23</v>
      </c>
      <c r="E38" s="78"/>
      <c r="F38" s="78"/>
      <c r="G38" s="79"/>
      <c r="H38" s="74" t="s">
        <v>43</v>
      </c>
      <c r="I38" s="75"/>
      <c r="J38" s="76">
        <f>(INT-20)+(istext(K38)*20)+(istext(L38)*10)+(istext(M38)*10)+(istext(N38)*10)</f>
        <v>18</v>
      </c>
      <c r="K38" s="78"/>
      <c r="L38" s="78"/>
      <c r="M38" s="78"/>
      <c r="N38" s="79"/>
      <c r="O38" s="70" t="s">
        <v>44</v>
      </c>
      <c r="P38" s="71"/>
      <c r="Q38" s="71"/>
      <c r="R38" s="71"/>
      <c r="S38" s="71"/>
      <c r="T38" s="71"/>
    </row>
    <row r="39">
      <c r="A39" s="74" t="s">
        <v>45</v>
      </c>
      <c r="B39" s="75"/>
      <c r="C39" s="76">
        <f>(INT-20)+(istext(D39)*20)+(istext(E39)*10)+(istext(F39)*10)+(istext(G39)*10)</f>
        <v>38</v>
      </c>
      <c r="D39" s="80" t="s">
        <v>23</v>
      </c>
      <c r="E39" s="78"/>
      <c r="F39" s="78"/>
      <c r="G39" s="79"/>
      <c r="H39" s="74" t="s">
        <v>46</v>
      </c>
      <c r="I39" s="75"/>
      <c r="J39" s="76">
        <f>(AG-20)+(istext(K39)*20)+(istext(L39)*10)+(istext(M39)*10)+(istext(N39)*10)</f>
        <v>19</v>
      </c>
      <c r="K39" s="78"/>
      <c r="L39" s="78"/>
      <c r="M39" s="78"/>
      <c r="N39" s="79"/>
      <c r="O39" s="70" t="s">
        <v>47</v>
      </c>
      <c r="P39" s="71"/>
      <c r="Q39" s="71"/>
      <c r="R39" s="71"/>
      <c r="S39" s="71"/>
      <c r="T39" s="71"/>
    </row>
    <row r="40">
      <c r="A40" s="74" t="s">
        <v>48</v>
      </c>
      <c r="B40" s="75"/>
      <c r="C40" s="76"/>
      <c r="D40" s="78"/>
      <c r="E40" s="78"/>
      <c r="F40" s="78"/>
      <c r="G40" s="79"/>
      <c r="H40" s="74" t="s">
        <v>49</v>
      </c>
      <c r="I40" s="75"/>
      <c r="J40" s="76">
        <f>(AG-20)+(istext(K40)*20)+(istext(L40)*10)+(istext(M40)*10)+(istext(N40)*10)</f>
        <v>19</v>
      </c>
      <c r="K40" s="78"/>
      <c r="L40" s="78"/>
      <c r="M40" s="78"/>
      <c r="N40" s="79"/>
      <c r="O40" s="81"/>
      <c r="P40" s="71"/>
      <c r="Q40" s="71"/>
      <c r="R40" s="71"/>
      <c r="S40" s="71"/>
      <c r="T40" s="71"/>
    </row>
    <row r="41">
      <c r="A41" s="82" t="s">
        <v>50</v>
      </c>
      <c r="B41" s="15"/>
      <c r="C41" s="76">
        <f>(FEL-20)+(istext(D41)*20)+(istext(E41)*10)+(istext(F41)*10)+(istext(G41)*10)</f>
        <v>82</v>
      </c>
      <c r="D41" s="77" t="s">
        <v>23</v>
      </c>
      <c r="E41" s="77" t="s">
        <v>23</v>
      </c>
      <c r="F41" s="77" t="s">
        <v>23</v>
      </c>
      <c r="G41" s="79"/>
      <c r="H41" s="74" t="s">
        <v>51</v>
      </c>
      <c r="I41" s="75"/>
      <c r="J41" s="76">
        <f>(AG-20)+(istext(K41)*20)+(istext(L41)*10)+(istext(M41)*10)+(istext(N41)*10)</f>
        <v>19</v>
      </c>
      <c r="K41" s="78"/>
      <c r="L41" s="78"/>
      <c r="M41" s="78"/>
      <c r="N41" s="79"/>
      <c r="O41" s="81"/>
      <c r="P41" s="71"/>
      <c r="Q41" s="71"/>
      <c r="R41" s="71"/>
      <c r="S41" s="71"/>
      <c r="T41" s="71"/>
    </row>
    <row r="42">
      <c r="A42" s="83" t="s">
        <v>52</v>
      </c>
      <c r="B42" s="84"/>
      <c r="C42" s="76">
        <f>(PER-20)+(istext(D42)*20)+(istext(E42)*10)+(istext(F42)*10)+(istext(G42)*10)</f>
        <v>50</v>
      </c>
      <c r="D42" s="77" t="s">
        <v>23</v>
      </c>
      <c r="E42" s="78"/>
      <c r="F42" s="78"/>
      <c r="G42" s="79"/>
      <c r="H42" s="74" t="s">
        <v>53</v>
      </c>
      <c r="I42" s="75"/>
      <c r="J42" s="76">
        <f>(WS-20)+(istext(K42)*20)+(istext(L42)*10)+(istext(M42)*10)+(istext(N42)*10)</f>
        <v>66</v>
      </c>
      <c r="K42" s="77" t="s">
        <v>23</v>
      </c>
      <c r="L42" s="77" t="s">
        <v>23</v>
      </c>
      <c r="M42" s="78"/>
      <c r="N42" s="79"/>
      <c r="O42" s="70" t="s">
        <v>54</v>
      </c>
      <c r="P42" s="71"/>
      <c r="Q42" s="71"/>
      <c r="R42" s="71"/>
      <c r="S42" s="71"/>
      <c r="T42" s="71"/>
    </row>
    <row r="43">
      <c r="A43" s="85"/>
      <c r="B43" s="84"/>
      <c r="C43" s="76"/>
      <c r="D43" s="78"/>
      <c r="E43" s="78"/>
      <c r="F43" s="78"/>
      <c r="G43" s="79"/>
      <c r="H43" s="74" t="s">
        <v>55</v>
      </c>
      <c r="I43" s="75"/>
      <c r="J43" s="76">
        <f>(PER-20)+(istext(K43)*20)+(istext(L43)*10)+(istext(M43)*10)+(istext(N43)*10)</f>
        <v>50</v>
      </c>
      <c r="K43" s="80" t="s">
        <v>23</v>
      </c>
      <c r="L43" s="78"/>
      <c r="M43" s="78"/>
      <c r="N43" s="79"/>
      <c r="O43" s="70" t="s">
        <v>56</v>
      </c>
      <c r="P43" s="71"/>
      <c r="Q43" s="71"/>
      <c r="R43" s="71"/>
      <c r="S43" s="71"/>
      <c r="T43" s="71"/>
    </row>
    <row r="44">
      <c r="A44" s="85"/>
      <c r="B44" s="84"/>
      <c r="C44" s="76"/>
      <c r="D44" s="78"/>
      <c r="E44" s="78"/>
      <c r="F44" s="78"/>
      <c r="G44" s="79"/>
      <c r="H44" s="74" t="s">
        <v>57</v>
      </c>
      <c r="I44" s="75"/>
      <c r="J44" s="76">
        <f>(INT-20)+(istext(K44)*20)+(istext(L44)*10)+(istext(M44)*10)+(istext(N44)*10)</f>
        <v>18</v>
      </c>
      <c r="K44" s="78"/>
      <c r="L44" s="78"/>
      <c r="M44" s="78"/>
      <c r="N44" s="79"/>
      <c r="O44" s="70" t="s">
        <v>58</v>
      </c>
      <c r="P44" s="71"/>
      <c r="Q44" s="71"/>
      <c r="R44" s="71"/>
      <c r="S44" s="71"/>
      <c r="T44" s="71"/>
    </row>
    <row r="45">
      <c r="A45" s="85"/>
      <c r="B45" s="84"/>
      <c r="C45" s="76"/>
      <c r="D45" s="78"/>
      <c r="E45" s="78"/>
      <c r="F45" s="78"/>
      <c r="G45" s="79"/>
      <c r="H45" s="82" t="s">
        <v>59</v>
      </c>
      <c r="I45" s="15"/>
      <c r="J45" s="76">
        <f>(INT-20)+(istext(K45)*20)+(istext(L45)*10)+(istext(M45)*10)+(istext(N45)*10)</f>
        <v>38</v>
      </c>
      <c r="K45" s="80" t="s">
        <v>23</v>
      </c>
      <c r="L45" s="78"/>
      <c r="M45" s="78"/>
      <c r="N45" s="79"/>
      <c r="O45" s="70" t="s">
        <v>60</v>
      </c>
      <c r="P45" s="71"/>
      <c r="Q45" s="71"/>
      <c r="R45" s="71"/>
      <c r="S45" s="71"/>
      <c r="T45" s="71"/>
    </row>
    <row r="46">
      <c r="A46" s="86" t="s">
        <v>61</v>
      </c>
      <c r="B46" s="87"/>
      <c r="C46" s="76">
        <f>(FEL-20)+(istext(D46)*20)+(istext(E46)*10)+(istext(F46)*10)+(istext(G46)*10)</f>
        <v>42</v>
      </c>
      <c r="D46" s="78"/>
      <c r="E46" s="78"/>
      <c r="F46" s="78"/>
      <c r="G46" s="79"/>
      <c r="H46" s="85"/>
      <c r="I46" s="84"/>
      <c r="J46" s="76">
        <f>(INT-20)+(istext(K46)*20)+(istext(L46)*10)+(istext(M46)*10)+(istext(N46)*10)</f>
        <v>18</v>
      </c>
      <c r="K46" s="78"/>
      <c r="L46" s="78"/>
      <c r="M46" s="78"/>
      <c r="N46" s="79"/>
      <c r="O46" s="81"/>
      <c r="P46" s="71"/>
      <c r="Q46" s="71"/>
      <c r="R46" s="71"/>
      <c r="S46" s="71"/>
      <c r="T46" s="71"/>
    </row>
    <row r="47">
      <c r="A47" s="74" t="s">
        <v>62</v>
      </c>
      <c r="B47" s="75"/>
      <c r="C47" s="76">
        <f>(AG-20)+(istext(D47)*20)+(istext(E47)*10)+(istext(F47)*10)+(istext(G47)*10)</f>
        <v>49</v>
      </c>
      <c r="D47" s="77" t="s">
        <v>23</v>
      </c>
      <c r="E47" s="77" t="s">
        <v>23</v>
      </c>
      <c r="F47" s="78"/>
      <c r="G47" s="79"/>
      <c r="H47" s="85"/>
      <c r="I47" s="84"/>
      <c r="J47" s="76">
        <f>(INT-20)+(istext(K47)*20)+(istext(L47)*10)+(istext(M47)*10)+(istext(N47)*10)</f>
        <v>18</v>
      </c>
      <c r="K47" s="78"/>
      <c r="L47" s="78"/>
      <c r="M47" s="78"/>
      <c r="N47" s="79"/>
      <c r="O47" s="70" t="s">
        <v>63</v>
      </c>
      <c r="P47" s="71"/>
      <c r="Q47" s="71"/>
      <c r="R47" s="71"/>
      <c r="S47" s="71"/>
      <c r="T47" s="71"/>
    </row>
    <row r="48">
      <c r="A48" s="74" t="s">
        <v>64</v>
      </c>
      <c r="B48" s="75"/>
      <c r="C48" s="76">
        <f>(INT-20)+(istext(D48)*20)+(istext(E48)*10)+(istext(F48)*10)+(istext(G48)*10)</f>
        <v>18</v>
      </c>
      <c r="D48" s="77"/>
      <c r="E48" s="78"/>
      <c r="F48" s="78"/>
      <c r="G48" s="79"/>
      <c r="H48" s="85"/>
      <c r="I48" s="84"/>
      <c r="J48" s="76">
        <f>(INT-20)+(istext(K48)*20)+(istext(L48)*10)+(istext(M48)*10)+(istext(N48)*10)</f>
        <v>18</v>
      </c>
      <c r="K48" s="78"/>
      <c r="L48" s="78"/>
      <c r="M48" s="78"/>
      <c r="N48" s="79"/>
      <c r="O48" s="70" t="s">
        <v>65</v>
      </c>
      <c r="P48" s="71"/>
      <c r="Q48" s="71"/>
      <c r="R48" s="71"/>
      <c r="S48" s="71"/>
      <c r="T48" s="71"/>
    </row>
    <row r="49">
      <c r="A49" s="82" t="s">
        <v>66</v>
      </c>
      <c r="B49" s="15"/>
      <c r="C49" s="76">
        <f>(INT-20)+(istext(D49)*20)+(istext(E49)*10)+(istext(F49)*10)+(istext(G49)*10)</f>
        <v>38</v>
      </c>
      <c r="D49" s="77" t="s">
        <v>23</v>
      </c>
      <c r="E49" s="78"/>
      <c r="F49" s="78"/>
      <c r="G49" s="79"/>
      <c r="H49" s="86" t="s">
        <v>67</v>
      </c>
      <c r="I49" s="87"/>
      <c r="J49" s="76">
        <f>(PER-20)+(istext(K49)*20)+(istext(L49)*10)+(istext(M49)*10)+(istext(N49)*10)</f>
        <v>60</v>
      </c>
      <c r="K49" s="77" t="s">
        <v>23</v>
      </c>
      <c r="L49" s="77" t="s">
        <v>23</v>
      </c>
      <c r="M49" s="78"/>
      <c r="N49" s="79"/>
      <c r="O49" s="70" t="s">
        <v>68</v>
      </c>
      <c r="P49" s="71"/>
      <c r="Q49" s="71"/>
      <c r="R49" s="71"/>
      <c r="S49" s="71"/>
      <c r="T49" s="71"/>
    </row>
    <row r="50">
      <c r="A50" s="83" t="s">
        <v>69</v>
      </c>
      <c r="B50" s="84"/>
      <c r="C50" s="76">
        <f>(INT-20)+(istext(D50)*20)+(istext(E50)*10)+(istext(F50)*10)+(istext(G50)*10)</f>
        <v>38</v>
      </c>
      <c r="D50" s="80" t="s">
        <v>23</v>
      </c>
      <c r="E50" s="78"/>
      <c r="F50" s="78"/>
      <c r="G50" s="79"/>
      <c r="H50" s="74" t="s">
        <v>70</v>
      </c>
      <c r="I50" s="75"/>
      <c r="J50" s="76">
        <f>(INT-20)+(istext(K50)*20)+(istext(L50)*10)+(istext(M50)*10)+(istext(N50)*10)</f>
        <v>48</v>
      </c>
      <c r="K50" s="77" t="s">
        <v>23</v>
      </c>
      <c r="L50" s="80" t="s">
        <v>23</v>
      </c>
      <c r="M50" s="78"/>
      <c r="N50" s="79"/>
      <c r="O50" s="70" t="s">
        <v>71</v>
      </c>
      <c r="P50" s="71"/>
      <c r="Q50" s="71"/>
      <c r="R50" s="71"/>
      <c r="S50" s="71"/>
      <c r="T50" s="71"/>
    </row>
    <row r="51">
      <c r="A51" s="85"/>
      <c r="B51" s="84"/>
      <c r="C51" s="76">
        <f>(INT-20)+(istext(D51)*20)+(istext(E51)*10)+(istext(F51)*10)+(istext(G51)*10)</f>
        <v>18</v>
      </c>
      <c r="D51" s="78"/>
      <c r="E51" s="78"/>
      <c r="F51" s="78"/>
      <c r="G51" s="79"/>
      <c r="H51" s="74" t="s">
        <v>72</v>
      </c>
      <c r="I51" s="75"/>
      <c r="J51" s="76">
        <f>(AG-20)+(istext(K51)*20)+(istext(L51)*10)+(istext(M51)*10)+(istext(N51)*10)</f>
        <v>19</v>
      </c>
      <c r="K51" s="78"/>
      <c r="L51" s="78"/>
      <c r="M51" s="78"/>
      <c r="N51" s="79"/>
      <c r="O51" s="81"/>
      <c r="P51" s="71"/>
      <c r="Q51" s="71"/>
      <c r="R51" s="71"/>
      <c r="S51" s="71"/>
      <c r="T51" s="71"/>
    </row>
    <row r="52">
      <c r="A52" s="85"/>
      <c r="B52" s="84"/>
      <c r="C52" s="76">
        <f>(INT-20)+(istext(D52)*20)+(istext(E52)*10)+(istext(F52)*10)+(istext(G52)*10)</f>
        <v>18</v>
      </c>
      <c r="D52" s="78"/>
      <c r="E52" s="78"/>
      <c r="F52" s="78"/>
      <c r="G52" s="79"/>
      <c r="H52" s="74" t="s">
        <v>73</v>
      </c>
      <c r="I52" s="75"/>
      <c r="J52" s="76">
        <f>(AG-20)+(istext(K52)*20)+(istext(L52)*10)+(istext(M52)*10)+(istext(N52)*10)</f>
        <v>49</v>
      </c>
      <c r="K52" s="77" t="s">
        <v>23</v>
      </c>
      <c r="L52" s="77" t="s">
        <v>23</v>
      </c>
      <c r="M52" s="78"/>
      <c r="N52" s="79"/>
      <c r="O52" s="81"/>
      <c r="P52" s="71"/>
      <c r="Q52" s="71"/>
      <c r="R52" s="71"/>
      <c r="S52" s="71"/>
      <c r="T52" s="71"/>
    </row>
    <row r="53">
      <c r="A53" s="86" t="s">
        <v>74</v>
      </c>
      <c r="B53" s="87"/>
      <c r="C53" s="76">
        <f>(FEL-20)+(istext(D53)*20)+(istext(E53)*10)+(istext(F53)*10)+(istext(G53)*10)</f>
        <v>82</v>
      </c>
      <c r="D53" s="80" t="s">
        <v>23</v>
      </c>
      <c r="E53" s="80" t="s">
        <v>23</v>
      </c>
      <c r="F53" s="80" t="s">
        <v>23</v>
      </c>
      <c r="G53" s="79"/>
      <c r="H53" s="74" t="s">
        <v>75</v>
      </c>
      <c r="I53" s="75"/>
      <c r="J53" s="76">
        <f>(INT-20)+(istext(K53)*20)+(istext(L53)*10)+(istext(M53)*10)+(istext(N53)*10)</f>
        <v>38</v>
      </c>
      <c r="K53" s="77" t="s">
        <v>23</v>
      </c>
      <c r="L53" s="78"/>
      <c r="M53" s="78"/>
      <c r="N53" s="79"/>
      <c r="O53" s="81"/>
      <c r="P53" s="71"/>
      <c r="Q53" s="71"/>
      <c r="R53" s="71"/>
      <c r="S53" s="71"/>
      <c r="T53" s="71"/>
    </row>
    <row r="54">
      <c r="A54" s="74" t="s">
        <v>76</v>
      </c>
      <c r="B54" s="75"/>
      <c r="C54" s="76">
        <f>(WP-20)+(istext(D54)*20)+(istext(E54)*10)+(istext(F54)*10)+(istext(G54)*10)</f>
        <v>46</v>
      </c>
      <c r="D54" s="77" t="s">
        <v>23</v>
      </c>
      <c r="E54" s="77" t="s">
        <v>23</v>
      </c>
      <c r="F54" s="78"/>
      <c r="G54" s="79"/>
      <c r="H54" s="74" t="s">
        <v>77</v>
      </c>
      <c r="I54" s="75"/>
      <c r="J54" s="76">
        <f>(INT-20)+(istext(K54)*20)+(istext(L54)*10)+(istext(M54)*10)+(istext(N54)*10)</f>
        <v>18</v>
      </c>
      <c r="K54" s="78"/>
      <c r="L54" s="78"/>
      <c r="M54" s="78"/>
      <c r="N54" s="79"/>
      <c r="O54" s="81"/>
      <c r="P54" s="71"/>
      <c r="Q54" s="71"/>
      <c r="R54" s="71"/>
      <c r="S54" s="71"/>
      <c r="T54" s="71"/>
    </row>
    <row r="55">
      <c r="A55" s="74" t="s">
        <v>78</v>
      </c>
      <c r="B55" s="75"/>
      <c r="C55" s="76">
        <f>(INT-20)+(istext(D55)*20)+(istext(E55)*10)+(istext(F55)*10)+(istext(G55)*10)</f>
        <v>18</v>
      </c>
      <c r="D55" s="78"/>
      <c r="E55" s="78"/>
      <c r="F55" s="78"/>
      <c r="G55" s="79"/>
      <c r="H55" s="74" t="s">
        <v>79</v>
      </c>
      <c r="I55" s="75"/>
      <c r="J55" s="76">
        <f>(INT-20)+(istext(K55)*20)+(istext(L55)*10)+(istext(M55)*10)+(istext(N55)*10)</f>
        <v>18</v>
      </c>
      <c r="K55" s="78"/>
      <c r="L55" s="78"/>
      <c r="M55" s="78"/>
      <c r="N55" s="79"/>
      <c r="O55" s="81"/>
      <c r="P55" s="71"/>
      <c r="Q55" s="71"/>
      <c r="R55" s="71"/>
      <c r="S55" s="71"/>
      <c r="T55" s="71"/>
    </row>
    <row r="56">
      <c r="A56" s="88"/>
      <c r="B56" s="15"/>
      <c r="C56" s="76">
        <f>(INT-20)+(istext(D56)*20)+(istext(E56)*10)+(istext(F56)*10)+(istext(G56)*10)</f>
        <v>18</v>
      </c>
      <c r="D56" s="78"/>
      <c r="E56" s="78"/>
      <c r="F56" s="78"/>
      <c r="G56" s="79"/>
      <c r="H56" s="88"/>
      <c r="I56" s="15"/>
      <c r="J56" s="76"/>
      <c r="K56" s="78"/>
      <c r="L56" s="78"/>
      <c r="M56" s="78"/>
      <c r="N56" s="79"/>
      <c r="O56" s="81"/>
      <c r="P56" s="71"/>
      <c r="Q56" s="71"/>
      <c r="R56" s="71"/>
      <c r="S56" s="71"/>
      <c r="T56" s="71"/>
    </row>
    <row r="57">
      <c r="A57" s="85"/>
      <c r="B57" s="84"/>
      <c r="C57" s="76">
        <f>(INT-20)+(istext(D57)*20)+(istext(E57)*10)+(istext(F57)*10)+(istext(G57)*10)</f>
        <v>18</v>
      </c>
      <c r="D57" s="78"/>
      <c r="E57" s="78"/>
      <c r="F57" s="78"/>
      <c r="G57" s="79"/>
      <c r="H57" s="85"/>
      <c r="I57" s="84"/>
      <c r="J57" s="76"/>
      <c r="K57" s="78"/>
      <c r="L57" s="78"/>
      <c r="M57" s="78"/>
      <c r="N57" s="79"/>
      <c r="O57" s="81"/>
      <c r="P57" s="71"/>
      <c r="Q57" s="71"/>
      <c r="R57" s="71"/>
      <c r="S57" s="71"/>
      <c r="T57" s="71"/>
    </row>
    <row r="58">
      <c r="A58" s="86" t="s">
        <v>80</v>
      </c>
      <c r="B58" s="87"/>
      <c r="C58" s="76">
        <f>(INT-20)+(istext(D58)*20)+(istext(E58)*10)+(istext(F58)*10)+(istext(G58)*10)</f>
        <v>18</v>
      </c>
      <c r="D58" s="78"/>
      <c r="E58" s="78"/>
      <c r="F58" s="78"/>
      <c r="G58" s="79"/>
      <c r="H58" s="85"/>
      <c r="I58" s="84"/>
      <c r="J58" s="76"/>
      <c r="K58" s="78"/>
      <c r="L58" s="78"/>
      <c r="M58" s="78"/>
      <c r="N58" s="79"/>
      <c r="O58" s="81"/>
      <c r="P58" s="71"/>
      <c r="Q58" s="71"/>
      <c r="R58" s="71"/>
      <c r="S58" s="71"/>
      <c r="T58" s="71"/>
    </row>
    <row r="59">
      <c r="A59" s="1"/>
      <c r="B59" s="1"/>
      <c r="C59" s="1"/>
      <c r="D59" s="89"/>
      <c r="E59" s="89"/>
      <c r="F59" s="89"/>
      <c r="G59" s="89"/>
      <c r="H59" s="18"/>
      <c r="I59" s="18"/>
      <c r="J59" s="1"/>
      <c r="K59" s="89"/>
      <c r="L59" s="89"/>
      <c r="M59" s="89"/>
      <c r="N59" s="89"/>
      <c r="O59" s="17"/>
      <c r="P59" s="17"/>
      <c r="Q59" s="17"/>
      <c r="R59" s="17"/>
      <c r="S59" s="17"/>
      <c r="T59" s="17"/>
    </row>
    <row r="60">
      <c r="A60" s="1"/>
      <c r="B60" s="1"/>
      <c r="C60" s="1"/>
      <c r="D60" s="1"/>
      <c r="E60" s="1"/>
      <c r="F60" s="1"/>
      <c r="G60" s="1"/>
      <c r="H60" s="22"/>
      <c r="I60" s="2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22"/>
      <c r="I61" s="2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90" t="s">
        <v>81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4"/>
      <c r="M62" s="1"/>
      <c r="N62" s="1"/>
      <c r="O62" s="1"/>
      <c r="P62" s="1"/>
      <c r="Q62" s="1"/>
      <c r="R62" s="1"/>
      <c r="S62" s="1"/>
      <c r="T62" s="1"/>
    </row>
    <row r="63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9"/>
      <c r="M63" s="1"/>
      <c r="N63" s="91" t="s">
        <v>82</v>
      </c>
      <c r="O63" s="3"/>
      <c r="P63" s="3"/>
      <c r="Q63" s="3"/>
      <c r="R63" s="3"/>
      <c r="S63" s="4"/>
      <c r="T63" s="1"/>
    </row>
    <row r="64">
      <c r="A64" s="92" t="s">
        <v>83</v>
      </c>
      <c r="B64" s="93" t="s">
        <v>84</v>
      </c>
      <c r="C64" s="14"/>
      <c r="D64" s="14"/>
      <c r="E64" s="14"/>
      <c r="F64" s="14"/>
      <c r="G64" s="14"/>
      <c r="H64" s="14"/>
      <c r="I64" s="14"/>
      <c r="J64" s="14"/>
      <c r="K64" s="14"/>
      <c r="L64" s="94"/>
      <c r="M64" s="95"/>
      <c r="N64" s="7"/>
      <c r="O64" s="8"/>
      <c r="P64" s="8"/>
      <c r="Q64" s="8"/>
      <c r="R64" s="8"/>
      <c r="S64" s="9"/>
      <c r="T64" s="1"/>
    </row>
    <row r="65">
      <c r="A65" s="92" t="s">
        <v>85</v>
      </c>
      <c r="B65" s="96" t="s">
        <v>86</v>
      </c>
      <c r="C65" s="84"/>
      <c r="D65" s="97" t="s">
        <v>87</v>
      </c>
      <c r="E65" s="96" t="s">
        <v>88</v>
      </c>
      <c r="F65" s="84"/>
      <c r="G65" s="97" t="s">
        <v>89</v>
      </c>
      <c r="H65" s="96" t="s">
        <v>90</v>
      </c>
      <c r="I65" s="84"/>
      <c r="J65" s="97" t="s">
        <v>91</v>
      </c>
      <c r="K65" s="96">
        <v>8.0</v>
      </c>
      <c r="L65" s="98"/>
      <c r="M65" s="95"/>
      <c r="N65" s="1"/>
      <c r="O65" s="1"/>
      <c r="P65" s="99"/>
      <c r="Q65" s="99"/>
      <c r="R65" s="1"/>
      <c r="S65" s="1"/>
      <c r="T65" s="1"/>
    </row>
    <row r="66">
      <c r="A66" s="92" t="s">
        <v>92</v>
      </c>
      <c r="B66" s="100">
        <v>40.0</v>
      </c>
      <c r="C66" s="87"/>
      <c r="D66" s="20" t="s">
        <v>93</v>
      </c>
      <c r="E66" s="100" t="s">
        <v>94</v>
      </c>
      <c r="F66" s="87"/>
      <c r="G66" s="20" t="s">
        <v>95</v>
      </c>
      <c r="H66" s="100">
        <v>10.0</v>
      </c>
      <c r="I66" s="87"/>
      <c r="J66" s="20" t="s">
        <v>96</v>
      </c>
      <c r="K66" s="100" t="s">
        <v>97</v>
      </c>
      <c r="L66" s="101"/>
      <c r="M66" s="95"/>
      <c r="N66" s="1"/>
      <c r="O66" s="102"/>
      <c r="P66" s="103" t="s">
        <v>98</v>
      </c>
      <c r="Q66" s="104"/>
      <c r="R66" s="95"/>
      <c r="S66" s="1"/>
      <c r="T66" s="1"/>
    </row>
    <row r="67">
      <c r="A67" s="105" t="s">
        <v>99</v>
      </c>
      <c r="B67" s="12"/>
      <c r="C67" s="13" t="s">
        <v>100</v>
      </c>
      <c r="D67" s="14"/>
      <c r="E67" s="14"/>
      <c r="F67" s="14"/>
      <c r="G67" s="14"/>
      <c r="H67" s="14"/>
      <c r="I67" s="14"/>
      <c r="J67" s="14"/>
      <c r="K67" s="14"/>
      <c r="L67" s="94"/>
      <c r="M67" s="95"/>
      <c r="N67" s="1"/>
      <c r="O67" s="102"/>
      <c r="P67" s="106" t="s">
        <v>101</v>
      </c>
      <c r="Q67" s="107"/>
      <c r="R67" s="95"/>
      <c r="S67" s="1"/>
      <c r="T67" s="1"/>
    </row>
    <row r="68">
      <c r="A68" s="108" t="s">
        <v>102</v>
      </c>
      <c r="B68" s="26"/>
      <c r="C68" s="109" t="s">
        <v>103</v>
      </c>
      <c r="D68" s="28"/>
      <c r="E68" s="28"/>
      <c r="F68" s="28"/>
      <c r="G68" s="28"/>
      <c r="H68" s="28"/>
      <c r="I68" s="28"/>
      <c r="J68" s="28"/>
      <c r="K68" s="28"/>
      <c r="L68" s="110"/>
      <c r="M68" s="95"/>
      <c r="N68" s="99"/>
      <c r="O68" s="111"/>
      <c r="P68" s="112" t="s">
        <v>89</v>
      </c>
      <c r="Q68" s="107"/>
      <c r="R68" s="113"/>
      <c r="S68" s="99"/>
      <c r="T68" s="1"/>
    </row>
    <row r="69">
      <c r="A69" s="114"/>
      <c r="B69" s="34"/>
      <c r="C69" s="35"/>
      <c r="D69" s="36"/>
      <c r="E69" s="36"/>
      <c r="F69" s="36"/>
      <c r="G69" s="36"/>
      <c r="H69" s="36"/>
      <c r="I69" s="36"/>
      <c r="J69" s="36"/>
      <c r="K69" s="36"/>
      <c r="L69" s="115"/>
      <c r="M69" s="116"/>
      <c r="N69" s="103" t="s">
        <v>104</v>
      </c>
      <c r="O69" s="104"/>
      <c r="P69" s="117" t="s">
        <v>105</v>
      </c>
      <c r="Q69" s="118"/>
      <c r="R69" s="103" t="s">
        <v>106</v>
      </c>
      <c r="S69" s="104"/>
      <c r="T69" s="95"/>
    </row>
    <row r="70">
      <c r="A70" s="1"/>
      <c r="B70" s="1"/>
      <c r="C70" s="17"/>
      <c r="D70" s="17"/>
      <c r="E70" s="17"/>
      <c r="F70" s="17"/>
      <c r="G70" s="17"/>
      <c r="H70" s="18"/>
      <c r="I70" s="18"/>
      <c r="J70" s="17"/>
      <c r="K70" s="17"/>
      <c r="L70" s="17"/>
      <c r="M70" s="102"/>
      <c r="N70" s="106" t="s">
        <v>107</v>
      </c>
      <c r="O70" s="107"/>
      <c r="P70" s="114"/>
      <c r="Q70" s="119"/>
      <c r="R70" s="106" t="s">
        <v>108</v>
      </c>
      <c r="S70" s="107"/>
      <c r="T70" s="95"/>
    </row>
    <row r="71">
      <c r="A71" s="90" t="s">
        <v>81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4"/>
      <c r="M71" s="102"/>
      <c r="N71" s="112" t="s">
        <v>89</v>
      </c>
      <c r="O71" s="107"/>
      <c r="P71" s="120" t="s">
        <v>109</v>
      </c>
      <c r="Q71" s="121">
        <v>5.0</v>
      </c>
      <c r="R71" s="112" t="s">
        <v>89</v>
      </c>
      <c r="S71" s="107"/>
      <c r="T71" s="95"/>
    </row>
    <row r="72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102"/>
      <c r="N72" s="117" t="s">
        <v>105</v>
      </c>
      <c r="O72" s="118"/>
      <c r="P72" s="122"/>
      <c r="Q72" s="123"/>
      <c r="R72" s="117" t="s">
        <v>105</v>
      </c>
      <c r="S72" s="118"/>
      <c r="T72" s="95"/>
    </row>
    <row r="73">
      <c r="A73" s="92" t="s">
        <v>83</v>
      </c>
      <c r="B73" s="93" t="s">
        <v>110</v>
      </c>
      <c r="C73" s="14"/>
      <c r="D73" s="14"/>
      <c r="E73" s="14"/>
      <c r="F73" s="14"/>
      <c r="G73" s="14"/>
      <c r="H73" s="14"/>
      <c r="I73" s="14"/>
      <c r="J73" s="14"/>
      <c r="K73" s="14"/>
      <c r="L73" s="94"/>
      <c r="M73" s="116"/>
      <c r="N73" s="114"/>
      <c r="O73" s="119"/>
      <c r="P73" s="113"/>
      <c r="Q73" s="111"/>
      <c r="R73" s="114"/>
      <c r="S73" s="119"/>
      <c r="T73" s="95"/>
    </row>
    <row r="74">
      <c r="A74" s="92" t="s">
        <v>85</v>
      </c>
      <c r="B74" s="96" t="s">
        <v>111</v>
      </c>
      <c r="C74" s="84"/>
      <c r="D74" s="97" t="s">
        <v>87</v>
      </c>
      <c r="E74" s="96" t="s">
        <v>112</v>
      </c>
      <c r="F74" s="84"/>
      <c r="G74" s="97" t="s">
        <v>89</v>
      </c>
      <c r="H74" s="96" t="s">
        <v>113</v>
      </c>
      <c r="I74" s="84"/>
      <c r="J74" s="97" t="s">
        <v>91</v>
      </c>
      <c r="K74" s="96">
        <v>5.0</v>
      </c>
      <c r="L74" s="98"/>
      <c r="M74" s="116"/>
      <c r="N74" s="120" t="s">
        <v>109</v>
      </c>
      <c r="O74" s="121">
        <v>6.0</v>
      </c>
      <c r="P74" s="103" t="s">
        <v>114</v>
      </c>
      <c r="Q74" s="104"/>
      <c r="R74" s="120" t="s">
        <v>109</v>
      </c>
      <c r="S74" s="121">
        <v>6.0</v>
      </c>
      <c r="T74" s="95"/>
    </row>
    <row r="75">
      <c r="A75" s="92" t="s">
        <v>92</v>
      </c>
      <c r="B75" s="124"/>
      <c r="C75" s="87"/>
      <c r="D75" s="20" t="s">
        <v>93</v>
      </c>
      <c r="E75" s="124"/>
      <c r="F75" s="87"/>
      <c r="G75" s="20" t="s">
        <v>95</v>
      </c>
      <c r="H75" s="124"/>
      <c r="I75" s="87"/>
      <c r="J75" s="20" t="s">
        <v>96</v>
      </c>
      <c r="K75" s="124"/>
      <c r="L75" s="101"/>
      <c r="M75" s="95"/>
      <c r="N75" s="60"/>
      <c r="O75" s="123"/>
      <c r="P75" s="106" t="s">
        <v>115</v>
      </c>
      <c r="Q75" s="107"/>
      <c r="R75" s="122"/>
      <c r="S75" s="60"/>
      <c r="T75" s="1"/>
    </row>
    <row r="76">
      <c r="A76" s="105" t="s">
        <v>99</v>
      </c>
      <c r="B76" s="12"/>
      <c r="C76" s="13" t="s">
        <v>116</v>
      </c>
      <c r="D76" s="14"/>
      <c r="E76" s="14"/>
      <c r="F76" s="14"/>
      <c r="G76" s="14"/>
      <c r="H76" s="14"/>
      <c r="I76" s="14"/>
      <c r="J76" s="14"/>
      <c r="K76" s="14"/>
      <c r="L76" s="94"/>
      <c r="M76" s="95"/>
      <c r="N76" s="1"/>
      <c r="O76" s="102"/>
      <c r="P76" s="112" t="s">
        <v>89</v>
      </c>
      <c r="Q76" s="107"/>
      <c r="R76" s="95"/>
      <c r="S76" s="1"/>
      <c r="T76" s="1"/>
    </row>
    <row r="77">
      <c r="A77" s="108" t="s">
        <v>102</v>
      </c>
      <c r="B77" s="26"/>
      <c r="C77" s="27"/>
      <c r="D77" s="28"/>
      <c r="E77" s="28"/>
      <c r="F77" s="28"/>
      <c r="G77" s="28"/>
      <c r="H77" s="28"/>
      <c r="I77" s="28"/>
      <c r="J77" s="28"/>
      <c r="K77" s="28"/>
      <c r="L77" s="110"/>
      <c r="M77" s="95"/>
      <c r="N77" s="99"/>
      <c r="O77" s="111"/>
      <c r="P77" s="117" t="s">
        <v>105</v>
      </c>
      <c r="Q77" s="118"/>
      <c r="R77" s="113"/>
      <c r="S77" s="99"/>
      <c r="T77" s="1"/>
    </row>
    <row r="78">
      <c r="A78" s="114"/>
      <c r="B78" s="34"/>
      <c r="C78" s="35"/>
      <c r="D78" s="36"/>
      <c r="E78" s="36"/>
      <c r="F78" s="36"/>
      <c r="G78" s="36"/>
      <c r="H78" s="36"/>
      <c r="I78" s="36"/>
      <c r="J78" s="36"/>
      <c r="K78" s="36"/>
      <c r="L78" s="115"/>
      <c r="M78" s="116"/>
      <c r="N78" s="103" t="s">
        <v>117</v>
      </c>
      <c r="O78" s="104"/>
      <c r="P78" s="114"/>
      <c r="Q78" s="119"/>
      <c r="R78" s="103" t="s">
        <v>118</v>
      </c>
      <c r="S78" s="104"/>
      <c r="T78" s="95"/>
    </row>
    <row r="79">
      <c r="A79" s="1"/>
      <c r="B79" s="1"/>
      <c r="C79" s="17"/>
      <c r="D79" s="17"/>
      <c r="E79" s="17"/>
      <c r="F79" s="17"/>
      <c r="G79" s="17"/>
      <c r="H79" s="18"/>
      <c r="I79" s="18"/>
      <c r="J79" s="17"/>
      <c r="K79" s="17"/>
      <c r="L79" s="17"/>
      <c r="M79" s="102"/>
      <c r="N79" s="106" t="s">
        <v>119</v>
      </c>
      <c r="O79" s="107"/>
      <c r="P79" s="120" t="s">
        <v>109</v>
      </c>
      <c r="Q79" s="121">
        <v>7.0</v>
      </c>
      <c r="R79" s="106" t="s">
        <v>120</v>
      </c>
      <c r="S79" s="107"/>
      <c r="T79" s="95"/>
    </row>
    <row r="80">
      <c r="A80" s="90" t="s">
        <v>81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4"/>
      <c r="M80" s="102"/>
      <c r="N80" s="112" t="s">
        <v>89</v>
      </c>
      <c r="O80" s="107"/>
      <c r="P80" s="122"/>
      <c r="Q80" s="123"/>
      <c r="R80" s="112" t="s">
        <v>89</v>
      </c>
      <c r="S80" s="107"/>
      <c r="T80" s="95"/>
    </row>
    <row r="81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9"/>
      <c r="M81" s="102"/>
      <c r="N81" s="117" t="s">
        <v>105</v>
      </c>
      <c r="O81" s="118"/>
      <c r="P81" s="95"/>
      <c r="Q81" s="102"/>
      <c r="R81" s="117" t="s">
        <v>105</v>
      </c>
      <c r="S81" s="118"/>
      <c r="T81" s="95"/>
    </row>
    <row r="82">
      <c r="A82" s="92" t="s">
        <v>83</v>
      </c>
      <c r="B82" s="125"/>
      <c r="C82" s="14"/>
      <c r="D82" s="14"/>
      <c r="E82" s="14"/>
      <c r="F82" s="14"/>
      <c r="G82" s="14"/>
      <c r="H82" s="14"/>
      <c r="I82" s="14"/>
      <c r="J82" s="14"/>
      <c r="K82" s="14"/>
      <c r="L82" s="94"/>
      <c r="M82" s="116"/>
      <c r="N82" s="114"/>
      <c r="O82" s="119"/>
      <c r="P82" s="95"/>
      <c r="Q82" s="102"/>
      <c r="R82" s="114"/>
      <c r="S82" s="119"/>
      <c r="T82" s="95"/>
    </row>
    <row r="83">
      <c r="A83" s="92" t="s">
        <v>85</v>
      </c>
      <c r="B83" s="126"/>
      <c r="C83" s="84"/>
      <c r="D83" s="97" t="s">
        <v>87</v>
      </c>
      <c r="E83" s="126"/>
      <c r="F83" s="84"/>
      <c r="G83" s="97" t="s">
        <v>89</v>
      </c>
      <c r="H83" s="126"/>
      <c r="I83" s="84"/>
      <c r="J83" s="97" t="s">
        <v>91</v>
      </c>
      <c r="K83" s="126"/>
      <c r="L83" s="98"/>
      <c r="M83" s="116"/>
      <c r="N83" s="120" t="s">
        <v>109</v>
      </c>
      <c r="O83" s="121">
        <v>6.0</v>
      </c>
      <c r="P83" s="95"/>
      <c r="Q83" s="102"/>
      <c r="R83" s="120" t="s">
        <v>109</v>
      </c>
      <c r="S83" s="121">
        <v>6.0</v>
      </c>
      <c r="T83" s="95"/>
    </row>
    <row r="84">
      <c r="A84" s="92" t="s">
        <v>92</v>
      </c>
      <c r="B84" s="124"/>
      <c r="C84" s="87"/>
      <c r="D84" s="20" t="s">
        <v>93</v>
      </c>
      <c r="E84" s="124"/>
      <c r="F84" s="87"/>
      <c r="G84" s="20" t="s">
        <v>95</v>
      </c>
      <c r="H84" s="124"/>
      <c r="I84" s="87"/>
      <c r="J84" s="20" t="s">
        <v>96</v>
      </c>
      <c r="K84" s="124"/>
      <c r="L84" s="101"/>
      <c r="M84" s="95"/>
      <c r="N84" s="60"/>
      <c r="O84" s="60"/>
      <c r="P84" s="23"/>
      <c r="Q84" s="23"/>
      <c r="R84" s="127"/>
      <c r="S84" s="127"/>
      <c r="T84" s="1"/>
    </row>
    <row r="85">
      <c r="A85" s="105" t="s">
        <v>99</v>
      </c>
      <c r="B85" s="12"/>
      <c r="C85" s="16"/>
      <c r="D85" s="14"/>
      <c r="E85" s="14"/>
      <c r="F85" s="14"/>
      <c r="G85" s="14"/>
      <c r="H85" s="14"/>
      <c r="I85" s="14"/>
      <c r="J85" s="14"/>
      <c r="K85" s="14"/>
      <c r="L85" s="94"/>
      <c r="M85" s="95"/>
      <c r="N85" s="128" t="s">
        <v>121</v>
      </c>
      <c r="O85" s="26"/>
      <c r="P85" s="129"/>
      <c r="Q85" s="28"/>
      <c r="R85" s="28"/>
      <c r="S85" s="29"/>
      <c r="T85" s="130"/>
    </row>
    <row r="86">
      <c r="A86" s="108" t="s">
        <v>102</v>
      </c>
      <c r="B86" s="26"/>
      <c r="C86" s="27"/>
      <c r="D86" s="28"/>
      <c r="E86" s="28"/>
      <c r="F86" s="28"/>
      <c r="G86" s="28"/>
      <c r="H86" s="28"/>
      <c r="I86" s="28"/>
      <c r="J86" s="28"/>
      <c r="K86" s="28"/>
      <c r="L86" s="110"/>
      <c r="M86" s="95"/>
      <c r="N86" s="5"/>
      <c r="O86" s="32"/>
      <c r="P86" s="33"/>
      <c r="S86" s="32"/>
      <c r="T86" s="130"/>
    </row>
    <row r="87">
      <c r="A87" s="114"/>
      <c r="B87" s="34"/>
      <c r="C87" s="35"/>
      <c r="D87" s="36"/>
      <c r="E87" s="36"/>
      <c r="F87" s="36"/>
      <c r="G87" s="36"/>
      <c r="H87" s="36"/>
      <c r="I87" s="36"/>
      <c r="J87" s="36"/>
      <c r="K87" s="36"/>
      <c r="L87" s="115"/>
      <c r="M87" s="95"/>
      <c r="N87" s="7"/>
      <c r="O87" s="34"/>
      <c r="P87" s="35"/>
      <c r="Q87" s="36"/>
      <c r="R87" s="36"/>
      <c r="S87" s="37"/>
      <c r="T87" s="130"/>
    </row>
    <row r="88">
      <c r="A88" s="1"/>
      <c r="B88" s="1"/>
      <c r="C88" s="17"/>
      <c r="D88" s="17"/>
      <c r="E88" s="17"/>
      <c r="F88" s="17"/>
      <c r="G88" s="17"/>
      <c r="H88" s="18"/>
      <c r="I88" s="18"/>
      <c r="J88" s="17"/>
      <c r="K88" s="17"/>
      <c r="L88" s="17"/>
      <c r="M88" s="1"/>
      <c r="N88" s="128" t="s">
        <v>122</v>
      </c>
      <c r="O88" s="26"/>
      <c r="P88" s="129"/>
      <c r="Q88" s="28"/>
      <c r="R88" s="28"/>
      <c r="S88" s="29"/>
      <c r="T88" s="131"/>
    </row>
    <row r="89">
      <c r="A89" s="90" t="s">
        <v>81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4"/>
      <c r="M89" s="1"/>
      <c r="N89" s="5"/>
      <c r="O89" s="32"/>
      <c r="P89" s="33"/>
      <c r="S89" s="32"/>
      <c r="T89" s="131"/>
    </row>
    <row r="90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9"/>
      <c r="M90" s="1"/>
      <c r="N90" s="7"/>
      <c r="O90" s="34"/>
      <c r="P90" s="35"/>
      <c r="Q90" s="36"/>
      <c r="R90" s="36"/>
      <c r="S90" s="37"/>
      <c r="T90" s="131"/>
    </row>
    <row r="91">
      <c r="A91" s="92" t="s">
        <v>83</v>
      </c>
      <c r="B91" s="125"/>
      <c r="C91" s="14"/>
      <c r="D91" s="14"/>
      <c r="E91" s="14"/>
      <c r="F91" s="14"/>
      <c r="G91" s="14"/>
      <c r="H91" s="14"/>
      <c r="I91" s="14"/>
      <c r="J91" s="14"/>
      <c r="K91" s="14"/>
      <c r="L91" s="94"/>
      <c r="M91" s="95"/>
      <c r="N91" s="1"/>
      <c r="O91" s="1"/>
      <c r="P91" s="17"/>
      <c r="Q91" s="17"/>
      <c r="R91" s="17"/>
      <c r="S91" s="17"/>
      <c r="T91" s="1"/>
    </row>
    <row r="92">
      <c r="A92" s="92" t="s">
        <v>85</v>
      </c>
      <c r="B92" s="126"/>
      <c r="C92" s="84"/>
      <c r="D92" s="97" t="s">
        <v>87</v>
      </c>
      <c r="E92" s="126"/>
      <c r="F92" s="84"/>
      <c r="G92" s="97" t="s">
        <v>89</v>
      </c>
      <c r="H92" s="126"/>
      <c r="I92" s="84"/>
      <c r="J92" s="97" t="s">
        <v>91</v>
      </c>
      <c r="K92" s="126"/>
      <c r="L92" s="98"/>
      <c r="M92" s="95"/>
      <c r="N92" s="91" t="s">
        <v>123</v>
      </c>
      <c r="O92" s="3"/>
      <c r="P92" s="3"/>
      <c r="Q92" s="3"/>
      <c r="R92" s="3"/>
      <c r="S92" s="4"/>
      <c r="T92" s="1"/>
    </row>
    <row r="93">
      <c r="A93" s="92" t="s">
        <v>92</v>
      </c>
      <c r="B93" s="124"/>
      <c r="C93" s="87"/>
      <c r="D93" s="20" t="s">
        <v>93</v>
      </c>
      <c r="E93" s="124"/>
      <c r="F93" s="87"/>
      <c r="G93" s="20" t="s">
        <v>95</v>
      </c>
      <c r="H93" s="124"/>
      <c r="I93" s="87"/>
      <c r="J93" s="20" t="s">
        <v>96</v>
      </c>
      <c r="K93" s="124"/>
      <c r="L93" s="101"/>
      <c r="M93" s="95"/>
      <c r="N93" s="7"/>
      <c r="O93" s="8"/>
      <c r="P93" s="8"/>
      <c r="Q93" s="8"/>
      <c r="R93" s="8"/>
      <c r="S93" s="9"/>
      <c r="T93" s="1"/>
    </row>
    <row r="94">
      <c r="A94" s="105" t="s">
        <v>99</v>
      </c>
      <c r="B94" s="12"/>
      <c r="C94" s="16"/>
      <c r="D94" s="14"/>
      <c r="E94" s="14"/>
      <c r="F94" s="14"/>
      <c r="G94" s="14"/>
      <c r="H94" s="14"/>
      <c r="I94" s="14"/>
      <c r="J94" s="14"/>
      <c r="K94" s="14"/>
      <c r="L94" s="94"/>
      <c r="M94" s="95"/>
      <c r="N94" s="132"/>
      <c r="O94" s="133"/>
      <c r="P94" s="134"/>
      <c r="Q94" s="135"/>
      <c r="R94" s="133"/>
      <c r="S94" s="136"/>
      <c r="T94" s="1"/>
    </row>
    <row r="95">
      <c r="A95" s="108" t="s">
        <v>102</v>
      </c>
      <c r="B95" s="26"/>
      <c r="C95" s="27"/>
      <c r="D95" s="28"/>
      <c r="E95" s="28"/>
      <c r="F95" s="28"/>
      <c r="G95" s="28"/>
      <c r="H95" s="28"/>
      <c r="I95" s="28"/>
      <c r="J95" s="28"/>
      <c r="K95" s="28"/>
      <c r="L95" s="110"/>
      <c r="M95" s="95"/>
      <c r="N95" s="137"/>
      <c r="O95" s="138"/>
      <c r="P95" s="139"/>
      <c r="Q95" s="140"/>
      <c r="R95" s="138"/>
      <c r="S95" s="141"/>
      <c r="T95" s="1"/>
    </row>
    <row r="96">
      <c r="A96" s="114"/>
      <c r="B96" s="34"/>
      <c r="C96" s="35"/>
      <c r="D96" s="36"/>
      <c r="E96" s="36"/>
      <c r="F96" s="36"/>
      <c r="G96" s="36"/>
      <c r="H96" s="36"/>
      <c r="I96" s="36"/>
      <c r="J96" s="36"/>
      <c r="K96" s="36"/>
      <c r="L96" s="115"/>
      <c r="M96" s="95"/>
      <c r="N96" s="137"/>
      <c r="O96" s="138"/>
      <c r="P96" s="139"/>
      <c r="Q96" s="140"/>
      <c r="R96" s="138"/>
      <c r="S96" s="141"/>
      <c r="T96" s="1"/>
    </row>
    <row r="97">
      <c r="A97" s="1"/>
      <c r="B97" s="1"/>
      <c r="C97" s="17"/>
      <c r="D97" s="17"/>
      <c r="E97" s="17"/>
      <c r="F97" s="17"/>
      <c r="G97" s="17"/>
      <c r="H97" s="18"/>
      <c r="I97" s="18"/>
      <c r="J97" s="17"/>
      <c r="K97" s="17"/>
      <c r="L97" s="17"/>
      <c r="M97" s="1"/>
      <c r="N97" s="137"/>
      <c r="O97" s="138"/>
      <c r="P97" s="139"/>
      <c r="Q97" s="140"/>
      <c r="R97" s="138"/>
      <c r="S97" s="141"/>
      <c r="T97" s="1"/>
    </row>
    <row r="98">
      <c r="A98" s="90" t="s">
        <v>81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4"/>
      <c r="M98" s="1"/>
      <c r="N98" s="137"/>
      <c r="O98" s="138"/>
      <c r="P98" s="139"/>
      <c r="Q98" s="140"/>
      <c r="R98" s="138"/>
      <c r="S98" s="141"/>
      <c r="T98" s="1"/>
    </row>
    <row r="99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9"/>
      <c r="M99" s="1"/>
      <c r="N99" s="137"/>
      <c r="O99" s="138"/>
      <c r="P99" s="139"/>
      <c r="Q99" s="140"/>
      <c r="R99" s="138"/>
      <c r="S99" s="141"/>
      <c r="T99" s="1"/>
    </row>
    <row r="100">
      <c r="A100" s="92" t="s">
        <v>83</v>
      </c>
      <c r="B100" s="125"/>
      <c r="C100" s="14"/>
      <c r="D100" s="14"/>
      <c r="E100" s="14"/>
      <c r="F100" s="14"/>
      <c r="G100" s="14"/>
      <c r="H100" s="14"/>
      <c r="I100" s="14"/>
      <c r="J100" s="14"/>
      <c r="K100" s="14"/>
      <c r="L100" s="94"/>
      <c r="M100" s="95"/>
      <c r="N100" s="137"/>
      <c r="O100" s="138"/>
      <c r="P100" s="139"/>
      <c r="Q100" s="140"/>
      <c r="R100" s="138"/>
      <c r="S100" s="141"/>
      <c r="T100" s="1"/>
    </row>
    <row r="101">
      <c r="A101" s="92" t="s">
        <v>85</v>
      </c>
      <c r="B101" s="126"/>
      <c r="C101" s="84"/>
      <c r="D101" s="97" t="s">
        <v>87</v>
      </c>
      <c r="E101" s="126"/>
      <c r="F101" s="84"/>
      <c r="G101" s="97" t="s">
        <v>89</v>
      </c>
      <c r="H101" s="126"/>
      <c r="I101" s="84"/>
      <c r="J101" s="97" t="s">
        <v>91</v>
      </c>
      <c r="K101" s="126"/>
      <c r="L101" s="98"/>
      <c r="M101" s="95"/>
      <c r="N101" s="137"/>
      <c r="O101" s="138"/>
      <c r="P101" s="139"/>
      <c r="Q101" s="140"/>
      <c r="R101" s="138"/>
      <c r="S101" s="141"/>
      <c r="T101" s="1"/>
    </row>
    <row r="102">
      <c r="A102" s="92" t="s">
        <v>92</v>
      </c>
      <c r="B102" s="124"/>
      <c r="C102" s="87"/>
      <c r="D102" s="20" t="s">
        <v>93</v>
      </c>
      <c r="E102" s="124"/>
      <c r="F102" s="87"/>
      <c r="G102" s="20" t="s">
        <v>95</v>
      </c>
      <c r="H102" s="124"/>
      <c r="I102" s="87"/>
      <c r="J102" s="20" t="s">
        <v>96</v>
      </c>
      <c r="K102" s="124"/>
      <c r="L102" s="101"/>
      <c r="M102" s="95"/>
      <c r="N102" s="137"/>
      <c r="O102" s="138"/>
      <c r="P102" s="139"/>
      <c r="Q102" s="140"/>
      <c r="R102" s="138"/>
      <c r="S102" s="141"/>
      <c r="T102" s="1"/>
    </row>
    <row r="103">
      <c r="A103" s="105" t="s">
        <v>99</v>
      </c>
      <c r="B103" s="12"/>
      <c r="C103" s="16"/>
      <c r="D103" s="14"/>
      <c r="E103" s="14"/>
      <c r="F103" s="14"/>
      <c r="G103" s="14"/>
      <c r="H103" s="14"/>
      <c r="I103" s="14"/>
      <c r="J103" s="14"/>
      <c r="K103" s="14"/>
      <c r="L103" s="94"/>
      <c r="M103" s="95"/>
      <c r="N103" s="137"/>
      <c r="O103" s="138"/>
      <c r="P103" s="139"/>
      <c r="Q103" s="140"/>
      <c r="R103" s="138"/>
      <c r="S103" s="141"/>
      <c r="T103" s="1"/>
    </row>
    <row r="104">
      <c r="A104" s="108" t="s">
        <v>102</v>
      </c>
      <c r="B104" s="26"/>
      <c r="C104" s="27"/>
      <c r="D104" s="28"/>
      <c r="E104" s="28"/>
      <c r="F104" s="28"/>
      <c r="G104" s="28"/>
      <c r="H104" s="28"/>
      <c r="I104" s="28"/>
      <c r="J104" s="28"/>
      <c r="K104" s="28"/>
      <c r="L104" s="110"/>
      <c r="M104" s="95"/>
      <c r="N104" s="137"/>
      <c r="O104" s="138"/>
      <c r="P104" s="139"/>
      <c r="Q104" s="140"/>
      <c r="R104" s="138"/>
      <c r="S104" s="141"/>
      <c r="T104" s="1"/>
    </row>
    <row r="105">
      <c r="A105" s="114"/>
      <c r="B105" s="34"/>
      <c r="C105" s="35"/>
      <c r="D105" s="36"/>
      <c r="E105" s="36"/>
      <c r="F105" s="36"/>
      <c r="G105" s="36"/>
      <c r="H105" s="36"/>
      <c r="I105" s="36"/>
      <c r="J105" s="36"/>
      <c r="K105" s="36"/>
      <c r="L105" s="115"/>
      <c r="M105" s="95"/>
      <c r="N105" s="137"/>
      <c r="O105" s="138"/>
      <c r="P105" s="139"/>
      <c r="Q105" s="140"/>
      <c r="R105" s="138"/>
      <c r="S105" s="141"/>
      <c r="T105" s="1"/>
    </row>
    <row r="106">
      <c r="A106" s="75"/>
      <c r="B106" s="1"/>
      <c r="C106" s="17"/>
      <c r="D106" s="17"/>
      <c r="E106" s="17"/>
      <c r="F106" s="17"/>
      <c r="G106" s="17"/>
      <c r="H106" s="18"/>
      <c r="I106" s="18"/>
      <c r="J106" s="17"/>
      <c r="K106" s="17"/>
      <c r="L106" s="17"/>
      <c r="M106" s="1"/>
      <c r="N106" s="142"/>
      <c r="O106" s="142"/>
      <c r="P106" s="142"/>
      <c r="Q106" s="142"/>
      <c r="R106" s="142"/>
      <c r="S106" s="142"/>
      <c r="T106" s="1"/>
    </row>
    <row r="107">
      <c r="A107" s="1"/>
      <c r="B107" s="1"/>
      <c r="C107" s="1"/>
      <c r="D107" s="1"/>
      <c r="E107" s="1"/>
      <c r="F107" s="1"/>
      <c r="G107" s="1"/>
      <c r="H107" s="22"/>
      <c r="I107" s="2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90" t="s">
        <v>124</v>
      </c>
      <c r="C108" s="4"/>
      <c r="D108" s="10" t="s">
        <v>125</v>
      </c>
      <c r="E108" s="75"/>
      <c r="F108" s="143">
        <f>AGB</f>
        <v>3</v>
      </c>
      <c r="G108" s="1"/>
      <c r="H108" s="144" t="s">
        <v>126</v>
      </c>
      <c r="I108" s="143">
        <f>F108+F109</f>
        <v>3</v>
      </c>
      <c r="J108" s="144" t="s">
        <v>127</v>
      </c>
      <c r="K108" s="143">
        <f>I108*3</f>
        <v>9</v>
      </c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7"/>
      <c r="C109" s="9"/>
      <c r="D109" s="10" t="s">
        <v>128</v>
      </c>
      <c r="E109" s="12"/>
      <c r="F109" s="145"/>
      <c r="G109" s="1"/>
      <c r="H109" s="144" t="s">
        <v>129</v>
      </c>
      <c r="I109" s="143">
        <f>I108*2</f>
        <v>6</v>
      </c>
      <c r="J109" s="144" t="s">
        <v>130</v>
      </c>
      <c r="K109" s="143">
        <f>K108*2</f>
        <v>18</v>
      </c>
      <c r="L109" s="1"/>
      <c r="M109" s="1"/>
      <c r="N109" s="90" t="s">
        <v>131</v>
      </c>
      <c r="O109" s="4"/>
      <c r="P109" s="10" t="s">
        <v>132</v>
      </c>
      <c r="Q109" s="12"/>
      <c r="R109" s="13">
        <v>17.0</v>
      </c>
      <c r="S109" s="15"/>
      <c r="T109" s="1"/>
    </row>
    <row r="110">
      <c r="A110" s="146"/>
      <c r="B110" s="146"/>
      <c r="C110" s="146"/>
      <c r="D110" s="146"/>
      <c r="E110" s="146"/>
      <c r="F110" s="147"/>
      <c r="G110" s="146"/>
      <c r="H110" s="148"/>
      <c r="I110" s="148"/>
      <c r="J110" s="146"/>
      <c r="K110" s="146"/>
      <c r="L110" s="146"/>
      <c r="M110" s="1"/>
      <c r="N110" s="5"/>
      <c r="O110" s="6"/>
      <c r="P110" s="10" t="s">
        <v>133</v>
      </c>
      <c r="Q110" s="12"/>
      <c r="R110" s="149"/>
      <c r="S110" s="84"/>
      <c r="T110" s="1"/>
    </row>
    <row r="111">
      <c r="A111" s="150"/>
      <c r="B111" s="150"/>
      <c r="C111" s="150"/>
      <c r="D111" s="150"/>
      <c r="E111" s="150"/>
      <c r="F111" s="150"/>
      <c r="G111" s="150"/>
      <c r="H111" s="151"/>
      <c r="I111" s="151"/>
      <c r="J111" s="150"/>
      <c r="K111" s="150"/>
      <c r="L111" s="150"/>
      <c r="M111" s="152"/>
      <c r="N111" s="7"/>
      <c r="O111" s="9"/>
      <c r="P111" s="10" t="s">
        <v>134</v>
      </c>
      <c r="Q111" s="12"/>
      <c r="R111" s="149"/>
      <c r="S111" s="84"/>
      <c r="T111" s="1"/>
    </row>
    <row r="112">
      <c r="A112" s="150"/>
      <c r="B112" s="153" t="s">
        <v>135</v>
      </c>
      <c r="C112" s="154"/>
      <c r="D112" s="155"/>
      <c r="E112" s="156" t="s">
        <v>132</v>
      </c>
      <c r="F112" s="157"/>
      <c r="G112" s="158">
        <f>INFB</f>
        <v>3</v>
      </c>
      <c r="H112" s="157"/>
      <c r="I112" s="151"/>
      <c r="J112" s="150"/>
      <c r="K112" s="150"/>
      <c r="L112" s="150"/>
      <c r="M112" s="152"/>
      <c r="N112" s="1"/>
      <c r="O112" s="1"/>
      <c r="P112" s="23"/>
      <c r="Q112" s="23"/>
      <c r="R112" s="159"/>
      <c r="S112" s="159"/>
      <c r="T112" s="1"/>
    </row>
    <row r="113">
      <c r="A113" s="160"/>
      <c r="B113" s="161"/>
      <c r="C113" s="162"/>
      <c r="D113" s="163"/>
      <c r="E113" s="164" t="s">
        <v>133</v>
      </c>
      <c r="F113" s="165"/>
      <c r="G113" s="166"/>
      <c r="H113" s="167"/>
      <c r="I113" s="168"/>
      <c r="J113" s="150"/>
      <c r="K113" s="150"/>
      <c r="L113" s="150"/>
      <c r="M113" s="152"/>
      <c r="N113" s="128" t="s">
        <v>136</v>
      </c>
      <c r="O113" s="26"/>
      <c r="P113" s="129"/>
      <c r="Q113" s="28"/>
      <c r="R113" s="28"/>
      <c r="S113" s="29"/>
      <c r="T113" s="131"/>
    </row>
    <row r="114">
      <c r="A114" s="1"/>
      <c r="B114" s="169"/>
      <c r="C114" s="169"/>
      <c r="D114" s="169"/>
      <c r="E114" s="1"/>
      <c r="F114" s="1"/>
      <c r="G114" s="17"/>
      <c r="H114" s="18"/>
      <c r="I114" s="170"/>
      <c r="J114" s="150"/>
      <c r="K114" s="150"/>
      <c r="L114" s="150"/>
      <c r="M114" s="152"/>
      <c r="N114" s="5"/>
      <c r="O114" s="32"/>
      <c r="P114" s="33"/>
      <c r="S114" s="32"/>
      <c r="T114" s="131"/>
    </row>
    <row r="115">
      <c r="A115" s="1"/>
      <c r="B115" s="171" t="s">
        <v>137</v>
      </c>
      <c r="C115" s="11"/>
      <c r="D115" s="75"/>
      <c r="E115" s="10" t="s">
        <v>132</v>
      </c>
      <c r="F115" s="12"/>
      <c r="G115" s="172"/>
      <c r="H115" s="15"/>
      <c r="I115" s="170"/>
      <c r="J115" s="150"/>
      <c r="K115" s="150"/>
      <c r="L115" s="150"/>
      <c r="M115" s="152"/>
      <c r="N115" s="5"/>
      <c r="O115" s="32"/>
      <c r="P115" s="33"/>
      <c r="S115" s="32"/>
      <c r="T115" s="131"/>
    </row>
    <row r="116">
      <c r="A116" s="146"/>
      <c r="B116" s="146"/>
      <c r="C116" s="146"/>
      <c r="D116" s="146"/>
      <c r="E116" s="146"/>
      <c r="F116" s="146"/>
      <c r="G116" s="147"/>
      <c r="H116" s="173"/>
      <c r="I116" s="174"/>
      <c r="J116" s="150"/>
      <c r="K116" s="150"/>
      <c r="L116" s="150"/>
      <c r="M116" s="152"/>
      <c r="N116" s="7"/>
      <c r="O116" s="34"/>
      <c r="P116" s="35"/>
      <c r="Q116" s="36"/>
      <c r="R116" s="36"/>
      <c r="S116" s="37"/>
      <c r="T116" s="131"/>
    </row>
    <row r="117">
      <c r="A117" s="150"/>
      <c r="B117" s="175" t="s">
        <v>138</v>
      </c>
      <c r="C117" s="176"/>
      <c r="D117" s="176"/>
      <c r="E117" s="176"/>
      <c r="F117" s="176"/>
      <c r="G117" s="176"/>
      <c r="H117" s="176"/>
      <c r="I117" s="157"/>
      <c r="J117" s="150"/>
      <c r="K117" s="150"/>
      <c r="L117" s="150"/>
      <c r="M117" s="152"/>
      <c r="N117" s="1"/>
      <c r="O117" s="1"/>
      <c r="P117" s="159"/>
      <c r="Q117" s="159"/>
      <c r="R117" s="159"/>
      <c r="S117" s="159"/>
      <c r="T117" s="1"/>
    </row>
    <row r="118">
      <c r="A118" s="150"/>
      <c r="B118" s="177" t="s">
        <v>139</v>
      </c>
      <c r="C118" s="178"/>
      <c r="D118" s="178"/>
      <c r="E118" s="179"/>
      <c r="F118" s="180" t="s">
        <v>140</v>
      </c>
      <c r="G118" s="178"/>
      <c r="H118" s="178"/>
      <c r="I118" s="167"/>
      <c r="J118" s="150"/>
      <c r="K118" s="150"/>
      <c r="L118" s="150"/>
      <c r="M118" s="152"/>
      <c r="N118" s="128" t="s">
        <v>141</v>
      </c>
      <c r="O118" s="26"/>
      <c r="P118" s="129"/>
      <c r="Q118" s="28"/>
      <c r="R118" s="28"/>
      <c r="S118" s="29"/>
      <c r="T118" s="131"/>
    </row>
    <row r="119">
      <c r="A119" s="150"/>
      <c r="B119" s="181" t="s">
        <v>142</v>
      </c>
      <c r="C119" s="71"/>
      <c r="D119" s="71"/>
      <c r="E119" s="182"/>
      <c r="F119" s="149"/>
      <c r="G119" s="71"/>
      <c r="H119" s="71"/>
      <c r="I119" s="183"/>
      <c r="J119" s="150"/>
      <c r="K119" s="150"/>
      <c r="L119" s="150"/>
      <c r="M119" s="152"/>
      <c r="N119" s="5"/>
      <c r="O119" s="32"/>
      <c r="P119" s="33"/>
      <c r="S119" s="32"/>
      <c r="T119" s="131"/>
    </row>
    <row r="120">
      <c r="A120" s="150"/>
      <c r="B120" s="181" t="s">
        <v>143</v>
      </c>
      <c r="C120" s="71"/>
      <c r="D120" s="71"/>
      <c r="E120" s="182"/>
      <c r="F120" s="149"/>
      <c r="G120" s="71"/>
      <c r="H120" s="71"/>
      <c r="I120" s="183"/>
      <c r="J120" s="150"/>
      <c r="K120" s="150"/>
      <c r="L120" s="150"/>
      <c r="M120" s="152"/>
      <c r="N120" s="5"/>
      <c r="O120" s="32"/>
      <c r="P120" s="33"/>
      <c r="S120" s="32"/>
      <c r="T120" s="131"/>
    </row>
    <row r="121">
      <c r="A121" s="150"/>
      <c r="B121" s="181" t="s">
        <v>144</v>
      </c>
      <c r="C121" s="71"/>
      <c r="D121" s="71"/>
      <c r="E121" s="182"/>
      <c r="F121" s="149"/>
      <c r="G121" s="71"/>
      <c r="H121" s="71"/>
      <c r="I121" s="183"/>
      <c r="J121" s="150"/>
      <c r="K121" s="150"/>
      <c r="L121" s="150"/>
      <c r="M121" s="152"/>
      <c r="N121" s="7"/>
      <c r="O121" s="34"/>
      <c r="P121" s="35"/>
      <c r="Q121" s="36"/>
      <c r="R121" s="36"/>
      <c r="S121" s="37"/>
      <c r="T121" s="131"/>
    </row>
    <row r="122">
      <c r="A122" s="150"/>
      <c r="B122" s="181" t="s">
        <v>145</v>
      </c>
      <c r="C122" s="71"/>
      <c r="D122" s="71"/>
      <c r="E122" s="182"/>
      <c r="F122" s="149"/>
      <c r="G122" s="71"/>
      <c r="H122" s="71"/>
      <c r="I122" s="183"/>
      <c r="J122" s="150"/>
      <c r="K122" s="150"/>
      <c r="L122" s="150"/>
      <c r="M122" s="152"/>
      <c r="N122" s="1"/>
      <c r="O122" s="1"/>
      <c r="P122" s="17"/>
      <c r="Q122" s="17"/>
      <c r="R122" s="17"/>
      <c r="S122" s="17"/>
      <c r="T122" s="1"/>
    </row>
    <row r="123">
      <c r="A123" s="150"/>
      <c r="B123" s="184"/>
      <c r="C123" s="71"/>
      <c r="D123" s="71"/>
      <c r="E123" s="182"/>
      <c r="F123" s="149"/>
      <c r="G123" s="71"/>
      <c r="H123" s="71"/>
      <c r="I123" s="183"/>
      <c r="J123" s="150"/>
      <c r="K123" s="150"/>
      <c r="L123" s="150"/>
      <c r="M123" s="185"/>
      <c r="N123" s="146"/>
      <c r="O123" s="146"/>
      <c r="P123" s="146"/>
      <c r="Q123" s="146"/>
      <c r="R123" s="146"/>
      <c r="S123" s="146"/>
      <c r="T123" s="146"/>
    </row>
    <row r="124">
      <c r="A124" s="150"/>
      <c r="B124" s="184"/>
      <c r="C124" s="71"/>
      <c r="D124" s="71"/>
      <c r="E124" s="182"/>
      <c r="F124" s="149"/>
      <c r="G124" s="71"/>
      <c r="H124" s="71"/>
      <c r="I124" s="183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</row>
    <row r="125">
      <c r="A125" s="150"/>
      <c r="B125" s="186"/>
      <c r="C125" s="186"/>
      <c r="D125" s="186"/>
      <c r="E125" s="186"/>
      <c r="F125" s="186"/>
      <c r="G125" s="186"/>
      <c r="H125" s="187"/>
      <c r="I125" s="187"/>
      <c r="J125" s="150"/>
      <c r="K125" s="150"/>
      <c r="L125" s="188" t="s">
        <v>146</v>
      </c>
      <c r="M125" s="154"/>
      <c r="N125" s="154"/>
      <c r="O125" s="154"/>
      <c r="P125" s="154"/>
      <c r="Q125" s="154"/>
      <c r="R125" s="154"/>
      <c r="S125" s="155"/>
      <c r="T125" s="150"/>
    </row>
    <row r="126">
      <c r="A126" s="150"/>
      <c r="B126" s="189" t="s">
        <v>147</v>
      </c>
      <c r="C126" s="154"/>
      <c r="D126" s="154"/>
      <c r="E126" s="154"/>
      <c r="F126" s="154"/>
      <c r="G126" s="154"/>
      <c r="H126" s="154"/>
      <c r="I126" s="155"/>
      <c r="J126" s="150"/>
      <c r="K126" s="150"/>
      <c r="L126" s="161"/>
      <c r="M126" s="162"/>
      <c r="N126" s="162"/>
      <c r="O126" s="162"/>
      <c r="P126" s="162"/>
      <c r="Q126" s="162"/>
      <c r="R126" s="162"/>
      <c r="S126" s="163"/>
      <c r="T126" s="150"/>
    </row>
    <row r="127">
      <c r="A127" s="150"/>
      <c r="B127" s="161"/>
      <c r="C127" s="162"/>
      <c r="D127" s="162"/>
      <c r="E127" s="162"/>
      <c r="F127" s="162"/>
      <c r="G127" s="162"/>
      <c r="H127" s="162"/>
      <c r="I127" s="163"/>
      <c r="J127" s="150"/>
      <c r="K127" s="156" t="s">
        <v>148</v>
      </c>
      <c r="L127" s="190"/>
      <c r="M127" s="191">
        <v>24650.0</v>
      </c>
      <c r="N127" s="156" t="s">
        <v>149</v>
      </c>
      <c r="O127" s="157"/>
      <c r="P127" s="151">
        <f>sum(P130:P1254)</f>
        <v>23300</v>
      </c>
      <c r="Q127" s="156" t="s">
        <v>150</v>
      </c>
      <c r="R127" s="157"/>
      <c r="S127" s="151">
        <f>M127-P127</f>
        <v>1350</v>
      </c>
      <c r="T127" s="150"/>
    </row>
    <row r="128">
      <c r="A128" s="150"/>
      <c r="B128" s="192"/>
      <c r="C128" s="192"/>
      <c r="D128" s="192"/>
      <c r="E128" s="192"/>
      <c r="F128" s="192"/>
      <c r="G128" s="192"/>
      <c r="H128" s="192"/>
      <c r="I128" s="192"/>
      <c r="J128" s="150"/>
      <c r="K128" s="150"/>
      <c r="L128" s="150"/>
      <c r="M128" s="186"/>
      <c r="N128" s="150"/>
      <c r="O128" s="150"/>
      <c r="P128" s="150"/>
      <c r="Q128" s="150"/>
      <c r="R128" s="150"/>
      <c r="S128" s="150"/>
      <c r="T128" s="150"/>
    </row>
    <row r="129">
      <c r="A129" s="150"/>
      <c r="B129" s="150"/>
      <c r="C129" s="150"/>
      <c r="D129" s="156" t="s">
        <v>151</v>
      </c>
      <c r="E129" s="190"/>
      <c r="F129" s="193"/>
      <c r="G129" s="157"/>
      <c r="H129" s="151"/>
      <c r="I129" s="151"/>
      <c r="J129" s="150"/>
      <c r="K129" s="194" t="s">
        <v>146</v>
      </c>
      <c r="L129" s="178"/>
      <c r="M129" s="178"/>
      <c r="N129" s="178"/>
      <c r="O129" s="179"/>
      <c r="P129" s="195" t="s">
        <v>152</v>
      </c>
      <c r="Q129" s="179"/>
      <c r="R129" s="195" t="s">
        <v>153</v>
      </c>
      <c r="S129" s="167"/>
      <c r="T129" s="150"/>
    </row>
    <row r="130">
      <c r="A130" s="150"/>
      <c r="B130" s="196"/>
      <c r="C130" s="176"/>
      <c r="D130" s="176"/>
      <c r="E130" s="176"/>
      <c r="F130" s="176"/>
      <c r="G130" s="176"/>
      <c r="H130" s="176"/>
      <c r="I130" s="157"/>
      <c r="J130" s="150"/>
      <c r="K130" s="181" t="s">
        <v>154</v>
      </c>
      <c r="L130" s="71"/>
      <c r="M130" s="71"/>
      <c r="N130" s="71"/>
      <c r="O130" s="182"/>
      <c r="P130" s="96">
        <v>-8000.0</v>
      </c>
      <c r="Q130" s="182"/>
      <c r="R130" s="126"/>
      <c r="S130" s="183"/>
      <c r="T130" s="150"/>
    </row>
    <row r="131">
      <c r="A131" s="150"/>
      <c r="B131" s="197"/>
      <c r="C131" s="178"/>
      <c r="D131" s="178"/>
      <c r="E131" s="178"/>
      <c r="F131" s="178"/>
      <c r="G131" s="178"/>
      <c r="H131" s="178"/>
      <c r="I131" s="167"/>
      <c r="J131" s="150"/>
      <c r="K131" s="181" t="s">
        <v>155</v>
      </c>
      <c r="L131" s="71"/>
      <c r="M131" s="71"/>
      <c r="N131" s="71"/>
      <c r="O131" s="182"/>
      <c r="P131" s="96">
        <v>200.0</v>
      </c>
      <c r="Q131" s="182"/>
      <c r="R131" s="126"/>
      <c r="S131" s="183"/>
      <c r="T131" s="150"/>
    </row>
    <row r="132">
      <c r="A132" s="150"/>
      <c r="B132" s="184"/>
      <c r="C132" s="71"/>
      <c r="D132" s="71"/>
      <c r="E132" s="71"/>
      <c r="F132" s="71"/>
      <c r="G132" s="71"/>
      <c r="H132" s="71"/>
      <c r="I132" s="183"/>
      <c r="J132" s="150"/>
      <c r="K132" s="181" t="s">
        <v>156</v>
      </c>
      <c r="L132" s="71"/>
      <c r="M132" s="71"/>
      <c r="N132" s="71"/>
      <c r="O132" s="182"/>
      <c r="P132" s="96">
        <v>300.0</v>
      </c>
      <c r="Q132" s="182"/>
      <c r="R132" s="126"/>
      <c r="S132" s="183"/>
      <c r="T132" s="150"/>
    </row>
    <row r="133">
      <c r="A133" s="150"/>
      <c r="B133" s="184"/>
      <c r="C133" s="71"/>
      <c r="D133" s="71"/>
      <c r="E133" s="71"/>
      <c r="F133" s="71"/>
      <c r="G133" s="71"/>
      <c r="H133" s="71"/>
      <c r="I133" s="183"/>
      <c r="J133" s="150"/>
      <c r="K133" s="181" t="s">
        <v>157</v>
      </c>
      <c r="L133" s="71"/>
      <c r="M133" s="71"/>
      <c r="N133" s="71"/>
      <c r="O133" s="182"/>
      <c r="P133" s="96">
        <v>200.0</v>
      </c>
      <c r="Q133" s="182"/>
      <c r="R133" s="126"/>
      <c r="S133" s="183"/>
      <c r="T133" s="150"/>
    </row>
    <row r="134">
      <c r="A134" s="150"/>
      <c r="B134" s="184"/>
      <c r="C134" s="71"/>
      <c r="D134" s="71"/>
      <c r="E134" s="71"/>
      <c r="F134" s="71"/>
      <c r="G134" s="71"/>
      <c r="H134" s="71"/>
      <c r="I134" s="183"/>
      <c r="J134" s="150"/>
      <c r="K134" s="181" t="s">
        <v>158</v>
      </c>
      <c r="L134" s="71"/>
      <c r="M134" s="71"/>
      <c r="N134" s="71"/>
      <c r="O134" s="182"/>
      <c r="P134" s="96">
        <v>300.0</v>
      </c>
      <c r="Q134" s="182"/>
      <c r="R134" s="126"/>
      <c r="S134" s="183"/>
      <c r="T134" s="150"/>
    </row>
    <row r="135">
      <c r="A135" s="150"/>
      <c r="B135" s="184"/>
      <c r="C135" s="71"/>
      <c r="D135" s="71"/>
      <c r="E135" s="71"/>
      <c r="F135" s="71"/>
      <c r="G135" s="71"/>
      <c r="H135" s="71"/>
      <c r="I135" s="183"/>
      <c r="J135" s="150"/>
      <c r="K135" s="181" t="s">
        <v>159</v>
      </c>
      <c r="L135" s="71"/>
      <c r="M135" s="71"/>
      <c r="N135" s="71"/>
      <c r="O135" s="182"/>
      <c r="P135" s="96">
        <v>600.0</v>
      </c>
      <c r="Q135" s="182"/>
      <c r="R135" s="126"/>
      <c r="S135" s="183"/>
      <c r="T135" s="150"/>
    </row>
    <row r="136">
      <c r="A136" s="150"/>
      <c r="B136" s="184"/>
      <c r="C136" s="71"/>
      <c r="D136" s="71"/>
      <c r="E136" s="71"/>
      <c r="F136" s="71"/>
      <c r="G136" s="71"/>
      <c r="H136" s="71"/>
      <c r="I136" s="183"/>
      <c r="J136" s="150"/>
      <c r="K136" s="181" t="s">
        <v>160</v>
      </c>
      <c r="L136" s="71"/>
      <c r="M136" s="71"/>
      <c r="N136" s="71"/>
      <c r="O136" s="182"/>
      <c r="P136" s="96">
        <v>300.0</v>
      </c>
      <c r="Q136" s="182"/>
      <c r="R136" s="126"/>
      <c r="S136" s="183"/>
      <c r="T136" s="150"/>
    </row>
    <row r="137">
      <c r="A137" s="150"/>
      <c r="B137" s="184"/>
      <c r="C137" s="71"/>
      <c r="D137" s="71"/>
      <c r="E137" s="71"/>
      <c r="F137" s="71"/>
      <c r="G137" s="71"/>
      <c r="H137" s="71"/>
      <c r="I137" s="183"/>
      <c r="J137" s="150"/>
      <c r="K137" s="181" t="s">
        <v>161</v>
      </c>
      <c r="L137" s="71"/>
      <c r="M137" s="71"/>
      <c r="N137" s="71"/>
      <c r="O137" s="182"/>
      <c r="P137" s="96">
        <v>300.0</v>
      </c>
      <c r="Q137" s="182"/>
      <c r="R137" s="126"/>
      <c r="S137" s="183"/>
      <c r="T137" s="150"/>
    </row>
    <row r="138">
      <c r="A138" s="150"/>
      <c r="B138" s="184"/>
      <c r="C138" s="71"/>
      <c r="D138" s="71"/>
      <c r="E138" s="71"/>
      <c r="F138" s="71"/>
      <c r="G138" s="71"/>
      <c r="H138" s="71"/>
      <c r="I138" s="183"/>
      <c r="J138" s="150"/>
      <c r="K138" s="181" t="s">
        <v>162</v>
      </c>
      <c r="L138" s="71"/>
      <c r="M138" s="71"/>
      <c r="N138" s="71"/>
      <c r="O138" s="182"/>
      <c r="P138" s="96">
        <v>300.0</v>
      </c>
      <c r="Q138" s="182"/>
      <c r="R138" s="126"/>
      <c r="S138" s="183"/>
      <c r="T138" s="150"/>
    </row>
    <row r="139">
      <c r="A139" s="150"/>
      <c r="B139" s="184"/>
      <c r="C139" s="71"/>
      <c r="D139" s="71"/>
      <c r="E139" s="71"/>
      <c r="F139" s="71"/>
      <c r="G139" s="71"/>
      <c r="H139" s="71"/>
      <c r="I139" s="183"/>
      <c r="J139" s="150"/>
      <c r="K139" s="181" t="s">
        <v>163</v>
      </c>
      <c r="L139" s="71"/>
      <c r="M139" s="71"/>
      <c r="N139" s="71"/>
      <c r="O139" s="182"/>
      <c r="P139" s="96">
        <v>300.0</v>
      </c>
      <c r="Q139" s="182"/>
      <c r="R139" s="126"/>
      <c r="S139" s="183"/>
      <c r="T139" s="150"/>
    </row>
    <row r="140">
      <c r="A140" s="150"/>
      <c r="B140" s="184"/>
      <c r="C140" s="71"/>
      <c r="D140" s="71"/>
      <c r="E140" s="71"/>
      <c r="F140" s="71"/>
      <c r="G140" s="71"/>
      <c r="H140" s="71"/>
      <c r="I140" s="183"/>
      <c r="J140" s="150"/>
      <c r="K140" s="181" t="s">
        <v>164</v>
      </c>
      <c r="L140" s="71"/>
      <c r="M140" s="71"/>
      <c r="N140" s="71"/>
      <c r="O140" s="182"/>
      <c r="P140" s="96">
        <v>450.0</v>
      </c>
      <c r="Q140" s="182"/>
      <c r="R140" s="126"/>
      <c r="S140" s="183"/>
      <c r="T140" s="150"/>
    </row>
    <row r="141">
      <c r="A141" s="150"/>
      <c r="B141" s="184"/>
      <c r="C141" s="71"/>
      <c r="D141" s="71"/>
      <c r="E141" s="71"/>
      <c r="F141" s="71"/>
      <c r="G141" s="71"/>
      <c r="H141" s="71"/>
      <c r="I141" s="183"/>
      <c r="J141" s="150"/>
      <c r="K141" s="181" t="s">
        <v>165</v>
      </c>
      <c r="L141" s="71"/>
      <c r="M141" s="71"/>
      <c r="N141" s="71"/>
      <c r="O141" s="182"/>
      <c r="P141" s="96">
        <v>300.0</v>
      </c>
      <c r="Q141" s="182"/>
      <c r="R141" s="126"/>
      <c r="S141" s="183"/>
      <c r="T141" s="150"/>
    </row>
    <row r="142">
      <c r="A142" s="150"/>
      <c r="B142" s="184"/>
      <c r="C142" s="71"/>
      <c r="D142" s="71"/>
      <c r="E142" s="71"/>
      <c r="F142" s="71"/>
      <c r="G142" s="71"/>
      <c r="H142" s="71"/>
      <c r="I142" s="183"/>
      <c r="J142" s="150"/>
      <c r="K142" s="181" t="s">
        <v>166</v>
      </c>
      <c r="L142" s="71"/>
      <c r="M142" s="71"/>
      <c r="N142" s="71"/>
      <c r="O142" s="182"/>
      <c r="P142" s="96">
        <v>450.0</v>
      </c>
      <c r="Q142" s="182"/>
      <c r="R142" s="126"/>
      <c r="S142" s="183"/>
      <c r="T142" s="150"/>
    </row>
    <row r="143">
      <c r="A143" s="150"/>
      <c r="B143" s="184"/>
      <c r="C143" s="71"/>
      <c r="D143" s="71"/>
      <c r="E143" s="71"/>
      <c r="F143" s="71"/>
      <c r="G143" s="71"/>
      <c r="H143" s="71"/>
      <c r="I143" s="183"/>
      <c r="J143" s="150"/>
      <c r="K143" s="181" t="s">
        <v>167</v>
      </c>
      <c r="L143" s="71"/>
      <c r="M143" s="71"/>
      <c r="N143" s="71"/>
      <c r="O143" s="182"/>
      <c r="P143" s="96">
        <v>450.0</v>
      </c>
      <c r="Q143" s="182"/>
      <c r="R143" s="126"/>
      <c r="S143" s="183"/>
      <c r="T143" s="150"/>
    </row>
    <row r="144">
      <c r="A144" s="150"/>
      <c r="B144" s="184"/>
      <c r="C144" s="71"/>
      <c r="D144" s="71"/>
      <c r="E144" s="71"/>
      <c r="F144" s="71"/>
      <c r="G144" s="71"/>
      <c r="H144" s="71"/>
      <c r="I144" s="183"/>
      <c r="J144" s="150"/>
      <c r="K144" s="181" t="s">
        <v>168</v>
      </c>
      <c r="L144" s="71"/>
      <c r="M144" s="71"/>
      <c r="N144" s="71"/>
      <c r="O144" s="182"/>
      <c r="P144" s="96">
        <v>450.0</v>
      </c>
      <c r="Q144" s="182"/>
      <c r="R144" s="126"/>
      <c r="S144" s="183"/>
      <c r="T144" s="150"/>
    </row>
    <row r="145">
      <c r="A145" s="150"/>
      <c r="B145" s="184"/>
      <c r="C145" s="71"/>
      <c r="D145" s="71"/>
      <c r="E145" s="71"/>
      <c r="F145" s="71"/>
      <c r="G145" s="71"/>
      <c r="H145" s="71"/>
      <c r="I145" s="183"/>
      <c r="J145" s="150"/>
      <c r="K145" s="181" t="s">
        <v>169</v>
      </c>
      <c r="L145" s="71"/>
      <c r="M145" s="71"/>
      <c r="N145" s="71"/>
      <c r="O145" s="182"/>
      <c r="P145" s="96">
        <v>450.0</v>
      </c>
      <c r="Q145" s="182"/>
      <c r="R145" s="126"/>
      <c r="S145" s="183"/>
      <c r="T145" s="150"/>
    </row>
    <row r="146">
      <c r="A146" s="150"/>
      <c r="B146" s="184"/>
      <c r="C146" s="71"/>
      <c r="D146" s="71"/>
      <c r="E146" s="71"/>
      <c r="F146" s="71"/>
      <c r="G146" s="71"/>
      <c r="H146" s="71"/>
      <c r="I146" s="183"/>
      <c r="J146" s="150"/>
      <c r="K146" s="181" t="s">
        <v>170</v>
      </c>
      <c r="L146" s="71"/>
      <c r="M146" s="71"/>
      <c r="N146" s="71"/>
      <c r="O146" s="182"/>
      <c r="P146" s="96">
        <v>600.0</v>
      </c>
      <c r="Q146" s="182"/>
      <c r="R146" s="126"/>
      <c r="S146" s="183"/>
      <c r="T146" s="150"/>
    </row>
    <row r="147">
      <c r="A147" s="150"/>
      <c r="B147" s="184"/>
      <c r="C147" s="71"/>
      <c r="D147" s="71"/>
      <c r="E147" s="71"/>
      <c r="F147" s="71"/>
      <c r="G147" s="71"/>
      <c r="H147" s="71"/>
      <c r="I147" s="183"/>
      <c r="J147" s="150"/>
      <c r="K147" s="181" t="s">
        <v>171</v>
      </c>
      <c r="L147" s="71"/>
      <c r="M147" s="71"/>
      <c r="N147" s="71"/>
      <c r="O147" s="182"/>
      <c r="P147" s="96">
        <v>600.0</v>
      </c>
      <c r="Q147" s="182"/>
      <c r="R147" s="126"/>
      <c r="S147" s="183"/>
      <c r="T147" s="150"/>
    </row>
    <row r="148">
      <c r="A148" s="150"/>
      <c r="B148" s="184"/>
      <c r="C148" s="71"/>
      <c r="D148" s="71"/>
      <c r="E148" s="71"/>
      <c r="F148" s="71"/>
      <c r="G148" s="71"/>
      <c r="H148" s="71"/>
      <c r="I148" s="183"/>
      <c r="J148" s="150"/>
      <c r="K148" s="181" t="s">
        <v>172</v>
      </c>
      <c r="L148" s="71"/>
      <c r="M148" s="71"/>
      <c r="N148" s="71"/>
      <c r="O148" s="182"/>
      <c r="P148" s="96">
        <v>600.0</v>
      </c>
      <c r="Q148" s="182"/>
      <c r="R148" s="126"/>
      <c r="S148" s="183"/>
      <c r="T148" s="150"/>
    </row>
    <row r="149">
      <c r="A149" s="150"/>
      <c r="B149" s="184"/>
      <c r="C149" s="71"/>
      <c r="D149" s="71"/>
      <c r="E149" s="71"/>
      <c r="F149" s="71"/>
      <c r="G149" s="71"/>
      <c r="H149" s="71"/>
      <c r="I149" s="183"/>
      <c r="J149" s="150"/>
      <c r="K149" s="181" t="s">
        <v>173</v>
      </c>
      <c r="L149" s="71"/>
      <c r="M149" s="71"/>
      <c r="N149" s="71"/>
      <c r="O149" s="182"/>
      <c r="P149" s="96">
        <v>400.0</v>
      </c>
      <c r="Q149" s="182"/>
      <c r="R149" s="126"/>
      <c r="S149" s="183"/>
      <c r="T149" s="150"/>
    </row>
    <row r="150">
      <c r="A150" s="150"/>
      <c r="B150" s="184"/>
      <c r="C150" s="71"/>
      <c r="D150" s="71"/>
      <c r="E150" s="71"/>
      <c r="F150" s="71"/>
      <c r="G150" s="71"/>
      <c r="H150" s="71"/>
      <c r="I150" s="183"/>
      <c r="J150" s="150"/>
      <c r="K150" s="181" t="s">
        <v>174</v>
      </c>
      <c r="L150" s="71"/>
      <c r="M150" s="71"/>
      <c r="N150" s="71"/>
      <c r="O150" s="182"/>
      <c r="P150" s="96">
        <v>400.0</v>
      </c>
      <c r="Q150" s="182"/>
      <c r="R150" s="126"/>
      <c r="S150" s="183"/>
      <c r="T150" s="150"/>
    </row>
    <row r="151">
      <c r="A151" s="150"/>
      <c r="B151" s="184"/>
      <c r="C151" s="71"/>
      <c r="D151" s="71"/>
      <c r="E151" s="71"/>
      <c r="F151" s="71"/>
      <c r="G151" s="71"/>
      <c r="H151" s="71"/>
      <c r="I151" s="183"/>
      <c r="J151" s="150"/>
      <c r="K151" s="181" t="s">
        <v>175</v>
      </c>
      <c r="L151" s="71"/>
      <c r="M151" s="71"/>
      <c r="N151" s="71"/>
      <c r="O151" s="182"/>
      <c r="P151" s="96">
        <v>600.0</v>
      </c>
      <c r="Q151" s="182"/>
      <c r="R151" s="126"/>
      <c r="S151" s="183"/>
      <c r="T151" s="150"/>
    </row>
    <row r="152">
      <c r="A152" s="150"/>
      <c r="B152" s="184"/>
      <c r="C152" s="71"/>
      <c r="D152" s="71"/>
      <c r="E152" s="71"/>
      <c r="F152" s="71"/>
      <c r="G152" s="71"/>
      <c r="H152" s="71"/>
      <c r="I152" s="183"/>
      <c r="J152" s="150"/>
      <c r="K152" s="181" t="s">
        <v>176</v>
      </c>
      <c r="L152" s="71"/>
      <c r="M152" s="71"/>
      <c r="N152" s="71"/>
      <c r="O152" s="182"/>
      <c r="P152" s="96">
        <v>400.0</v>
      </c>
      <c r="Q152" s="182"/>
      <c r="R152" s="126"/>
      <c r="S152" s="183"/>
      <c r="T152" s="150"/>
    </row>
    <row r="153">
      <c r="A153" s="150"/>
      <c r="B153" s="184"/>
      <c r="C153" s="71"/>
      <c r="D153" s="71"/>
      <c r="E153" s="71"/>
      <c r="F153" s="71"/>
      <c r="G153" s="71"/>
      <c r="H153" s="71"/>
      <c r="I153" s="183"/>
      <c r="J153" s="150"/>
      <c r="K153" s="181" t="s">
        <v>177</v>
      </c>
      <c r="L153" s="71"/>
      <c r="M153" s="71"/>
      <c r="N153" s="71"/>
      <c r="O153" s="182"/>
      <c r="P153" s="96">
        <v>300.0</v>
      </c>
      <c r="Q153" s="182"/>
      <c r="R153" s="126"/>
      <c r="S153" s="183"/>
      <c r="T153" s="150"/>
    </row>
    <row r="154">
      <c r="A154" s="150"/>
      <c r="B154" s="184"/>
      <c r="C154" s="71"/>
      <c r="D154" s="71"/>
      <c r="E154" s="71"/>
      <c r="F154" s="71"/>
      <c r="G154" s="71"/>
      <c r="H154" s="71"/>
      <c r="I154" s="183"/>
      <c r="J154" s="150"/>
      <c r="K154" s="181" t="s">
        <v>178</v>
      </c>
      <c r="L154" s="71"/>
      <c r="M154" s="71"/>
      <c r="N154" s="71"/>
      <c r="O154" s="182"/>
      <c r="P154" s="96">
        <f>900+450</f>
        <v>1350</v>
      </c>
      <c r="Q154" s="182"/>
      <c r="R154" s="126"/>
      <c r="S154" s="183"/>
      <c r="T154" s="150"/>
    </row>
    <row r="155">
      <c r="A155" s="150"/>
      <c r="B155" s="184"/>
      <c r="C155" s="71"/>
      <c r="D155" s="71"/>
      <c r="E155" s="71"/>
      <c r="F155" s="71"/>
      <c r="G155" s="71"/>
      <c r="H155" s="71"/>
      <c r="I155" s="183"/>
      <c r="J155" s="150"/>
      <c r="K155" s="181" t="s">
        <v>175</v>
      </c>
      <c r="L155" s="71"/>
      <c r="M155" s="71"/>
      <c r="N155" s="71"/>
      <c r="O155" s="71"/>
      <c r="P155" s="96">
        <v>600.0</v>
      </c>
      <c r="Q155" s="71"/>
      <c r="R155" s="126"/>
      <c r="S155" s="183"/>
      <c r="T155" s="150"/>
    </row>
    <row r="156">
      <c r="A156" s="150"/>
      <c r="B156" s="184"/>
      <c r="C156" s="71"/>
      <c r="D156" s="71"/>
      <c r="E156" s="71"/>
      <c r="F156" s="71"/>
      <c r="G156" s="71"/>
      <c r="H156" s="71"/>
      <c r="I156" s="183"/>
      <c r="J156" s="150"/>
      <c r="K156" s="181" t="s">
        <v>179</v>
      </c>
      <c r="L156" s="71"/>
      <c r="M156" s="71"/>
      <c r="N156" s="71"/>
      <c r="O156" s="71"/>
      <c r="P156" s="96">
        <v>2500.0</v>
      </c>
      <c r="Q156" s="71"/>
      <c r="R156" s="126"/>
      <c r="S156" s="183"/>
      <c r="T156" s="150"/>
    </row>
    <row r="157">
      <c r="A157" s="150"/>
      <c r="B157" s="184"/>
      <c r="C157" s="71"/>
      <c r="D157" s="71"/>
      <c r="E157" s="71"/>
      <c r="F157" s="71"/>
      <c r="G157" s="71"/>
      <c r="H157" s="71"/>
      <c r="I157" s="183"/>
      <c r="J157" s="150"/>
      <c r="K157" s="181" t="s">
        <v>180</v>
      </c>
      <c r="L157" s="71"/>
      <c r="M157" s="71"/>
      <c r="N157" s="71"/>
      <c r="O157" s="71"/>
      <c r="P157" s="96">
        <v>1600.0</v>
      </c>
      <c r="Q157" s="71"/>
      <c r="R157" s="126"/>
      <c r="S157" s="183"/>
      <c r="T157" s="150"/>
    </row>
    <row r="158">
      <c r="A158" s="150"/>
      <c r="B158" s="184"/>
      <c r="C158" s="71"/>
      <c r="D158" s="71"/>
      <c r="E158" s="71"/>
      <c r="F158" s="71"/>
      <c r="G158" s="71"/>
      <c r="H158" s="71"/>
      <c r="I158" s="183"/>
      <c r="J158" s="150"/>
      <c r="K158" s="181" t="s">
        <v>181</v>
      </c>
      <c r="L158" s="71"/>
      <c r="M158" s="71"/>
      <c r="N158" s="71"/>
      <c r="O158" s="71"/>
      <c r="P158" s="96">
        <v>1500.0</v>
      </c>
      <c r="Q158" s="71"/>
      <c r="R158" s="126"/>
      <c r="S158" s="183"/>
      <c r="T158" s="150"/>
    </row>
    <row r="159">
      <c r="A159" s="150"/>
      <c r="B159" s="184"/>
      <c r="C159" s="71"/>
      <c r="D159" s="71"/>
      <c r="E159" s="71"/>
      <c r="F159" s="71"/>
      <c r="G159" s="71"/>
      <c r="H159" s="71"/>
      <c r="I159" s="183"/>
      <c r="J159" s="150"/>
      <c r="K159" s="181" t="s">
        <v>182</v>
      </c>
      <c r="L159" s="71"/>
      <c r="M159" s="71"/>
      <c r="N159" s="71"/>
      <c r="O159" s="71"/>
      <c r="P159" s="96">
        <v>1250.0</v>
      </c>
      <c r="Q159" s="71"/>
      <c r="R159" s="126"/>
      <c r="S159" s="183"/>
      <c r="T159" s="150"/>
    </row>
    <row r="160">
      <c r="A160" s="150"/>
      <c r="B160" s="184"/>
      <c r="C160" s="71"/>
      <c r="D160" s="71"/>
      <c r="E160" s="71"/>
      <c r="F160" s="71"/>
      <c r="G160" s="71"/>
      <c r="H160" s="71"/>
      <c r="I160" s="183"/>
      <c r="J160" s="150"/>
      <c r="K160" s="181" t="s">
        <v>183</v>
      </c>
      <c r="L160" s="71"/>
      <c r="M160" s="71"/>
      <c r="N160" s="71"/>
      <c r="O160" s="71"/>
      <c r="P160" s="96">
        <v>1600.0</v>
      </c>
      <c r="Q160" s="71"/>
      <c r="R160" s="126"/>
      <c r="S160" s="183"/>
      <c r="T160" s="150"/>
    </row>
    <row r="161">
      <c r="A161" s="150"/>
      <c r="B161" s="184"/>
      <c r="C161" s="71"/>
      <c r="D161" s="71"/>
      <c r="E161" s="71"/>
      <c r="F161" s="71"/>
      <c r="G161" s="71"/>
      <c r="H161" s="71"/>
      <c r="I161" s="183"/>
      <c r="J161" s="150"/>
      <c r="K161" s="181" t="s">
        <v>184</v>
      </c>
      <c r="L161" s="71"/>
      <c r="M161" s="71"/>
      <c r="N161" s="71"/>
      <c r="O161" s="71"/>
      <c r="P161" s="96">
        <v>750.0</v>
      </c>
      <c r="Q161" s="71"/>
      <c r="R161" s="126"/>
      <c r="S161" s="183"/>
      <c r="T161" s="150"/>
    </row>
    <row r="162">
      <c r="A162" s="150"/>
      <c r="B162" s="184"/>
      <c r="C162" s="71"/>
      <c r="D162" s="71"/>
      <c r="E162" s="71"/>
      <c r="F162" s="71"/>
      <c r="G162" s="71"/>
      <c r="H162" s="71"/>
      <c r="I162" s="183"/>
      <c r="J162" s="150"/>
      <c r="K162" s="181" t="s">
        <v>185</v>
      </c>
      <c r="L162" s="71"/>
      <c r="M162" s="71"/>
      <c r="N162" s="71"/>
      <c r="O162" s="71"/>
      <c r="P162" s="96">
        <v>1250.0</v>
      </c>
      <c r="Q162" s="71"/>
      <c r="R162" s="126"/>
      <c r="S162" s="183"/>
      <c r="T162" s="150"/>
    </row>
    <row r="163">
      <c r="A163" s="150"/>
      <c r="B163" s="184"/>
      <c r="C163" s="71"/>
      <c r="D163" s="71"/>
      <c r="E163" s="71"/>
      <c r="F163" s="71"/>
      <c r="G163" s="71"/>
      <c r="H163" s="71"/>
      <c r="I163" s="183"/>
      <c r="J163" s="150"/>
      <c r="K163" s="181" t="s">
        <v>186</v>
      </c>
      <c r="L163" s="71"/>
      <c r="M163" s="71"/>
      <c r="N163" s="71"/>
      <c r="O163" s="71"/>
      <c r="P163" s="96">
        <v>250.0</v>
      </c>
      <c r="Q163" s="71"/>
      <c r="R163" s="126"/>
      <c r="S163" s="183"/>
      <c r="T163" s="150"/>
    </row>
    <row r="164">
      <c r="A164" s="150"/>
      <c r="B164" s="184"/>
      <c r="C164" s="71"/>
      <c r="D164" s="71"/>
      <c r="E164" s="71"/>
      <c r="F164" s="71"/>
      <c r="G164" s="71"/>
      <c r="H164" s="71"/>
      <c r="I164" s="183"/>
      <c r="J164" s="150"/>
      <c r="K164" s="181" t="s">
        <v>187</v>
      </c>
      <c r="L164" s="71"/>
      <c r="M164" s="71"/>
      <c r="N164" s="71"/>
      <c r="O164" s="71"/>
      <c r="P164" s="96">
        <v>1250.0</v>
      </c>
      <c r="Q164" s="71"/>
      <c r="R164" s="126"/>
      <c r="S164" s="183"/>
      <c r="T164" s="150"/>
    </row>
    <row r="165">
      <c r="A165" s="150"/>
      <c r="B165" s="184"/>
      <c r="C165" s="71"/>
      <c r="D165" s="71"/>
      <c r="E165" s="71"/>
      <c r="F165" s="71"/>
      <c r="G165" s="71"/>
      <c r="H165" s="71"/>
      <c r="I165" s="183"/>
      <c r="J165" s="150"/>
      <c r="K165" s="181" t="s">
        <v>188</v>
      </c>
      <c r="L165" s="71"/>
      <c r="M165" s="71"/>
      <c r="N165" s="71"/>
      <c r="O165" s="71"/>
      <c r="P165" s="96">
        <v>300.0</v>
      </c>
      <c r="Q165" s="71"/>
      <c r="R165" s="126"/>
      <c r="S165" s="183"/>
      <c r="T165" s="150"/>
    </row>
    <row r="166">
      <c r="A166" s="150"/>
      <c r="B166" s="184"/>
      <c r="C166" s="71"/>
      <c r="D166" s="71"/>
      <c r="E166" s="71"/>
      <c r="F166" s="71"/>
      <c r="G166" s="71"/>
      <c r="H166" s="71"/>
      <c r="I166" s="183"/>
      <c r="J166" s="150"/>
      <c r="K166" s="181" t="s">
        <v>189</v>
      </c>
      <c r="L166" s="71"/>
      <c r="M166" s="71"/>
      <c r="N166" s="71"/>
      <c r="O166" s="71"/>
      <c r="P166" s="96">
        <v>300.0</v>
      </c>
      <c r="Q166" s="71"/>
      <c r="R166" s="126"/>
      <c r="S166" s="183"/>
      <c r="T166" s="150"/>
    </row>
    <row r="167">
      <c r="A167" s="150"/>
      <c r="B167" s="184"/>
      <c r="C167" s="71"/>
      <c r="D167" s="71"/>
      <c r="E167" s="71"/>
      <c r="F167" s="71"/>
      <c r="G167" s="71"/>
      <c r="H167" s="71"/>
      <c r="I167" s="183"/>
      <c r="J167" s="150"/>
      <c r="K167" s="181" t="s">
        <v>190</v>
      </c>
      <c r="L167" s="71"/>
      <c r="M167" s="71"/>
      <c r="N167" s="71"/>
      <c r="O167" s="71"/>
      <c r="P167" s="96">
        <v>600.0</v>
      </c>
      <c r="Q167" s="71"/>
      <c r="R167" s="126"/>
      <c r="S167" s="183"/>
      <c r="T167" s="150"/>
    </row>
    <row r="168">
      <c r="A168" s="150"/>
      <c r="B168" s="184"/>
      <c r="C168" s="71"/>
      <c r="D168" s="71"/>
      <c r="E168" s="71"/>
      <c r="F168" s="71"/>
      <c r="G168" s="71"/>
      <c r="H168" s="71"/>
      <c r="I168" s="183"/>
      <c r="J168" s="150"/>
      <c r="K168" s="181" t="s">
        <v>191</v>
      </c>
      <c r="L168" s="71"/>
      <c r="M168" s="71"/>
      <c r="N168" s="71"/>
      <c r="O168" s="71"/>
      <c r="P168" s="96">
        <v>300.0</v>
      </c>
      <c r="Q168" s="71"/>
      <c r="R168" s="126"/>
      <c r="S168" s="183"/>
      <c r="T168" s="150"/>
    </row>
    <row r="169">
      <c r="A169" s="150"/>
      <c r="B169" s="184"/>
      <c r="C169" s="71"/>
      <c r="D169" s="71"/>
      <c r="E169" s="71"/>
      <c r="F169" s="71"/>
      <c r="G169" s="71"/>
      <c r="H169" s="71"/>
      <c r="I169" s="183"/>
      <c r="J169" s="150"/>
      <c r="K169" s="181" t="s">
        <v>192</v>
      </c>
      <c r="L169" s="71"/>
      <c r="M169" s="71"/>
      <c r="N169" s="71"/>
      <c r="O169" s="71"/>
      <c r="P169" s="96">
        <v>600.0</v>
      </c>
      <c r="Q169" s="71"/>
      <c r="R169" s="126"/>
      <c r="S169" s="183"/>
      <c r="T169" s="150"/>
    </row>
    <row r="170">
      <c r="A170" s="150"/>
      <c r="B170" s="184"/>
      <c r="C170" s="71"/>
      <c r="D170" s="71"/>
      <c r="E170" s="71"/>
      <c r="F170" s="71"/>
      <c r="G170" s="71"/>
      <c r="H170" s="71"/>
      <c r="I170" s="183"/>
      <c r="J170" s="150"/>
      <c r="K170" s="181" t="s">
        <v>193</v>
      </c>
      <c r="L170" s="71"/>
      <c r="M170" s="71"/>
      <c r="N170" s="71"/>
      <c r="O170" s="71"/>
      <c r="P170" s="96">
        <v>500.0</v>
      </c>
      <c r="Q170" s="71"/>
      <c r="R170" s="126"/>
      <c r="S170" s="183"/>
      <c r="T170" s="150"/>
    </row>
    <row r="171">
      <c r="A171" s="150"/>
      <c r="B171" s="184"/>
      <c r="C171" s="71"/>
      <c r="D171" s="71"/>
      <c r="E171" s="71"/>
      <c r="F171" s="71"/>
      <c r="G171" s="71"/>
      <c r="H171" s="71"/>
      <c r="I171" s="183"/>
      <c r="J171" s="150"/>
      <c r="K171" s="181" t="s">
        <v>194</v>
      </c>
      <c r="L171" s="71"/>
      <c r="M171" s="71"/>
      <c r="N171" s="71"/>
      <c r="O171" s="182"/>
      <c r="P171" s="96">
        <v>200.0</v>
      </c>
      <c r="Q171" s="182"/>
      <c r="R171" s="126"/>
      <c r="S171" s="183"/>
      <c r="T171" s="150"/>
    </row>
    <row r="172">
      <c r="A172" s="150"/>
      <c r="B172" s="184"/>
      <c r="C172" s="71"/>
      <c r="D172" s="71"/>
      <c r="E172" s="71"/>
      <c r="F172" s="71"/>
      <c r="G172" s="71"/>
      <c r="H172" s="71"/>
      <c r="I172" s="71"/>
      <c r="J172" s="150"/>
      <c r="K172" s="181" t="s">
        <v>195</v>
      </c>
      <c r="L172" s="71"/>
      <c r="M172" s="71"/>
      <c r="N172" s="71"/>
      <c r="O172" s="71"/>
      <c r="P172" s="96">
        <v>850.0</v>
      </c>
      <c r="Q172" s="71"/>
      <c r="R172" s="126"/>
      <c r="S172" s="71"/>
      <c r="T172" s="150"/>
    </row>
    <row r="173">
      <c r="A173" s="150"/>
      <c r="B173" s="184"/>
      <c r="C173" s="71"/>
      <c r="D173" s="71"/>
      <c r="E173" s="71"/>
      <c r="F173" s="71"/>
      <c r="G173" s="71"/>
      <c r="H173" s="71"/>
      <c r="I173" s="71"/>
      <c r="J173" s="150"/>
      <c r="K173" s="181" t="s">
        <v>196</v>
      </c>
      <c r="L173" s="71"/>
      <c r="M173" s="71"/>
      <c r="N173" s="71"/>
      <c r="O173" s="71"/>
      <c r="P173" s="96">
        <v>300.0</v>
      </c>
      <c r="Q173" s="71"/>
      <c r="R173" s="126"/>
      <c r="S173" s="71"/>
      <c r="T173" s="150"/>
    </row>
    <row r="174">
      <c r="A174" s="150"/>
      <c r="B174" s="184"/>
      <c r="C174" s="71"/>
      <c r="D174" s="71"/>
      <c r="E174" s="71"/>
      <c r="F174" s="71"/>
      <c r="G174" s="71"/>
      <c r="H174" s="71"/>
      <c r="I174" s="71"/>
      <c r="J174" s="150"/>
      <c r="K174" s="181" t="s">
        <v>197</v>
      </c>
      <c r="L174" s="71"/>
      <c r="M174" s="71"/>
      <c r="N174" s="71"/>
      <c r="O174" s="71"/>
      <c r="P174" s="96">
        <v>300.0</v>
      </c>
      <c r="Q174" s="71"/>
      <c r="R174" s="126"/>
      <c r="S174" s="71"/>
      <c r="T174" s="150"/>
    </row>
    <row r="175">
      <c r="A175" s="150"/>
      <c r="B175" s="184"/>
      <c r="C175" s="71"/>
      <c r="D175" s="71"/>
      <c r="E175" s="71"/>
      <c r="F175" s="71"/>
      <c r="G175" s="71"/>
      <c r="H175" s="71"/>
      <c r="I175" s="71"/>
      <c r="J175" s="150"/>
      <c r="K175" s="181" t="s">
        <v>198</v>
      </c>
      <c r="L175" s="71"/>
      <c r="M175" s="71"/>
      <c r="N175" s="71"/>
      <c r="O175" s="71"/>
      <c r="P175" s="96">
        <v>300.0</v>
      </c>
      <c r="Q175" s="71"/>
      <c r="R175" s="126"/>
      <c r="S175" s="71"/>
      <c r="T175" s="150"/>
    </row>
    <row r="176">
      <c r="A176" s="150"/>
      <c r="B176" s="184"/>
      <c r="C176" s="71"/>
      <c r="D176" s="71"/>
      <c r="E176" s="71"/>
      <c r="F176" s="71"/>
      <c r="G176" s="71"/>
      <c r="H176" s="71"/>
      <c r="I176" s="71"/>
      <c r="J176" s="150"/>
      <c r="K176" s="181" t="s">
        <v>199</v>
      </c>
      <c r="L176" s="71"/>
      <c r="M176" s="71"/>
      <c r="N176" s="71"/>
      <c r="O176" s="71"/>
      <c r="P176" s="96">
        <f>Sheet2!F1</f>
        <v>3600</v>
      </c>
      <c r="Q176" s="71"/>
      <c r="R176" s="126"/>
      <c r="S176" s="71"/>
      <c r="T176" s="150"/>
    </row>
    <row r="177">
      <c r="A177" s="150"/>
      <c r="B177" s="184"/>
      <c r="C177" s="71"/>
      <c r="D177" s="71"/>
      <c r="E177" s="71"/>
      <c r="F177" s="71"/>
      <c r="G177" s="71"/>
      <c r="H177" s="71"/>
      <c r="I177" s="71"/>
      <c r="J177" s="150"/>
      <c r="K177" s="181" t="s">
        <v>200</v>
      </c>
      <c r="L177" s="71"/>
      <c r="M177" s="71"/>
      <c r="N177" s="71"/>
      <c r="O177" s="71"/>
      <c r="P177" s="96"/>
      <c r="Q177" s="71"/>
      <c r="R177" s="126"/>
      <c r="S177" s="71"/>
      <c r="T177" s="150"/>
    </row>
    <row r="178">
      <c r="A178" s="198"/>
      <c r="B178" s="1"/>
      <c r="C178" s="1"/>
      <c r="D178" s="1"/>
      <c r="E178" s="1"/>
      <c r="F178" s="199"/>
      <c r="G178" s="150"/>
      <c r="H178" s="151"/>
      <c r="I178" s="151"/>
      <c r="J178" s="150"/>
      <c r="K178" s="150"/>
      <c r="L178" s="150"/>
      <c r="M178" s="150"/>
      <c r="N178" s="198"/>
      <c r="O178" s="1"/>
      <c r="P178" s="1"/>
      <c r="Q178" s="1"/>
      <c r="R178" s="1"/>
      <c r="S178" s="1"/>
      <c r="T178" s="199"/>
    </row>
    <row r="179">
      <c r="A179" s="198"/>
      <c r="B179" s="1"/>
      <c r="C179" s="1"/>
      <c r="D179" s="1"/>
      <c r="E179" s="1"/>
      <c r="F179" s="199"/>
      <c r="G179" s="150"/>
      <c r="H179" s="189" t="s">
        <v>153</v>
      </c>
      <c r="I179" s="154"/>
      <c r="J179" s="154"/>
      <c r="K179" s="154"/>
      <c r="L179" s="154"/>
      <c r="M179" s="155"/>
      <c r="N179" s="198"/>
      <c r="O179" s="1"/>
      <c r="P179" s="1"/>
      <c r="Q179" s="1"/>
      <c r="R179" s="1"/>
      <c r="S179" s="1"/>
      <c r="T179" s="199"/>
    </row>
    <row r="180">
      <c r="A180" s="150"/>
      <c r="B180" s="200"/>
      <c r="C180" s="200"/>
      <c r="D180" s="200"/>
      <c r="E180" s="200"/>
      <c r="F180" s="150"/>
      <c r="G180" s="150"/>
      <c r="H180" s="161"/>
      <c r="I180" s="162"/>
      <c r="J180" s="162"/>
      <c r="K180" s="162"/>
      <c r="L180" s="162"/>
      <c r="M180" s="163"/>
      <c r="N180" s="150"/>
      <c r="O180" s="200"/>
      <c r="P180" s="200"/>
      <c r="Q180" s="200"/>
      <c r="R180" s="200"/>
      <c r="S180" s="200"/>
      <c r="T180" s="150"/>
    </row>
    <row r="181">
      <c r="A181" s="150"/>
      <c r="B181" s="150"/>
      <c r="C181" s="150"/>
      <c r="D181" s="150"/>
      <c r="E181" s="150"/>
      <c r="F181" s="150"/>
      <c r="G181" s="160"/>
      <c r="H181" s="168"/>
      <c r="I181" s="168"/>
      <c r="J181" s="160"/>
      <c r="K181" s="160"/>
      <c r="L181" s="160"/>
      <c r="M181" s="160"/>
      <c r="N181" s="150"/>
      <c r="O181" s="150"/>
      <c r="P181" s="150"/>
      <c r="Q181" s="150"/>
      <c r="R181" s="150"/>
      <c r="S181" s="150"/>
      <c r="T181" s="150"/>
    </row>
    <row r="182">
      <c r="A182" s="150"/>
      <c r="B182" s="150"/>
      <c r="C182" s="150"/>
      <c r="D182" s="150"/>
      <c r="E182" s="150"/>
      <c r="F182" s="198"/>
      <c r="G182" s="10" t="s">
        <v>201</v>
      </c>
      <c r="H182" s="75"/>
      <c r="I182" s="201">
        <f>countif($R$130:$R$172,"Khorne")</f>
        <v>0</v>
      </c>
      <c r="J182" s="31"/>
      <c r="K182" s="202" t="s">
        <v>202</v>
      </c>
      <c r="L182" s="75"/>
      <c r="M182" s="201">
        <f>countif(R130:R172,"Slaanesh")</f>
        <v>0</v>
      </c>
      <c r="N182" s="199"/>
      <c r="O182" s="150"/>
      <c r="P182" s="150"/>
      <c r="Q182" s="150"/>
      <c r="R182" s="150"/>
      <c r="S182" s="150"/>
      <c r="T182" s="150"/>
    </row>
    <row r="183">
      <c r="A183" s="150"/>
      <c r="B183" s="150"/>
      <c r="C183" s="150"/>
      <c r="D183" s="150"/>
      <c r="E183" s="150"/>
      <c r="F183" s="198"/>
      <c r="G183" s="1"/>
      <c r="H183" s="22"/>
      <c r="I183" s="203"/>
      <c r="J183" s="31"/>
      <c r="K183" s="31"/>
      <c r="L183" s="31"/>
      <c r="M183" s="31"/>
      <c r="N183" s="199"/>
      <c r="O183" s="150"/>
      <c r="P183" s="150"/>
      <c r="Q183" s="150"/>
      <c r="R183" s="150"/>
      <c r="S183" s="150"/>
      <c r="T183" s="150"/>
    </row>
    <row r="184">
      <c r="A184" s="150"/>
      <c r="B184" s="150"/>
      <c r="C184" s="150"/>
      <c r="D184" s="150"/>
      <c r="E184" s="150"/>
      <c r="F184" s="198"/>
      <c r="G184" s="1"/>
      <c r="H184" s="22"/>
      <c r="I184" s="202" t="s">
        <v>203</v>
      </c>
      <c r="J184" s="75"/>
      <c r="K184" s="201">
        <f>countif($R$130:$R$172,"Unaligned")</f>
        <v>0</v>
      </c>
      <c r="L184" s="31"/>
      <c r="M184" s="31"/>
      <c r="N184" s="199"/>
      <c r="O184" s="150"/>
      <c r="P184" s="150"/>
      <c r="Q184" s="150"/>
      <c r="R184" s="150"/>
      <c r="S184" s="150"/>
      <c r="T184" s="150"/>
    </row>
    <row r="185">
      <c r="A185" s="150"/>
      <c r="B185" s="150"/>
      <c r="C185" s="150"/>
      <c r="D185" s="150"/>
      <c r="E185" s="150"/>
      <c r="F185" s="198"/>
      <c r="G185" s="1"/>
      <c r="H185" s="22"/>
      <c r="I185" s="203"/>
      <c r="J185" s="31"/>
      <c r="K185" s="31"/>
      <c r="L185" s="31"/>
      <c r="M185" s="31"/>
      <c r="N185" s="199"/>
      <c r="O185" s="150"/>
      <c r="P185" s="150"/>
      <c r="Q185" s="150"/>
      <c r="R185" s="150"/>
      <c r="S185" s="150"/>
      <c r="T185" s="150"/>
    </row>
    <row r="186">
      <c r="A186" s="150"/>
      <c r="B186" s="150"/>
      <c r="C186" s="150"/>
      <c r="D186" s="150"/>
      <c r="E186" s="150"/>
      <c r="F186" s="198"/>
      <c r="G186" s="10" t="s">
        <v>204</v>
      </c>
      <c r="H186" s="75"/>
      <c r="I186" s="201">
        <f>countif($R$130:$R$172,"Nurgle")</f>
        <v>0</v>
      </c>
      <c r="J186" s="31"/>
      <c r="K186" s="202" t="s">
        <v>205</v>
      </c>
      <c r="L186" s="75"/>
      <c r="M186" s="201">
        <f>countif($R$130:$R$172,"Tzeentch")</f>
        <v>0</v>
      </c>
      <c r="N186" s="199"/>
      <c r="O186" s="150"/>
      <c r="P186" s="150"/>
      <c r="Q186" s="150"/>
      <c r="R186" s="150"/>
      <c r="S186" s="150"/>
      <c r="T186" s="150"/>
    </row>
    <row r="187">
      <c r="A187" s="150"/>
      <c r="B187" s="150"/>
      <c r="C187" s="150"/>
      <c r="D187" s="150"/>
      <c r="E187" s="150"/>
      <c r="F187" s="150"/>
      <c r="G187" s="200"/>
      <c r="H187" s="204"/>
      <c r="I187" s="204"/>
      <c r="J187" s="200"/>
      <c r="K187" s="200"/>
      <c r="L187" s="200"/>
      <c r="M187" s="200"/>
      <c r="N187" s="150"/>
      <c r="O187" s="150"/>
      <c r="P187" s="150"/>
      <c r="Q187" s="150"/>
      <c r="R187" s="150"/>
      <c r="S187" s="150"/>
      <c r="T187" s="150"/>
    </row>
    <row r="188">
      <c r="A188" s="150"/>
      <c r="B188" s="150"/>
      <c r="C188" s="150"/>
      <c r="D188" s="150"/>
      <c r="E188" s="150"/>
      <c r="F188" s="150"/>
      <c r="G188" s="150"/>
      <c r="H188" s="151"/>
      <c r="I188" s="205" t="s">
        <v>206</v>
      </c>
      <c r="J188" s="176"/>
      <c r="K188" s="176"/>
      <c r="L188" s="157"/>
      <c r="M188" s="150"/>
      <c r="N188" s="150"/>
      <c r="O188" s="150"/>
      <c r="P188" s="150"/>
      <c r="Q188" s="150"/>
      <c r="R188" s="150"/>
      <c r="S188" s="150"/>
      <c r="T188" s="150"/>
    </row>
    <row r="189">
      <c r="A189" s="150"/>
      <c r="B189" s="150"/>
      <c r="C189" s="150"/>
      <c r="D189" s="150"/>
      <c r="E189" s="150"/>
      <c r="F189" s="150"/>
      <c r="G189" s="150"/>
      <c r="H189" s="151"/>
      <c r="I189" s="206"/>
      <c r="J189" s="178"/>
      <c r="K189" s="178"/>
      <c r="L189" s="167"/>
      <c r="M189" s="150"/>
      <c r="N189" s="150"/>
      <c r="O189" s="150"/>
      <c r="P189" s="150"/>
      <c r="Q189" s="150"/>
      <c r="R189" s="150"/>
      <c r="S189" s="150"/>
      <c r="T189" s="150"/>
    </row>
    <row r="190">
      <c r="A190" s="150"/>
      <c r="B190" s="150"/>
      <c r="C190" s="150"/>
      <c r="D190" s="150"/>
      <c r="E190" s="150"/>
      <c r="F190" s="150"/>
      <c r="G190" s="150"/>
      <c r="H190" s="151"/>
      <c r="I190" s="187"/>
      <c r="J190" s="186"/>
      <c r="K190" s="186"/>
      <c r="L190" s="186"/>
      <c r="M190" s="150"/>
      <c r="N190" s="150"/>
      <c r="O190" s="150"/>
      <c r="P190" s="150"/>
      <c r="Q190" s="150"/>
      <c r="R190" s="150"/>
      <c r="S190" s="150"/>
      <c r="T190" s="150"/>
    </row>
    <row r="191">
      <c r="A191" s="150"/>
      <c r="B191" s="150"/>
      <c r="C191" s="150"/>
      <c r="D191" s="150"/>
      <c r="E191" s="150"/>
      <c r="F191" s="150"/>
      <c r="G191" s="150"/>
      <c r="H191" s="151"/>
      <c r="I191" s="151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</row>
    <row r="192">
      <c r="A192" s="150"/>
      <c r="B192" s="150"/>
      <c r="C192" s="150"/>
      <c r="D192" s="150"/>
      <c r="E192" s="150"/>
      <c r="F192" s="150"/>
      <c r="G192" s="150"/>
      <c r="H192" s="151"/>
      <c r="I192" s="151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</row>
    <row r="193">
      <c r="A193" s="150"/>
      <c r="B193" s="150"/>
      <c r="C193" s="150"/>
      <c r="D193" s="150"/>
      <c r="E193" s="150"/>
      <c r="F193" s="150"/>
      <c r="G193" s="150"/>
      <c r="H193" s="151"/>
      <c r="I193" s="151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</row>
    <row r="194">
      <c r="A194" s="150"/>
      <c r="B194" s="150"/>
      <c r="C194" s="150"/>
      <c r="D194" s="150"/>
      <c r="E194" s="150"/>
      <c r="F194" s="150"/>
      <c r="G194" s="150"/>
      <c r="H194" s="151"/>
      <c r="I194" s="151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</row>
    <row r="195">
      <c r="A195" s="150"/>
      <c r="B195" s="150"/>
      <c r="C195" s="150"/>
      <c r="D195" s="150"/>
      <c r="E195" s="150"/>
      <c r="F195" s="150"/>
      <c r="G195" s="150"/>
      <c r="H195" s="151"/>
      <c r="I195" s="151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</row>
    <row r="196">
      <c r="A196" s="150"/>
      <c r="B196" s="207" t="s">
        <v>207</v>
      </c>
      <c r="C196" s="176"/>
      <c r="D196" s="176"/>
      <c r="E196" s="176"/>
      <c r="F196" s="157"/>
      <c r="G196" s="150"/>
      <c r="H196" s="151"/>
      <c r="I196" s="208" t="s">
        <v>208</v>
      </c>
      <c r="J196" s="176"/>
      <c r="K196" s="176"/>
      <c r="L196" s="176"/>
      <c r="M196" s="157"/>
      <c r="N196" s="150"/>
      <c r="O196" s="150"/>
      <c r="P196" s="150"/>
      <c r="Q196" s="150"/>
      <c r="R196" s="150"/>
      <c r="S196" s="150"/>
      <c r="T196" s="150"/>
    </row>
    <row r="197">
      <c r="A197" s="150"/>
      <c r="B197" s="150"/>
      <c r="C197" s="150"/>
      <c r="D197" s="150"/>
      <c r="E197" s="150"/>
      <c r="F197" s="150"/>
      <c r="G197" s="150"/>
      <c r="H197" s="151"/>
      <c r="I197" s="151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</row>
    <row r="198">
      <c r="H198" s="209"/>
      <c r="I198" s="209"/>
    </row>
    <row r="199">
      <c r="H199" s="209"/>
      <c r="I199" s="209"/>
    </row>
    <row r="200">
      <c r="H200" s="209"/>
      <c r="I200" s="209"/>
    </row>
    <row r="201">
      <c r="A201" s="210" t="s">
        <v>209</v>
      </c>
      <c r="H201" s="209"/>
      <c r="I201" s="209"/>
    </row>
    <row r="202">
      <c r="A202" s="210" t="s">
        <v>210</v>
      </c>
      <c r="B202" s="210">
        <v>3.0</v>
      </c>
      <c r="H202" s="209"/>
      <c r="I202" s="209"/>
    </row>
    <row r="203">
      <c r="H203" s="209"/>
      <c r="I203" s="209"/>
    </row>
    <row r="204">
      <c r="H204" s="209"/>
      <c r="I204" s="209"/>
    </row>
    <row r="205">
      <c r="H205" s="209"/>
      <c r="I205" s="209"/>
    </row>
    <row r="206">
      <c r="H206" s="209"/>
      <c r="I206" s="209"/>
    </row>
    <row r="207">
      <c r="H207" s="209"/>
      <c r="I207" s="209"/>
    </row>
    <row r="208">
      <c r="H208" s="209"/>
      <c r="I208" s="209"/>
    </row>
    <row r="209">
      <c r="H209" s="209"/>
      <c r="I209" s="209"/>
    </row>
    <row r="210">
      <c r="H210" s="209"/>
      <c r="I210" s="209"/>
    </row>
    <row r="211">
      <c r="H211" s="209"/>
      <c r="I211" s="209"/>
    </row>
    <row r="212">
      <c r="H212" s="209"/>
      <c r="I212" s="209"/>
    </row>
    <row r="213">
      <c r="H213" s="209"/>
      <c r="I213" s="209"/>
    </row>
    <row r="214">
      <c r="H214" s="209"/>
      <c r="I214" s="209"/>
    </row>
    <row r="215">
      <c r="H215" s="209"/>
      <c r="I215" s="209"/>
    </row>
    <row r="216">
      <c r="H216" s="209"/>
      <c r="I216" s="209"/>
    </row>
    <row r="217">
      <c r="H217" s="209"/>
      <c r="I217" s="209"/>
    </row>
    <row r="218">
      <c r="H218" s="209"/>
      <c r="I218" s="209"/>
    </row>
    <row r="219">
      <c r="H219" s="209"/>
      <c r="I219" s="209"/>
    </row>
    <row r="220">
      <c r="H220" s="209"/>
      <c r="I220" s="209"/>
    </row>
    <row r="221">
      <c r="H221" s="209"/>
      <c r="I221" s="209"/>
    </row>
    <row r="222">
      <c r="H222" s="209"/>
      <c r="I222" s="209"/>
    </row>
    <row r="223">
      <c r="H223" s="209"/>
      <c r="I223" s="209"/>
    </row>
    <row r="224">
      <c r="H224" s="209"/>
      <c r="I224" s="209"/>
    </row>
    <row r="225">
      <c r="H225" s="209"/>
      <c r="I225" s="209"/>
    </row>
    <row r="226">
      <c r="H226" s="209"/>
      <c r="I226" s="209"/>
    </row>
    <row r="227">
      <c r="H227" s="209"/>
      <c r="I227" s="209"/>
    </row>
    <row r="228">
      <c r="H228" s="209"/>
      <c r="I228" s="209"/>
    </row>
    <row r="229">
      <c r="H229" s="209"/>
      <c r="I229" s="209"/>
    </row>
    <row r="230">
      <c r="H230" s="209"/>
      <c r="I230" s="209"/>
    </row>
    <row r="231">
      <c r="H231" s="209"/>
      <c r="I231" s="209"/>
    </row>
    <row r="232">
      <c r="H232" s="209"/>
      <c r="I232" s="209"/>
    </row>
    <row r="233">
      <c r="H233" s="209"/>
      <c r="I233" s="209"/>
    </row>
    <row r="234">
      <c r="H234" s="209"/>
      <c r="I234" s="209"/>
    </row>
    <row r="235">
      <c r="H235" s="209"/>
      <c r="I235" s="209"/>
    </row>
    <row r="236">
      <c r="H236" s="209"/>
      <c r="I236" s="209"/>
    </row>
    <row r="237">
      <c r="H237" s="209"/>
      <c r="I237" s="209"/>
    </row>
    <row r="238">
      <c r="H238" s="209"/>
      <c r="I238" s="209"/>
    </row>
    <row r="239">
      <c r="H239" s="209"/>
      <c r="I239" s="209"/>
    </row>
    <row r="240">
      <c r="H240" s="209"/>
      <c r="I240" s="209"/>
    </row>
    <row r="241">
      <c r="H241" s="209"/>
      <c r="I241" s="209"/>
    </row>
    <row r="242">
      <c r="H242" s="209"/>
      <c r="I242" s="209"/>
    </row>
    <row r="243">
      <c r="H243" s="209"/>
      <c r="I243" s="209"/>
    </row>
    <row r="244">
      <c r="H244" s="209"/>
      <c r="I244" s="209"/>
    </row>
    <row r="245">
      <c r="H245" s="209"/>
      <c r="I245" s="209"/>
    </row>
    <row r="246">
      <c r="H246" s="209"/>
      <c r="I246" s="209"/>
    </row>
    <row r="247">
      <c r="H247" s="209"/>
      <c r="I247" s="209"/>
    </row>
    <row r="248">
      <c r="H248" s="209"/>
      <c r="I248" s="209"/>
    </row>
    <row r="249">
      <c r="H249" s="209"/>
      <c r="I249" s="209"/>
    </row>
    <row r="250">
      <c r="H250" s="209"/>
      <c r="I250" s="209"/>
    </row>
    <row r="251">
      <c r="H251" s="209"/>
      <c r="I251" s="209"/>
    </row>
    <row r="252">
      <c r="H252" s="209"/>
      <c r="I252" s="209"/>
    </row>
    <row r="253">
      <c r="H253" s="209"/>
      <c r="I253" s="209"/>
    </row>
    <row r="254">
      <c r="H254" s="209"/>
      <c r="I254" s="209"/>
    </row>
    <row r="255">
      <c r="H255" s="209"/>
      <c r="I255" s="209"/>
    </row>
    <row r="256">
      <c r="H256" s="209"/>
      <c r="I256" s="209"/>
    </row>
    <row r="257">
      <c r="H257" s="209"/>
      <c r="I257" s="209"/>
    </row>
    <row r="258">
      <c r="H258" s="209"/>
      <c r="I258" s="209"/>
    </row>
    <row r="259">
      <c r="H259" s="209"/>
      <c r="I259" s="209"/>
    </row>
    <row r="260">
      <c r="H260" s="209"/>
      <c r="I260" s="209"/>
    </row>
    <row r="261">
      <c r="H261" s="209"/>
      <c r="I261" s="209"/>
    </row>
    <row r="262">
      <c r="H262" s="209"/>
      <c r="I262" s="209"/>
    </row>
    <row r="263">
      <c r="H263" s="209"/>
      <c r="I263" s="209"/>
    </row>
    <row r="264">
      <c r="H264" s="209"/>
      <c r="I264" s="209"/>
    </row>
    <row r="265">
      <c r="H265" s="209"/>
      <c r="I265" s="209"/>
    </row>
    <row r="266">
      <c r="H266" s="209"/>
      <c r="I266" s="209"/>
    </row>
    <row r="267">
      <c r="H267" s="209"/>
      <c r="I267" s="209"/>
    </row>
    <row r="268">
      <c r="H268" s="209"/>
      <c r="I268" s="209"/>
    </row>
    <row r="269">
      <c r="H269" s="209"/>
      <c r="I269" s="209"/>
    </row>
    <row r="270">
      <c r="H270" s="209"/>
      <c r="I270" s="209"/>
    </row>
    <row r="271">
      <c r="H271" s="209"/>
      <c r="I271" s="209"/>
    </row>
    <row r="272">
      <c r="H272" s="209"/>
      <c r="I272" s="209"/>
    </row>
    <row r="273">
      <c r="H273" s="209"/>
      <c r="I273" s="209"/>
    </row>
    <row r="274">
      <c r="H274" s="209"/>
      <c r="I274" s="209"/>
    </row>
    <row r="275">
      <c r="H275" s="209"/>
      <c r="I275" s="209"/>
    </row>
    <row r="276">
      <c r="H276" s="209"/>
      <c r="I276" s="209"/>
    </row>
    <row r="277">
      <c r="H277" s="209"/>
      <c r="I277" s="209"/>
    </row>
    <row r="278">
      <c r="H278" s="209"/>
      <c r="I278" s="209"/>
    </row>
    <row r="279">
      <c r="H279" s="209"/>
      <c r="I279" s="209"/>
    </row>
    <row r="280">
      <c r="H280" s="209"/>
      <c r="I280" s="209"/>
    </row>
    <row r="281">
      <c r="H281" s="209"/>
      <c r="I281" s="209"/>
    </row>
    <row r="282">
      <c r="H282" s="209"/>
      <c r="I282" s="209"/>
    </row>
    <row r="283">
      <c r="H283" s="209"/>
      <c r="I283" s="209"/>
    </row>
    <row r="284">
      <c r="H284" s="209"/>
      <c r="I284" s="209"/>
    </row>
    <row r="285">
      <c r="H285" s="209"/>
      <c r="I285" s="209"/>
    </row>
    <row r="286">
      <c r="H286" s="209"/>
      <c r="I286" s="209"/>
    </row>
    <row r="287">
      <c r="H287" s="209"/>
      <c r="I287" s="209"/>
    </row>
    <row r="288">
      <c r="H288" s="209"/>
      <c r="I288" s="209"/>
    </row>
    <row r="289">
      <c r="H289" s="209"/>
      <c r="I289" s="209"/>
    </row>
    <row r="290">
      <c r="H290" s="209"/>
      <c r="I290" s="209"/>
    </row>
    <row r="291">
      <c r="H291" s="209"/>
      <c r="I291" s="209"/>
    </row>
    <row r="292">
      <c r="H292" s="209"/>
      <c r="I292" s="209"/>
    </row>
    <row r="293">
      <c r="H293" s="209"/>
      <c r="I293" s="209"/>
    </row>
    <row r="294">
      <c r="H294" s="209"/>
      <c r="I294" s="209"/>
    </row>
    <row r="295">
      <c r="H295" s="209"/>
      <c r="I295" s="209"/>
    </row>
    <row r="296">
      <c r="H296" s="209"/>
      <c r="I296" s="209"/>
    </row>
    <row r="297">
      <c r="H297" s="209"/>
      <c r="I297" s="209"/>
    </row>
    <row r="298">
      <c r="H298" s="209"/>
      <c r="I298" s="209"/>
    </row>
    <row r="299">
      <c r="H299" s="209"/>
      <c r="I299" s="209"/>
    </row>
    <row r="300">
      <c r="H300" s="209"/>
      <c r="I300" s="209"/>
    </row>
    <row r="301">
      <c r="H301" s="209"/>
      <c r="I301" s="209"/>
    </row>
    <row r="302">
      <c r="H302" s="209"/>
      <c r="I302" s="209"/>
    </row>
    <row r="303">
      <c r="H303" s="209"/>
      <c r="I303" s="209"/>
    </row>
    <row r="304">
      <c r="H304" s="209"/>
      <c r="I304" s="209"/>
    </row>
    <row r="305">
      <c r="H305" s="209"/>
      <c r="I305" s="209"/>
    </row>
    <row r="306">
      <c r="H306" s="209"/>
      <c r="I306" s="209"/>
    </row>
    <row r="307">
      <c r="H307" s="209"/>
      <c r="I307" s="209"/>
    </row>
    <row r="308">
      <c r="H308" s="209"/>
      <c r="I308" s="209"/>
    </row>
    <row r="309">
      <c r="H309" s="209"/>
      <c r="I309" s="209"/>
    </row>
    <row r="310">
      <c r="H310" s="209"/>
      <c r="I310" s="209"/>
    </row>
    <row r="311">
      <c r="H311" s="209"/>
      <c r="I311" s="209"/>
    </row>
    <row r="312">
      <c r="H312" s="209"/>
      <c r="I312" s="209"/>
    </row>
    <row r="313">
      <c r="H313" s="209"/>
      <c r="I313" s="209"/>
    </row>
    <row r="314">
      <c r="H314" s="209"/>
      <c r="I314" s="209"/>
    </row>
    <row r="315">
      <c r="H315" s="209"/>
      <c r="I315" s="209"/>
    </row>
    <row r="316">
      <c r="H316" s="209"/>
      <c r="I316" s="209"/>
    </row>
    <row r="317">
      <c r="H317" s="209"/>
      <c r="I317" s="209"/>
    </row>
    <row r="318">
      <c r="H318" s="209"/>
      <c r="I318" s="209"/>
    </row>
    <row r="319">
      <c r="H319" s="209"/>
      <c r="I319" s="209"/>
    </row>
    <row r="320">
      <c r="H320" s="209"/>
      <c r="I320" s="209"/>
    </row>
    <row r="321">
      <c r="H321" s="209"/>
      <c r="I321" s="209"/>
    </row>
    <row r="322">
      <c r="H322" s="209"/>
      <c r="I322" s="209"/>
    </row>
    <row r="323">
      <c r="H323" s="209"/>
      <c r="I323" s="209"/>
    </row>
    <row r="324">
      <c r="H324" s="209"/>
      <c r="I324" s="209"/>
    </row>
    <row r="325">
      <c r="H325" s="209"/>
      <c r="I325" s="209"/>
    </row>
    <row r="326">
      <c r="H326" s="209"/>
      <c r="I326" s="209"/>
    </row>
    <row r="327">
      <c r="H327" s="209"/>
      <c r="I327" s="209"/>
    </row>
    <row r="328">
      <c r="H328" s="209"/>
      <c r="I328" s="209"/>
    </row>
    <row r="329">
      <c r="H329" s="209"/>
      <c r="I329" s="209"/>
    </row>
    <row r="330">
      <c r="H330" s="209"/>
      <c r="I330" s="209"/>
    </row>
    <row r="331">
      <c r="H331" s="209"/>
      <c r="I331" s="209"/>
    </row>
    <row r="332">
      <c r="H332" s="209"/>
      <c r="I332" s="209"/>
    </row>
    <row r="333">
      <c r="H333" s="209"/>
      <c r="I333" s="209"/>
    </row>
    <row r="334">
      <c r="H334" s="209"/>
      <c r="I334" s="209"/>
    </row>
    <row r="335">
      <c r="H335" s="209"/>
      <c r="I335" s="209"/>
    </row>
    <row r="336">
      <c r="H336" s="209"/>
      <c r="I336" s="209"/>
    </row>
    <row r="337">
      <c r="H337" s="209"/>
      <c r="I337" s="209"/>
    </row>
    <row r="338">
      <c r="H338" s="209"/>
      <c r="I338" s="209"/>
    </row>
    <row r="339">
      <c r="H339" s="209"/>
      <c r="I339" s="209"/>
    </row>
    <row r="340">
      <c r="H340" s="209"/>
      <c r="I340" s="209"/>
    </row>
    <row r="341">
      <c r="H341" s="209"/>
      <c r="I341" s="209"/>
    </row>
    <row r="342">
      <c r="H342" s="209"/>
      <c r="I342" s="209"/>
    </row>
    <row r="343">
      <c r="H343" s="209"/>
      <c r="I343" s="209"/>
    </row>
    <row r="344">
      <c r="H344" s="209"/>
      <c r="I344" s="209"/>
    </row>
    <row r="345">
      <c r="H345" s="209"/>
      <c r="I345" s="209"/>
    </row>
    <row r="346">
      <c r="H346" s="209"/>
      <c r="I346" s="209"/>
    </row>
    <row r="347">
      <c r="H347" s="209"/>
      <c r="I347" s="209"/>
    </row>
    <row r="348">
      <c r="H348" s="209"/>
      <c r="I348" s="209"/>
    </row>
    <row r="349">
      <c r="H349" s="209"/>
      <c r="I349" s="209"/>
    </row>
    <row r="350">
      <c r="H350" s="209"/>
      <c r="I350" s="209"/>
    </row>
    <row r="351">
      <c r="H351" s="209"/>
      <c r="I351" s="209"/>
    </row>
    <row r="352">
      <c r="H352" s="209"/>
      <c r="I352" s="209"/>
    </row>
    <row r="353">
      <c r="H353" s="209"/>
      <c r="I353" s="209"/>
    </row>
    <row r="354">
      <c r="H354" s="209"/>
      <c r="I354" s="209"/>
    </row>
    <row r="355">
      <c r="H355" s="209"/>
      <c r="I355" s="209"/>
    </row>
    <row r="356">
      <c r="H356" s="209"/>
      <c r="I356" s="209"/>
    </row>
    <row r="357">
      <c r="H357" s="209"/>
      <c r="I357" s="209"/>
    </row>
    <row r="358">
      <c r="H358" s="209"/>
      <c r="I358" s="209"/>
    </row>
    <row r="359">
      <c r="H359" s="209"/>
      <c r="I359" s="209"/>
    </row>
    <row r="360">
      <c r="H360" s="209"/>
      <c r="I360" s="209"/>
    </row>
    <row r="361">
      <c r="H361" s="209"/>
      <c r="I361" s="209"/>
    </row>
    <row r="362">
      <c r="H362" s="209"/>
      <c r="I362" s="209"/>
    </row>
    <row r="363">
      <c r="H363" s="209"/>
      <c r="I363" s="209"/>
    </row>
    <row r="364">
      <c r="H364" s="209"/>
      <c r="I364" s="209"/>
    </row>
    <row r="365">
      <c r="H365" s="209"/>
      <c r="I365" s="209"/>
    </row>
    <row r="366">
      <c r="H366" s="209"/>
      <c r="I366" s="209"/>
    </row>
    <row r="367">
      <c r="H367" s="209"/>
      <c r="I367" s="209"/>
    </row>
    <row r="368">
      <c r="H368" s="209"/>
      <c r="I368" s="209"/>
    </row>
    <row r="369">
      <c r="H369" s="209"/>
      <c r="I369" s="209"/>
    </row>
    <row r="370">
      <c r="H370" s="209"/>
      <c r="I370" s="209"/>
    </row>
    <row r="371">
      <c r="H371" s="209"/>
      <c r="I371" s="209"/>
    </row>
    <row r="372">
      <c r="H372" s="209"/>
      <c r="I372" s="209"/>
    </row>
    <row r="373">
      <c r="H373" s="209"/>
      <c r="I373" s="209"/>
    </row>
    <row r="374">
      <c r="H374" s="209"/>
      <c r="I374" s="209"/>
    </row>
    <row r="375">
      <c r="H375" s="209"/>
      <c r="I375" s="209"/>
    </row>
    <row r="376">
      <c r="H376" s="209"/>
      <c r="I376" s="209"/>
    </row>
    <row r="377">
      <c r="H377" s="209"/>
      <c r="I377" s="209"/>
    </row>
    <row r="378">
      <c r="H378" s="209"/>
      <c r="I378" s="209"/>
    </row>
    <row r="379">
      <c r="H379" s="209"/>
      <c r="I379" s="209"/>
    </row>
    <row r="380">
      <c r="H380" s="209"/>
      <c r="I380" s="209"/>
    </row>
    <row r="381">
      <c r="H381" s="209"/>
      <c r="I381" s="209"/>
    </row>
    <row r="382">
      <c r="H382" s="209"/>
      <c r="I382" s="209"/>
    </row>
    <row r="383">
      <c r="H383" s="209"/>
      <c r="I383" s="209"/>
    </row>
    <row r="384">
      <c r="H384" s="209"/>
      <c r="I384" s="209"/>
    </row>
    <row r="385">
      <c r="H385" s="209"/>
      <c r="I385" s="209"/>
    </row>
    <row r="386">
      <c r="H386" s="209"/>
      <c r="I386" s="209"/>
    </row>
    <row r="387">
      <c r="H387" s="209"/>
      <c r="I387" s="209"/>
    </row>
    <row r="388">
      <c r="H388" s="209"/>
      <c r="I388" s="209"/>
    </row>
    <row r="389">
      <c r="H389" s="209"/>
      <c r="I389" s="209"/>
    </row>
    <row r="390">
      <c r="H390" s="209"/>
      <c r="I390" s="209"/>
    </row>
    <row r="391">
      <c r="H391" s="209"/>
      <c r="I391" s="209"/>
    </row>
    <row r="392">
      <c r="H392" s="209"/>
      <c r="I392" s="209"/>
    </row>
    <row r="393">
      <c r="H393" s="209"/>
      <c r="I393" s="209"/>
    </row>
    <row r="394">
      <c r="H394" s="209"/>
      <c r="I394" s="209"/>
    </row>
    <row r="395">
      <c r="H395" s="209"/>
      <c r="I395" s="209"/>
    </row>
    <row r="396">
      <c r="H396" s="209"/>
      <c r="I396" s="209"/>
    </row>
    <row r="397">
      <c r="H397" s="209"/>
      <c r="I397" s="209"/>
    </row>
    <row r="398">
      <c r="H398" s="209"/>
      <c r="I398" s="209"/>
    </row>
    <row r="399">
      <c r="H399" s="209"/>
      <c r="I399" s="209"/>
    </row>
    <row r="400">
      <c r="H400" s="209"/>
      <c r="I400" s="209"/>
    </row>
    <row r="401">
      <c r="H401" s="209"/>
      <c r="I401" s="209"/>
    </row>
    <row r="402">
      <c r="H402" s="209"/>
      <c r="I402" s="209"/>
    </row>
    <row r="403">
      <c r="H403" s="209"/>
      <c r="I403" s="209"/>
    </row>
    <row r="404">
      <c r="H404" s="209"/>
      <c r="I404" s="209"/>
    </row>
    <row r="405">
      <c r="H405" s="209"/>
      <c r="I405" s="209"/>
    </row>
    <row r="406">
      <c r="H406" s="209"/>
      <c r="I406" s="209"/>
    </row>
    <row r="407">
      <c r="H407" s="209"/>
      <c r="I407" s="209"/>
    </row>
    <row r="408">
      <c r="H408" s="209"/>
      <c r="I408" s="209"/>
    </row>
    <row r="409">
      <c r="H409" s="209"/>
      <c r="I409" s="209"/>
    </row>
    <row r="410">
      <c r="H410" s="209"/>
      <c r="I410" s="209"/>
    </row>
    <row r="411">
      <c r="H411" s="209"/>
      <c r="I411" s="209"/>
    </row>
    <row r="412">
      <c r="H412" s="209"/>
      <c r="I412" s="209"/>
    </row>
    <row r="413">
      <c r="H413" s="209"/>
      <c r="I413" s="209"/>
    </row>
    <row r="414">
      <c r="H414" s="209"/>
      <c r="I414" s="209"/>
    </row>
    <row r="415">
      <c r="H415" s="209"/>
      <c r="I415" s="209"/>
    </row>
    <row r="416">
      <c r="H416" s="209"/>
      <c r="I416" s="209"/>
    </row>
    <row r="417">
      <c r="H417" s="209"/>
      <c r="I417" s="209"/>
    </row>
    <row r="418">
      <c r="H418" s="209"/>
      <c r="I418" s="209"/>
    </row>
    <row r="419">
      <c r="H419" s="209"/>
      <c r="I419" s="209"/>
    </row>
    <row r="420">
      <c r="H420" s="209"/>
      <c r="I420" s="209"/>
    </row>
    <row r="421">
      <c r="H421" s="209"/>
      <c r="I421" s="209"/>
    </row>
    <row r="422">
      <c r="H422" s="209"/>
      <c r="I422" s="209"/>
    </row>
    <row r="423">
      <c r="H423" s="209"/>
      <c r="I423" s="209"/>
    </row>
    <row r="424">
      <c r="H424" s="209"/>
      <c r="I424" s="209"/>
    </row>
    <row r="425">
      <c r="H425" s="209"/>
      <c r="I425" s="209"/>
    </row>
    <row r="426">
      <c r="H426" s="209"/>
      <c r="I426" s="209"/>
    </row>
    <row r="427">
      <c r="H427" s="209"/>
      <c r="I427" s="209"/>
    </row>
    <row r="428">
      <c r="H428" s="209"/>
      <c r="I428" s="209"/>
    </row>
    <row r="429">
      <c r="H429" s="209"/>
      <c r="I429" s="209"/>
    </row>
    <row r="430">
      <c r="H430" s="209"/>
      <c r="I430" s="209"/>
    </row>
    <row r="431">
      <c r="H431" s="209"/>
      <c r="I431" s="209"/>
    </row>
    <row r="432">
      <c r="H432" s="209"/>
      <c r="I432" s="209"/>
    </row>
    <row r="433">
      <c r="H433" s="209"/>
      <c r="I433" s="209"/>
    </row>
    <row r="434">
      <c r="H434" s="209"/>
      <c r="I434" s="209"/>
    </row>
    <row r="435">
      <c r="H435" s="209"/>
      <c r="I435" s="209"/>
    </row>
    <row r="436">
      <c r="H436" s="209"/>
      <c r="I436" s="209"/>
    </row>
    <row r="437">
      <c r="H437" s="209"/>
      <c r="I437" s="209"/>
    </row>
    <row r="438">
      <c r="H438" s="209"/>
      <c r="I438" s="209"/>
    </row>
    <row r="439">
      <c r="H439" s="209"/>
      <c r="I439" s="209"/>
    </row>
    <row r="440">
      <c r="H440" s="209"/>
      <c r="I440" s="209"/>
    </row>
    <row r="441">
      <c r="H441" s="209"/>
      <c r="I441" s="209"/>
    </row>
    <row r="442">
      <c r="H442" s="209"/>
      <c r="I442" s="209"/>
    </row>
    <row r="443">
      <c r="H443" s="209"/>
      <c r="I443" s="209"/>
    </row>
    <row r="444">
      <c r="H444" s="209"/>
      <c r="I444" s="209"/>
    </row>
    <row r="445">
      <c r="H445" s="209"/>
      <c r="I445" s="209"/>
    </row>
    <row r="446">
      <c r="H446" s="209"/>
      <c r="I446" s="209"/>
    </row>
    <row r="447">
      <c r="H447" s="209"/>
      <c r="I447" s="209"/>
    </row>
    <row r="448">
      <c r="H448" s="209"/>
      <c r="I448" s="209"/>
    </row>
    <row r="449">
      <c r="H449" s="209"/>
      <c r="I449" s="209"/>
    </row>
    <row r="450">
      <c r="H450" s="209"/>
      <c r="I450" s="209"/>
    </row>
    <row r="451">
      <c r="H451" s="209"/>
      <c r="I451" s="209"/>
    </row>
    <row r="452">
      <c r="H452" s="209"/>
      <c r="I452" s="209"/>
    </row>
    <row r="453">
      <c r="H453" s="209"/>
      <c r="I453" s="209"/>
    </row>
    <row r="454">
      <c r="H454" s="209"/>
      <c r="I454" s="209"/>
    </row>
    <row r="455">
      <c r="H455" s="209"/>
      <c r="I455" s="209"/>
    </row>
    <row r="456">
      <c r="H456" s="209"/>
      <c r="I456" s="209"/>
    </row>
    <row r="457">
      <c r="H457" s="209"/>
      <c r="I457" s="209"/>
    </row>
    <row r="458">
      <c r="H458" s="209"/>
      <c r="I458" s="209"/>
    </row>
    <row r="459">
      <c r="H459" s="209"/>
      <c r="I459" s="209"/>
    </row>
    <row r="460">
      <c r="H460" s="209"/>
      <c r="I460" s="209"/>
    </row>
    <row r="461">
      <c r="H461" s="209"/>
      <c r="I461" s="209"/>
    </row>
    <row r="462">
      <c r="H462" s="209"/>
      <c r="I462" s="209"/>
    </row>
    <row r="463">
      <c r="H463" s="209"/>
      <c r="I463" s="209"/>
    </row>
    <row r="464">
      <c r="H464" s="209"/>
      <c r="I464" s="209"/>
    </row>
    <row r="465">
      <c r="H465" s="209"/>
      <c r="I465" s="209"/>
    </row>
    <row r="466">
      <c r="H466" s="209"/>
      <c r="I466" s="209"/>
    </row>
    <row r="467">
      <c r="H467" s="209"/>
      <c r="I467" s="209"/>
    </row>
    <row r="468">
      <c r="H468" s="209"/>
      <c r="I468" s="209"/>
    </row>
    <row r="469">
      <c r="H469" s="209"/>
      <c r="I469" s="209"/>
    </row>
    <row r="470">
      <c r="H470" s="209"/>
      <c r="I470" s="209"/>
    </row>
    <row r="471">
      <c r="H471" s="209"/>
      <c r="I471" s="209"/>
    </row>
    <row r="472">
      <c r="H472" s="209"/>
      <c r="I472" s="209"/>
    </row>
    <row r="473">
      <c r="H473" s="209"/>
      <c r="I473" s="209"/>
    </row>
    <row r="474">
      <c r="H474" s="209"/>
      <c r="I474" s="209"/>
    </row>
    <row r="475">
      <c r="H475" s="209"/>
      <c r="I475" s="209"/>
    </row>
    <row r="476">
      <c r="H476" s="209"/>
      <c r="I476" s="209"/>
    </row>
    <row r="477">
      <c r="H477" s="209"/>
      <c r="I477" s="209"/>
    </row>
    <row r="478">
      <c r="H478" s="209"/>
      <c r="I478" s="209"/>
    </row>
    <row r="479">
      <c r="H479" s="209"/>
      <c r="I479" s="209"/>
    </row>
    <row r="480">
      <c r="H480" s="209"/>
      <c r="I480" s="209"/>
    </row>
    <row r="481">
      <c r="H481" s="209"/>
      <c r="I481" s="209"/>
    </row>
    <row r="482">
      <c r="H482" s="209"/>
      <c r="I482" s="209"/>
    </row>
    <row r="483">
      <c r="H483" s="209"/>
      <c r="I483" s="209"/>
    </row>
    <row r="484">
      <c r="H484" s="209"/>
      <c r="I484" s="209"/>
    </row>
    <row r="485">
      <c r="H485" s="209"/>
      <c r="I485" s="209"/>
    </row>
    <row r="486">
      <c r="H486" s="209"/>
      <c r="I486" s="209"/>
    </row>
    <row r="487">
      <c r="H487" s="209"/>
      <c r="I487" s="209"/>
    </row>
    <row r="488">
      <c r="H488" s="209"/>
      <c r="I488" s="209"/>
    </row>
    <row r="489">
      <c r="H489" s="209"/>
      <c r="I489" s="209"/>
    </row>
    <row r="490">
      <c r="H490" s="209"/>
      <c r="I490" s="209"/>
    </row>
    <row r="491">
      <c r="H491" s="209"/>
      <c r="I491" s="209"/>
    </row>
    <row r="492">
      <c r="H492" s="209"/>
      <c r="I492" s="209"/>
    </row>
    <row r="493">
      <c r="H493" s="209"/>
      <c r="I493" s="209"/>
    </row>
    <row r="494">
      <c r="H494" s="209"/>
      <c r="I494" s="209"/>
    </row>
    <row r="495">
      <c r="H495" s="209"/>
      <c r="I495" s="209"/>
    </row>
    <row r="496">
      <c r="H496" s="209"/>
      <c r="I496" s="209"/>
    </row>
    <row r="497">
      <c r="H497" s="209"/>
      <c r="I497" s="209"/>
    </row>
    <row r="498">
      <c r="H498" s="209"/>
      <c r="I498" s="209"/>
    </row>
    <row r="499">
      <c r="H499" s="209"/>
      <c r="I499" s="209"/>
    </row>
    <row r="500">
      <c r="H500" s="209"/>
      <c r="I500" s="209"/>
    </row>
    <row r="501">
      <c r="H501" s="209"/>
      <c r="I501" s="209"/>
    </row>
    <row r="502">
      <c r="H502" s="209"/>
      <c r="I502" s="209"/>
    </row>
    <row r="503">
      <c r="H503" s="209"/>
      <c r="I503" s="209"/>
    </row>
    <row r="504">
      <c r="H504" s="209"/>
      <c r="I504" s="209"/>
    </row>
    <row r="505">
      <c r="H505" s="209"/>
      <c r="I505" s="209"/>
    </row>
    <row r="506">
      <c r="H506" s="209"/>
      <c r="I506" s="209"/>
    </row>
    <row r="507">
      <c r="H507" s="209"/>
      <c r="I507" s="209"/>
    </row>
    <row r="508">
      <c r="H508" s="209"/>
      <c r="I508" s="209"/>
    </row>
    <row r="509">
      <c r="H509" s="209"/>
      <c r="I509" s="209"/>
    </row>
    <row r="510">
      <c r="H510" s="209"/>
      <c r="I510" s="209"/>
    </row>
    <row r="511">
      <c r="H511" s="209"/>
      <c r="I511" s="209"/>
    </row>
    <row r="512">
      <c r="H512" s="209"/>
      <c r="I512" s="209"/>
    </row>
    <row r="513">
      <c r="H513" s="209"/>
      <c r="I513" s="209"/>
    </row>
    <row r="514">
      <c r="H514" s="209"/>
      <c r="I514" s="209"/>
    </row>
    <row r="515">
      <c r="H515" s="209"/>
      <c r="I515" s="209"/>
    </row>
    <row r="516">
      <c r="H516" s="209"/>
      <c r="I516" s="209"/>
    </row>
    <row r="517">
      <c r="H517" s="209"/>
      <c r="I517" s="209"/>
    </row>
    <row r="518">
      <c r="H518" s="209"/>
      <c r="I518" s="209"/>
    </row>
    <row r="519">
      <c r="H519" s="209"/>
      <c r="I519" s="209"/>
    </row>
    <row r="520">
      <c r="H520" s="209"/>
      <c r="I520" s="209"/>
    </row>
    <row r="521">
      <c r="H521" s="209"/>
      <c r="I521" s="209"/>
    </row>
    <row r="522">
      <c r="H522" s="209"/>
      <c r="I522" s="209"/>
    </row>
    <row r="523">
      <c r="H523" s="209"/>
      <c r="I523" s="209"/>
    </row>
    <row r="524">
      <c r="H524" s="209"/>
      <c r="I524" s="209"/>
    </row>
    <row r="525">
      <c r="H525" s="209"/>
      <c r="I525" s="209"/>
    </row>
    <row r="526">
      <c r="H526" s="209"/>
      <c r="I526" s="209"/>
    </row>
    <row r="527">
      <c r="H527" s="209"/>
      <c r="I527" s="209"/>
    </row>
    <row r="528">
      <c r="H528" s="209"/>
      <c r="I528" s="209"/>
    </row>
    <row r="529">
      <c r="H529" s="209"/>
      <c r="I529" s="209"/>
    </row>
    <row r="530">
      <c r="H530" s="209"/>
      <c r="I530" s="209"/>
    </row>
    <row r="531">
      <c r="H531" s="209"/>
      <c r="I531" s="209"/>
    </row>
    <row r="532">
      <c r="H532" s="209"/>
      <c r="I532" s="209"/>
    </row>
    <row r="533">
      <c r="H533" s="209"/>
      <c r="I533" s="209"/>
    </row>
    <row r="534">
      <c r="H534" s="209"/>
      <c r="I534" s="209"/>
    </row>
    <row r="535">
      <c r="H535" s="209"/>
      <c r="I535" s="209"/>
    </row>
    <row r="536">
      <c r="H536" s="209"/>
      <c r="I536" s="209"/>
    </row>
    <row r="537">
      <c r="H537" s="209"/>
      <c r="I537" s="209"/>
    </row>
    <row r="538">
      <c r="H538" s="209"/>
      <c r="I538" s="209"/>
    </row>
    <row r="539">
      <c r="H539" s="209"/>
      <c r="I539" s="209"/>
    </row>
    <row r="540">
      <c r="H540" s="209"/>
      <c r="I540" s="209"/>
    </row>
    <row r="541">
      <c r="H541" s="209"/>
      <c r="I541" s="209"/>
    </row>
    <row r="542">
      <c r="H542" s="209"/>
      <c r="I542" s="209"/>
    </row>
    <row r="543">
      <c r="H543" s="209"/>
      <c r="I543" s="209"/>
    </row>
    <row r="544">
      <c r="H544" s="209"/>
      <c r="I544" s="209"/>
    </row>
    <row r="545">
      <c r="H545" s="209"/>
      <c r="I545" s="209"/>
    </row>
    <row r="546">
      <c r="H546" s="209"/>
      <c r="I546" s="209"/>
    </row>
    <row r="547">
      <c r="H547" s="209"/>
      <c r="I547" s="209"/>
    </row>
    <row r="548">
      <c r="H548" s="209"/>
      <c r="I548" s="209"/>
    </row>
    <row r="549">
      <c r="H549" s="209"/>
      <c r="I549" s="209"/>
    </row>
    <row r="550">
      <c r="H550" s="209"/>
      <c r="I550" s="209"/>
    </row>
    <row r="551">
      <c r="H551" s="209"/>
      <c r="I551" s="209"/>
    </row>
    <row r="552">
      <c r="H552" s="209"/>
      <c r="I552" s="209"/>
    </row>
    <row r="553">
      <c r="H553" s="209"/>
      <c r="I553" s="209"/>
    </row>
    <row r="554">
      <c r="H554" s="209"/>
      <c r="I554" s="209"/>
    </row>
    <row r="555">
      <c r="H555" s="209"/>
      <c r="I555" s="209"/>
    </row>
    <row r="556">
      <c r="H556" s="209"/>
      <c r="I556" s="209"/>
    </row>
    <row r="557">
      <c r="H557" s="209"/>
      <c r="I557" s="209"/>
    </row>
    <row r="558">
      <c r="H558" s="209"/>
      <c r="I558" s="209"/>
    </row>
    <row r="559">
      <c r="H559" s="209"/>
      <c r="I559" s="209"/>
    </row>
    <row r="560">
      <c r="H560" s="209"/>
      <c r="I560" s="209"/>
    </row>
    <row r="561">
      <c r="H561" s="209"/>
      <c r="I561" s="209"/>
    </row>
    <row r="562">
      <c r="H562" s="209"/>
      <c r="I562" s="209"/>
    </row>
    <row r="563">
      <c r="H563" s="209"/>
      <c r="I563" s="209"/>
    </row>
    <row r="564">
      <c r="H564" s="209"/>
      <c r="I564" s="209"/>
    </row>
    <row r="565">
      <c r="H565" s="209"/>
      <c r="I565" s="209"/>
    </row>
    <row r="566">
      <c r="H566" s="209"/>
      <c r="I566" s="209"/>
    </row>
    <row r="567">
      <c r="H567" s="209"/>
      <c r="I567" s="209"/>
    </row>
    <row r="568">
      <c r="H568" s="209"/>
      <c r="I568" s="209"/>
    </row>
    <row r="569">
      <c r="H569" s="209"/>
      <c r="I569" s="209"/>
    </row>
    <row r="570">
      <c r="H570" s="209"/>
      <c r="I570" s="209"/>
    </row>
    <row r="571">
      <c r="H571" s="209"/>
      <c r="I571" s="209"/>
    </row>
    <row r="572">
      <c r="H572" s="209"/>
      <c r="I572" s="209"/>
    </row>
    <row r="573">
      <c r="H573" s="209"/>
      <c r="I573" s="209"/>
    </row>
    <row r="574">
      <c r="H574" s="209"/>
      <c r="I574" s="209"/>
    </row>
    <row r="575">
      <c r="H575" s="209"/>
      <c r="I575" s="209"/>
    </row>
    <row r="576">
      <c r="H576" s="209"/>
      <c r="I576" s="209"/>
    </row>
    <row r="577">
      <c r="H577" s="209"/>
      <c r="I577" s="209"/>
    </row>
    <row r="578">
      <c r="H578" s="209"/>
      <c r="I578" s="209"/>
    </row>
    <row r="579">
      <c r="H579" s="209"/>
      <c r="I579" s="209"/>
    </row>
    <row r="580">
      <c r="H580" s="209"/>
      <c r="I580" s="209"/>
    </row>
    <row r="581">
      <c r="H581" s="209"/>
      <c r="I581" s="209"/>
    </row>
    <row r="582">
      <c r="H582" s="209"/>
      <c r="I582" s="209"/>
    </row>
    <row r="583">
      <c r="H583" s="209"/>
      <c r="I583" s="209"/>
    </row>
    <row r="584">
      <c r="H584" s="209"/>
      <c r="I584" s="209"/>
    </row>
    <row r="585">
      <c r="H585" s="209"/>
      <c r="I585" s="209"/>
    </row>
    <row r="586">
      <c r="H586" s="209"/>
      <c r="I586" s="209"/>
    </row>
    <row r="587">
      <c r="H587" s="209"/>
      <c r="I587" s="209"/>
    </row>
    <row r="588">
      <c r="H588" s="209"/>
      <c r="I588" s="209"/>
    </row>
    <row r="589">
      <c r="H589" s="209"/>
      <c r="I589" s="209"/>
    </row>
    <row r="590">
      <c r="H590" s="209"/>
      <c r="I590" s="209"/>
    </row>
    <row r="591">
      <c r="H591" s="209"/>
      <c r="I591" s="209"/>
    </row>
    <row r="592">
      <c r="H592" s="209"/>
      <c r="I592" s="209"/>
    </row>
    <row r="593">
      <c r="H593" s="209"/>
      <c r="I593" s="209"/>
    </row>
    <row r="594">
      <c r="H594" s="209"/>
      <c r="I594" s="209"/>
    </row>
    <row r="595">
      <c r="H595" s="209"/>
      <c r="I595" s="209"/>
    </row>
    <row r="596">
      <c r="H596" s="209"/>
      <c r="I596" s="209"/>
    </row>
    <row r="597">
      <c r="H597" s="209"/>
      <c r="I597" s="209"/>
    </row>
    <row r="598">
      <c r="H598" s="209"/>
      <c r="I598" s="209"/>
    </row>
    <row r="599">
      <c r="H599" s="209"/>
      <c r="I599" s="209"/>
    </row>
    <row r="600">
      <c r="H600" s="209"/>
      <c r="I600" s="209"/>
    </row>
    <row r="601">
      <c r="H601" s="209"/>
      <c r="I601" s="209"/>
    </row>
    <row r="602">
      <c r="H602" s="209"/>
      <c r="I602" s="209"/>
    </row>
    <row r="603">
      <c r="H603" s="209"/>
      <c r="I603" s="209"/>
    </row>
    <row r="604">
      <c r="H604" s="209"/>
      <c r="I604" s="209"/>
    </row>
    <row r="605">
      <c r="H605" s="209"/>
      <c r="I605" s="209"/>
    </row>
    <row r="606">
      <c r="H606" s="209"/>
      <c r="I606" s="209"/>
    </row>
    <row r="607">
      <c r="H607" s="209"/>
      <c r="I607" s="209"/>
    </row>
    <row r="608">
      <c r="H608" s="209"/>
      <c r="I608" s="209"/>
    </row>
    <row r="609">
      <c r="H609" s="209"/>
      <c r="I609" s="209"/>
    </row>
    <row r="610">
      <c r="H610" s="209"/>
      <c r="I610" s="209"/>
    </row>
    <row r="611">
      <c r="H611" s="209"/>
      <c r="I611" s="209"/>
    </row>
    <row r="612">
      <c r="H612" s="209"/>
      <c r="I612" s="209"/>
    </row>
    <row r="613">
      <c r="H613" s="209"/>
      <c r="I613" s="209"/>
    </row>
    <row r="614">
      <c r="H614" s="209"/>
      <c r="I614" s="209"/>
    </row>
    <row r="615">
      <c r="H615" s="209"/>
      <c r="I615" s="209"/>
    </row>
    <row r="616">
      <c r="H616" s="209"/>
      <c r="I616" s="209"/>
    </row>
    <row r="617">
      <c r="H617" s="209"/>
      <c r="I617" s="209"/>
    </row>
    <row r="618">
      <c r="H618" s="209"/>
      <c r="I618" s="209"/>
    </row>
    <row r="619">
      <c r="H619" s="209"/>
      <c r="I619" s="209"/>
    </row>
    <row r="620">
      <c r="H620" s="209"/>
      <c r="I620" s="209"/>
    </row>
    <row r="621">
      <c r="H621" s="209"/>
      <c r="I621" s="209"/>
    </row>
    <row r="622">
      <c r="H622" s="209"/>
      <c r="I622" s="209"/>
    </row>
    <row r="623">
      <c r="H623" s="209"/>
      <c r="I623" s="209"/>
    </row>
    <row r="624">
      <c r="H624" s="209"/>
      <c r="I624" s="209"/>
    </row>
    <row r="625">
      <c r="H625" s="209"/>
      <c r="I625" s="209"/>
    </row>
    <row r="626">
      <c r="H626" s="209"/>
      <c r="I626" s="209"/>
    </row>
    <row r="627">
      <c r="H627" s="209"/>
      <c r="I627" s="209"/>
    </row>
    <row r="628">
      <c r="H628" s="209"/>
      <c r="I628" s="209"/>
    </row>
    <row r="629">
      <c r="H629" s="209"/>
      <c r="I629" s="209"/>
    </row>
    <row r="630">
      <c r="H630" s="209"/>
      <c r="I630" s="209"/>
    </row>
    <row r="631">
      <c r="H631" s="209"/>
      <c r="I631" s="209"/>
    </row>
    <row r="632">
      <c r="H632" s="209"/>
      <c r="I632" s="209"/>
    </row>
    <row r="633">
      <c r="H633" s="209"/>
      <c r="I633" s="209"/>
    </row>
    <row r="634">
      <c r="H634" s="209"/>
      <c r="I634" s="209"/>
    </row>
    <row r="635">
      <c r="H635" s="209"/>
      <c r="I635" s="209"/>
    </row>
    <row r="636">
      <c r="H636" s="209"/>
      <c r="I636" s="209"/>
    </row>
    <row r="637">
      <c r="H637" s="209"/>
      <c r="I637" s="209"/>
    </row>
    <row r="638">
      <c r="H638" s="209"/>
      <c r="I638" s="209"/>
    </row>
    <row r="639">
      <c r="H639" s="209"/>
      <c r="I639" s="209"/>
    </row>
    <row r="640">
      <c r="H640" s="209"/>
      <c r="I640" s="209"/>
    </row>
    <row r="641">
      <c r="H641" s="209"/>
      <c r="I641" s="209"/>
    </row>
    <row r="642">
      <c r="H642" s="209"/>
      <c r="I642" s="209"/>
    </row>
    <row r="643">
      <c r="H643" s="209"/>
      <c r="I643" s="209"/>
    </row>
    <row r="644">
      <c r="H644" s="209"/>
      <c r="I644" s="209"/>
    </row>
    <row r="645">
      <c r="H645" s="209"/>
      <c r="I645" s="209"/>
    </row>
    <row r="646">
      <c r="H646" s="209"/>
      <c r="I646" s="209"/>
    </row>
    <row r="647">
      <c r="H647" s="209"/>
      <c r="I647" s="209"/>
    </row>
    <row r="648">
      <c r="H648" s="209"/>
      <c r="I648" s="209"/>
    </row>
    <row r="649">
      <c r="H649" s="209"/>
      <c r="I649" s="209"/>
    </row>
    <row r="650">
      <c r="H650" s="209"/>
      <c r="I650" s="209"/>
    </row>
    <row r="651">
      <c r="H651" s="209"/>
      <c r="I651" s="209"/>
    </row>
    <row r="652">
      <c r="H652" s="209"/>
      <c r="I652" s="209"/>
    </row>
    <row r="653">
      <c r="H653" s="209"/>
      <c r="I653" s="209"/>
    </row>
    <row r="654">
      <c r="H654" s="209"/>
      <c r="I654" s="209"/>
    </row>
    <row r="655">
      <c r="H655" s="209"/>
      <c r="I655" s="209"/>
    </row>
    <row r="656">
      <c r="H656" s="209"/>
      <c r="I656" s="209"/>
    </row>
    <row r="657">
      <c r="H657" s="209"/>
      <c r="I657" s="209"/>
    </row>
    <row r="658">
      <c r="H658" s="209"/>
      <c r="I658" s="209"/>
    </row>
    <row r="659">
      <c r="H659" s="209"/>
      <c r="I659" s="209"/>
    </row>
    <row r="660">
      <c r="H660" s="209"/>
      <c r="I660" s="209"/>
    </row>
    <row r="661">
      <c r="H661" s="209"/>
      <c r="I661" s="209"/>
    </row>
    <row r="662">
      <c r="H662" s="209"/>
      <c r="I662" s="209"/>
    </row>
    <row r="663">
      <c r="H663" s="209"/>
      <c r="I663" s="209"/>
    </row>
    <row r="664">
      <c r="H664" s="209"/>
      <c r="I664" s="209"/>
    </row>
    <row r="665">
      <c r="H665" s="209"/>
      <c r="I665" s="209"/>
    </row>
    <row r="666">
      <c r="H666" s="209"/>
      <c r="I666" s="209"/>
    </row>
    <row r="667">
      <c r="H667" s="209"/>
      <c r="I667" s="209"/>
    </row>
    <row r="668">
      <c r="H668" s="209"/>
      <c r="I668" s="209"/>
    </row>
    <row r="669">
      <c r="H669" s="209"/>
      <c r="I669" s="209"/>
    </row>
    <row r="670">
      <c r="H670" s="209"/>
      <c r="I670" s="209"/>
    </row>
    <row r="671">
      <c r="H671" s="209"/>
      <c r="I671" s="209"/>
    </row>
    <row r="672">
      <c r="H672" s="209"/>
      <c r="I672" s="209"/>
    </row>
    <row r="673">
      <c r="H673" s="209"/>
      <c r="I673" s="209"/>
    </row>
    <row r="674">
      <c r="H674" s="209"/>
      <c r="I674" s="209"/>
    </row>
    <row r="675">
      <c r="H675" s="209"/>
      <c r="I675" s="209"/>
    </row>
    <row r="676">
      <c r="H676" s="209"/>
      <c r="I676" s="209"/>
    </row>
    <row r="677">
      <c r="H677" s="209"/>
      <c r="I677" s="209"/>
    </row>
    <row r="678">
      <c r="H678" s="209"/>
      <c r="I678" s="209"/>
    </row>
    <row r="679">
      <c r="H679" s="209"/>
      <c r="I679" s="209"/>
    </row>
    <row r="680">
      <c r="H680" s="209"/>
      <c r="I680" s="209"/>
    </row>
    <row r="681">
      <c r="H681" s="209"/>
      <c r="I681" s="209"/>
    </row>
    <row r="682">
      <c r="H682" s="209"/>
      <c r="I682" s="209"/>
    </row>
    <row r="683">
      <c r="H683" s="209"/>
      <c r="I683" s="209"/>
    </row>
    <row r="684">
      <c r="H684" s="209"/>
      <c r="I684" s="209"/>
    </row>
    <row r="685">
      <c r="H685" s="209"/>
      <c r="I685" s="209"/>
    </row>
    <row r="686">
      <c r="H686" s="209"/>
      <c r="I686" s="209"/>
    </row>
    <row r="687">
      <c r="H687" s="209"/>
      <c r="I687" s="209"/>
    </row>
    <row r="688">
      <c r="H688" s="209"/>
      <c r="I688" s="209"/>
    </row>
    <row r="689">
      <c r="H689" s="209"/>
      <c r="I689" s="209"/>
    </row>
    <row r="690">
      <c r="H690" s="209"/>
      <c r="I690" s="209"/>
    </row>
    <row r="691">
      <c r="H691" s="209"/>
      <c r="I691" s="209"/>
    </row>
    <row r="692">
      <c r="H692" s="209"/>
      <c r="I692" s="209"/>
    </row>
    <row r="693">
      <c r="H693" s="209"/>
      <c r="I693" s="209"/>
    </row>
    <row r="694">
      <c r="H694" s="209"/>
      <c r="I694" s="209"/>
    </row>
    <row r="695">
      <c r="H695" s="209"/>
      <c r="I695" s="209"/>
    </row>
    <row r="696">
      <c r="H696" s="209"/>
      <c r="I696" s="209"/>
    </row>
    <row r="697">
      <c r="H697" s="209"/>
      <c r="I697" s="209"/>
    </row>
    <row r="698">
      <c r="H698" s="209"/>
      <c r="I698" s="209"/>
    </row>
    <row r="699">
      <c r="H699" s="209"/>
      <c r="I699" s="209"/>
    </row>
    <row r="700">
      <c r="H700" s="209"/>
      <c r="I700" s="209"/>
    </row>
    <row r="701">
      <c r="H701" s="209"/>
      <c r="I701" s="209"/>
    </row>
    <row r="702">
      <c r="H702" s="209"/>
      <c r="I702" s="209"/>
    </row>
    <row r="703">
      <c r="H703" s="209"/>
      <c r="I703" s="209"/>
    </row>
    <row r="704">
      <c r="H704" s="209"/>
      <c r="I704" s="209"/>
    </row>
    <row r="705">
      <c r="H705" s="209"/>
      <c r="I705" s="209"/>
    </row>
    <row r="706">
      <c r="H706" s="209"/>
      <c r="I706" s="209"/>
    </row>
    <row r="707">
      <c r="H707" s="209"/>
      <c r="I707" s="209"/>
    </row>
    <row r="708">
      <c r="H708" s="209"/>
      <c r="I708" s="209"/>
    </row>
    <row r="709">
      <c r="H709" s="209"/>
      <c r="I709" s="209"/>
    </row>
    <row r="710">
      <c r="H710" s="209"/>
      <c r="I710" s="209"/>
    </row>
    <row r="711">
      <c r="H711" s="209"/>
      <c r="I711" s="209"/>
    </row>
    <row r="712">
      <c r="H712" s="209"/>
      <c r="I712" s="209"/>
    </row>
    <row r="713">
      <c r="H713" s="209"/>
      <c r="I713" s="209"/>
    </row>
    <row r="714">
      <c r="H714" s="209"/>
      <c r="I714" s="209"/>
    </row>
    <row r="715">
      <c r="H715" s="209"/>
      <c r="I715" s="209"/>
    </row>
    <row r="716">
      <c r="H716" s="209"/>
      <c r="I716" s="209"/>
    </row>
    <row r="717">
      <c r="H717" s="209"/>
      <c r="I717" s="209"/>
    </row>
    <row r="718">
      <c r="H718" s="209"/>
      <c r="I718" s="209"/>
    </row>
    <row r="719">
      <c r="H719" s="209"/>
      <c r="I719" s="209"/>
    </row>
    <row r="720">
      <c r="H720" s="209"/>
      <c r="I720" s="209"/>
    </row>
    <row r="721">
      <c r="H721" s="209"/>
      <c r="I721" s="209"/>
    </row>
    <row r="722">
      <c r="H722" s="209"/>
      <c r="I722" s="209"/>
    </row>
    <row r="723">
      <c r="H723" s="209"/>
      <c r="I723" s="209"/>
    </row>
    <row r="724">
      <c r="H724" s="209"/>
      <c r="I724" s="209"/>
    </row>
    <row r="725">
      <c r="H725" s="209"/>
      <c r="I725" s="209"/>
    </row>
    <row r="726">
      <c r="H726" s="209"/>
      <c r="I726" s="209"/>
    </row>
    <row r="727">
      <c r="H727" s="209"/>
      <c r="I727" s="209"/>
    </row>
    <row r="728">
      <c r="H728" s="209"/>
      <c r="I728" s="209"/>
    </row>
    <row r="729">
      <c r="H729" s="209"/>
      <c r="I729" s="209"/>
    </row>
    <row r="730">
      <c r="H730" s="209"/>
      <c r="I730" s="209"/>
    </row>
    <row r="731">
      <c r="H731" s="209"/>
      <c r="I731" s="209"/>
    </row>
    <row r="732">
      <c r="H732" s="209"/>
      <c r="I732" s="209"/>
    </row>
    <row r="733">
      <c r="H733" s="209"/>
      <c r="I733" s="209"/>
    </row>
    <row r="734">
      <c r="H734" s="209"/>
      <c r="I734" s="209"/>
    </row>
    <row r="735">
      <c r="H735" s="209"/>
      <c r="I735" s="209"/>
    </row>
    <row r="736">
      <c r="H736" s="209"/>
      <c r="I736" s="209"/>
    </row>
    <row r="737">
      <c r="H737" s="209"/>
      <c r="I737" s="209"/>
    </row>
    <row r="738">
      <c r="H738" s="209"/>
      <c r="I738" s="209"/>
    </row>
    <row r="739">
      <c r="H739" s="209"/>
      <c r="I739" s="209"/>
    </row>
    <row r="740">
      <c r="H740" s="209"/>
      <c r="I740" s="209"/>
    </row>
    <row r="741">
      <c r="H741" s="209"/>
      <c r="I741" s="209"/>
    </row>
    <row r="742">
      <c r="H742" s="209"/>
      <c r="I742" s="209"/>
    </row>
    <row r="743">
      <c r="H743" s="209"/>
      <c r="I743" s="209"/>
    </row>
    <row r="744">
      <c r="H744" s="209"/>
      <c r="I744" s="209"/>
    </row>
    <row r="745">
      <c r="H745" s="209"/>
      <c r="I745" s="209"/>
    </row>
    <row r="746">
      <c r="H746" s="209"/>
      <c r="I746" s="209"/>
    </row>
    <row r="747">
      <c r="H747" s="209"/>
      <c r="I747" s="209"/>
    </row>
    <row r="748">
      <c r="H748" s="209"/>
      <c r="I748" s="209"/>
    </row>
    <row r="749">
      <c r="H749" s="209"/>
      <c r="I749" s="209"/>
    </row>
    <row r="750">
      <c r="H750" s="209"/>
      <c r="I750" s="209"/>
    </row>
    <row r="751">
      <c r="H751" s="209"/>
      <c r="I751" s="209"/>
    </row>
    <row r="752">
      <c r="H752" s="209"/>
      <c r="I752" s="209"/>
    </row>
    <row r="753">
      <c r="H753" s="209"/>
      <c r="I753" s="209"/>
    </row>
    <row r="754">
      <c r="H754" s="209"/>
      <c r="I754" s="209"/>
    </row>
    <row r="755">
      <c r="H755" s="209"/>
      <c r="I755" s="209"/>
    </row>
    <row r="756">
      <c r="H756" s="209"/>
      <c r="I756" s="209"/>
    </row>
    <row r="757">
      <c r="H757" s="209"/>
      <c r="I757" s="209"/>
    </row>
    <row r="758">
      <c r="H758" s="209"/>
      <c r="I758" s="209"/>
    </row>
    <row r="759">
      <c r="H759" s="209"/>
      <c r="I759" s="209"/>
    </row>
    <row r="760">
      <c r="H760" s="209"/>
      <c r="I760" s="209"/>
    </row>
    <row r="761">
      <c r="H761" s="209"/>
      <c r="I761" s="209"/>
    </row>
    <row r="762">
      <c r="H762" s="209"/>
      <c r="I762" s="209"/>
    </row>
    <row r="763">
      <c r="H763" s="209"/>
      <c r="I763" s="209"/>
    </row>
    <row r="764">
      <c r="H764" s="209"/>
      <c r="I764" s="209"/>
    </row>
    <row r="765">
      <c r="H765" s="209"/>
      <c r="I765" s="209"/>
    </row>
    <row r="766">
      <c r="H766" s="209"/>
      <c r="I766" s="209"/>
    </row>
    <row r="767">
      <c r="H767" s="209"/>
      <c r="I767" s="209"/>
    </row>
    <row r="768">
      <c r="H768" s="209"/>
      <c r="I768" s="209"/>
    </row>
    <row r="769">
      <c r="H769" s="209"/>
      <c r="I769" s="209"/>
    </row>
    <row r="770">
      <c r="H770" s="209"/>
      <c r="I770" s="209"/>
    </row>
    <row r="771">
      <c r="H771" s="209"/>
      <c r="I771" s="209"/>
    </row>
    <row r="772">
      <c r="H772" s="209"/>
      <c r="I772" s="209"/>
    </row>
    <row r="773">
      <c r="H773" s="209"/>
      <c r="I773" s="209"/>
    </row>
    <row r="774">
      <c r="H774" s="209"/>
      <c r="I774" s="209"/>
    </row>
    <row r="775">
      <c r="H775" s="209"/>
      <c r="I775" s="209"/>
    </row>
    <row r="776">
      <c r="H776" s="209"/>
      <c r="I776" s="209"/>
    </row>
    <row r="777">
      <c r="H777" s="209"/>
      <c r="I777" s="209"/>
    </row>
    <row r="778">
      <c r="H778" s="209"/>
      <c r="I778" s="209"/>
    </row>
    <row r="779">
      <c r="H779" s="209"/>
      <c r="I779" s="209"/>
    </row>
    <row r="780">
      <c r="H780" s="209"/>
      <c r="I780" s="209"/>
    </row>
    <row r="781">
      <c r="H781" s="209"/>
      <c r="I781" s="209"/>
    </row>
    <row r="782">
      <c r="H782" s="209"/>
      <c r="I782" s="209"/>
    </row>
    <row r="783">
      <c r="H783" s="209"/>
      <c r="I783" s="209"/>
    </row>
    <row r="784">
      <c r="H784" s="209"/>
      <c r="I784" s="209"/>
    </row>
    <row r="785">
      <c r="H785" s="209"/>
      <c r="I785" s="209"/>
    </row>
    <row r="786">
      <c r="H786" s="209"/>
      <c r="I786" s="209"/>
    </row>
    <row r="787">
      <c r="H787" s="209"/>
      <c r="I787" s="209"/>
    </row>
    <row r="788">
      <c r="H788" s="209"/>
      <c r="I788" s="209"/>
    </row>
    <row r="789">
      <c r="H789" s="209"/>
      <c r="I789" s="209"/>
    </row>
    <row r="790">
      <c r="H790" s="209"/>
      <c r="I790" s="209"/>
    </row>
    <row r="791">
      <c r="H791" s="209"/>
      <c r="I791" s="209"/>
    </row>
    <row r="792">
      <c r="H792" s="209"/>
      <c r="I792" s="209"/>
    </row>
    <row r="793">
      <c r="H793" s="209"/>
      <c r="I793" s="209"/>
    </row>
    <row r="794">
      <c r="H794" s="209"/>
      <c r="I794" s="209"/>
    </row>
    <row r="795">
      <c r="H795" s="209"/>
      <c r="I795" s="209"/>
    </row>
    <row r="796">
      <c r="H796" s="209"/>
      <c r="I796" s="209"/>
    </row>
    <row r="797">
      <c r="H797" s="209"/>
      <c r="I797" s="209"/>
    </row>
    <row r="798">
      <c r="H798" s="209"/>
      <c r="I798" s="209"/>
    </row>
    <row r="799">
      <c r="H799" s="209"/>
      <c r="I799" s="209"/>
    </row>
    <row r="800">
      <c r="H800" s="209"/>
      <c r="I800" s="209"/>
    </row>
    <row r="801">
      <c r="H801" s="209"/>
      <c r="I801" s="209"/>
    </row>
    <row r="802">
      <c r="H802" s="209"/>
      <c r="I802" s="209"/>
    </row>
    <row r="803">
      <c r="H803" s="209"/>
      <c r="I803" s="209"/>
    </row>
    <row r="804">
      <c r="H804" s="209"/>
      <c r="I804" s="209"/>
    </row>
    <row r="805">
      <c r="H805" s="209"/>
      <c r="I805" s="209"/>
    </row>
    <row r="806">
      <c r="H806" s="209"/>
      <c r="I806" s="209"/>
    </row>
    <row r="807">
      <c r="H807" s="209"/>
      <c r="I807" s="209"/>
    </row>
    <row r="808">
      <c r="H808" s="209"/>
      <c r="I808" s="209"/>
    </row>
    <row r="809">
      <c r="H809" s="209"/>
      <c r="I809" s="209"/>
    </row>
    <row r="810">
      <c r="H810" s="209"/>
      <c r="I810" s="209"/>
    </row>
    <row r="811">
      <c r="H811" s="209"/>
      <c r="I811" s="209"/>
    </row>
    <row r="812">
      <c r="H812" s="209"/>
      <c r="I812" s="209"/>
    </row>
    <row r="813">
      <c r="H813" s="209"/>
      <c r="I813" s="209"/>
    </row>
    <row r="814">
      <c r="H814" s="209"/>
      <c r="I814" s="209"/>
    </row>
    <row r="815">
      <c r="H815" s="209"/>
      <c r="I815" s="209"/>
    </row>
    <row r="816">
      <c r="H816" s="209"/>
      <c r="I816" s="209"/>
    </row>
    <row r="817">
      <c r="H817" s="209"/>
      <c r="I817" s="209"/>
    </row>
    <row r="818">
      <c r="H818" s="209"/>
      <c r="I818" s="209"/>
    </row>
    <row r="819">
      <c r="H819" s="209"/>
      <c r="I819" s="209"/>
    </row>
    <row r="820">
      <c r="H820" s="209"/>
      <c r="I820" s="209"/>
    </row>
    <row r="821">
      <c r="H821" s="209"/>
      <c r="I821" s="209"/>
    </row>
    <row r="822">
      <c r="H822" s="209"/>
      <c r="I822" s="209"/>
    </row>
    <row r="823">
      <c r="H823" s="209"/>
      <c r="I823" s="209"/>
    </row>
    <row r="824">
      <c r="H824" s="209"/>
      <c r="I824" s="209"/>
    </row>
    <row r="825">
      <c r="H825" s="209"/>
      <c r="I825" s="209"/>
    </row>
    <row r="826">
      <c r="H826" s="209"/>
      <c r="I826" s="209"/>
    </row>
    <row r="827">
      <c r="H827" s="209"/>
      <c r="I827" s="209"/>
    </row>
    <row r="828">
      <c r="H828" s="209"/>
      <c r="I828" s="209"/>
    </row>
    <row r="829">
      <c r="H829" s="209"/>
      <c r="I829" s="209"/>
    </row>
    <row r="830">
      <c r="H830" s="209"/>
      <c r="I830" s="209"/>
    </row>
    <row r="831">
      <c r="H831" s="209"/>
      <c r="I831" s="209"/>
    </row>
    <row r="832">
      <c r="H832" s="209"/>
      <c r="I832" s="209"/>
    </row>
    <row r="833">
      <c r="H833" s="209"/>
      <c r="I833" s="209"/>
    </row>
    <row r="834">
      <c r="H834" s="209"/>
      <c r="I834" s="209"/>
    </row>
    <row r="835">
      <c r="H835" s="209"/>
      <c r="I835" s="209"/>
    </row>
    <row r="836">
      <c r="H836" s="209"/>
      <c r="I836" s="209"/>
    </row>
    <row r="837">
      <c r="H837" s="209"/>
      <c r="I837" s="209"/>
    </row>
    <row r="838">
      <c r="H838" s="209"/>
      <c r="I838" s="209"/>
    </row>
    <row r="839">
      <c r="H839" s="209"/>
      <c r="I839" s="209"/>
    </row>
    <row r="840">
      <c r="H840" s="209"/>
      <c r="I840" s="209"/>
    </row>
    <row r="841">
      <c r="H841" s="209"/>
      <c r="I841" s="209"/>
    </row>
    <row r="842">
      <c r="H842" s="209"/>
      <c r="I842" s="209"/>
    </row>
    <row r="843">
      <c r="H843" s="209"/>
      <c r="I843" s="209"/>
    </row>
    <row r="844">
      <c r="H844" s="209"/>
      <c r="I844" s="209"/>
    </row>
    <row r="845">
      <c r="H845" s="209"/>
      <c r="I845" s="209"/>
    </row>
    <row r="846">
      <c r="H846" s="209"/>
      <c r="I846" s="209"/>
    </row>
    <row r="847">
      <c r="H847" s="209"/>
      <c r="I847" s="209"/>
    </row>
    <row r="848">
      <c r="H848" s="209"/>
      <c r="I848" s="209"/>
    </row>
    <row r="849">
      <c r="H849" s="209"/>
      <c r="I849" s="209"/>
    </row>
    <row r="850">
      <c r="H850" s="209"/>
      <c r="I850" s="209"/>
    </row>
    <row r="851">
      <c r="H851" s="209"/>
      <c r="I851" s="209"/>
    </row>
    <row r="852">
      <c r="H852" s="209"/>
      <c r="I852" s="209"/>
    </row>
    <row r="853">
      <c r="H853" s="209"/>
      <c r="I853" s="209"/>
    </row>
    <row r="854">
      <c r="H854" s="209"/>
      <c r="I854" s="209"/>
    </row>
    <row r="855">
      <c r="H855" s="209"/>
      <c r="I855" s="209"/>
    </row>
    <row r="856">
      <c r="H856" s="209"/>
      <c r="I856" s="209"/>
    </row>
    <row r="857">
      <c r="H857" s="209"/>
      <c r="I857" s="209"/>
    </row>
    <row r="858">
      <c r="H858" s="209"/>
      <c r="I858" s="209"/>
    </row>
    <row r="859">
      <c r="H859" s="209"/>
      <c r="I859" s="209"/>
    </row>
    <row r="860">
      <c r="H860" s="209"/>
      <c r="I860" s="209"/>
    </row>
    <row r="861">
      <c r="H861" s="209"/>
      <c r="I861" s="209"/>
    </row>
    <row r="862">
      <c r="H862" s="209"/>
      <c r="I862" s="209"/>
    </row>
    <row r="863">
      <c r="H863" s="209"/>
      <c r="I863" s="209"/>
    </row>
    <row r="864">
      <c r="H864" s="209"/>
      <c r="I864" s="209"/>
    </row>
    <row r="865">
      <c r="H865" s="209"/>
      <c r="I865" s="209"/>
    </row>
    <row r="866">
      <c r="H866" s="209"/>
      <c r="I866" s="209"/>
    </row>
    <row r="867">
      <c r="H867" s="209"/>
      <c r="I867" s="209"/>
    </row>
    <row r="868">
      <c r="H868" s="209"/>
      <c r="I868" s="209"/>
    </row>
    <row r="869">
      <c r="H869" s="209"/>
      <c r="I869" s="209"/>
    </row>
    <row r="870">
      <c r="H870" s="209"/>
      <c r="I870" s="209"/>
    </row>
    <row r="871">
      <c r="H871" s="209"/>
      <c r="I871" s="209"/>
    </row>
    <row r="872">
      <c r="H872" s="209"/>
      <c r="I872" s="209"/>
    </row>
    <row r="873">
      <c r="H873" s="209"/>
      <c r="I873" s="209"/>
    </row>
    <row r="874">
      <c r="H874" s="209"/>
      <c r="I874" s="209"/>
    </row>
    <row r="875">
      <c r="H875" s="209"/>
      <c r="I875" s="209"/>
    </row>
    <row r="876">
      <c r="H876" s="209"/>
      <c r="I876" s="209"/>
    </row>
    <row r="877">
      <c r="H877" s="209"/>
      <c r="I877" s="209"/>
    </row>
    <row r="878">
      <c r="H878" s="209"/>
      <c r="I878" s="209"/>
    </row>
    <row r="879">
      <c r="H879" s="209"/>
      <c r="I879" s="209"/>
    </row>
    <row r="880">
      <c r="H880" s="209"/>
      <c r="I880" s="209"/>
    </row>
    <row r="881">
      <c r="H881" s="209"/>
      <c r="I881" s="209"/>
    </row>
    <row r="882">
      <c r="H882" s="209"/>
      <c r="I882" s="209"/>
    </row>
    <row r="883">
      <c r="H883" s="209"/>
      <c r="I883" s="209"/>
    </row>
    <row r="884">
      <c r="H884" s="209"/>
      <c r="I884" s="209"/>
    </row>
    <row r="885">
      <c r="H885" s="209"/>
      <c r="I885" s="209"/>
    </row>
    <row r="886">
      <c r="H886" s="209"/>
      <c r="I886" s="209"/>
    </row>
    <row r="887">
      <c r="H887" s="209"/>
      <c r="I887" s="209"/>
    </row>
    <row r="888">
      <c r="H888" s="209"/>
      <c r="I888" s="209"/>
    </row>
    <row r="889">
      <c r="H889" s="209"/>
      <c r="I889" s="209"/>
    </row>
    <row r="890">
      <c r="H890" s="209"/>
      <c r="I890" s="209"/>
    </row>
    <row r="891">
      <c r="H891" s="209"/>
      <c r="I891" s="209"/>
    </row>
    <row r="892">
      <c r="H892" s="209"/>
      <c r="I892" s="209"/>
    </row>
    <row r="893">
      <c r="H893" s="209"/>
      <c r="I893" s="209"/>
    </row>
    <row r="894">
      <c r="H894" s="209"/>
      <c r="I894" s="209"/>
    </row>
    <row r="895">
      <c r="H895" s="209"/>
      <c r="I895" s="209"/>
    </row>
    <row r="896">
      <c r="H896" s="209"/>
      <c r="I896" s="209"/>
    </row>
    <row r="897">
      <c r="H897" s="209"/>
      <c r="I897" s="209"/>
    </row>
    <row r="898">
      <c r="H898" s="209"/>
      <c r="I898" s="209"/>
    </row>
    <row r="899">
      <c r="H899" s="209"/>
      <c r="I899" s="209"/>
    </row>
    <row r="900">
      <c r="H900" s="209"/>
      <c r="I900" s="209"/>
    </row>
    <row r="901">
      <c r="H901" s="209"/>
      <c r="I901" s="209"/>
    </row>
    <row r="902">
      <c r="H902" s="209"/>
      <c r="I902" s="209"/>
    </row>
    <row r="903">
      <c r="H903" s="209"/>
      <c r="I903" s="209"/>
    </row>
    <row r="904">
      <c r="H904" s="209"/>
      <c r="I904" s="209"/>
    </row>
    <row r="905">
      <c r="H905" s="209"/>
      <c r="I905" s="209"/>
    </row>
    <row r="906">
      <c r="H906" s="209"/>
      <c r="I906" s="209"/>
    </row>
    <row r="907">
      <c r="H907" s="209"/>
      <c r="I907" s="209"/>
    </row>
    <row r="908">
      <c r="H908" s="209"/>
      <c r="I908" s="209"/>
    </row>
    <row r="909">
      <c r="H909" s="209"/>
      <c r="I909" s="209"/>
    </row>
    <row r="910">
      <c r="H910" s="209"/>
      <c r="I910" s="209"/>
    </row>
    <row r="911">
      <c r="H911" s="209"/>
      <c r="I911" s="209"/>
    </row>
    <row r="912">
      <c r="H912" s="209"/>
      <c r="I912" s="209"/>
    </row>
    <row r="913">
      <c r="H913" s="209"/>
      <c r="I913" s="209"/>
    </row>
    <row r="914">
      <c r="H914" s="209"/>
      <c r="I914" s="209"/>
    </row>
    <row r="915">
      <c r="H915" s="209"/>
      <c r="I915" s="209"/>
    </row>
    <row r="916">
      <c r="H916" s="209"/>
      <c r="I916" s="209"/>
    </row>
    <row r="917">
      <c r="H917" s="209"/>
      <c r="I917" s="209"/>
    </row>
    <row r="918">
      <c r="H918" s="209"/>
      <c r="I918" s="209"/>
    </row>
    <row r="919">
      <c r="H919" s="209"/>
      <c r="I919" s="209"/>
    </row>
    <row r="920">
      <c r="H920" s="209"/>
      <c r="I920" s="209"/>
    </row>
    <row r="921">
      <c r="H921" s="209"/>
      <c r="I921" s="209"/>
    </row>
    <row r="922">
      <c r="H922" s="209"/>
      <c r="I922" s="209"/>
    </row>
    <row r="923">
      <c r="H923" s="209"/>
      <c r="I923" s="209"/>
    </row>
    <row r="924">
      <c r="H924" s="209"/>
      <c r="I924" s="209"/>
    </row>
    <row r="925">
      <c r="H925" s="209"/>
      <c r="I925" s="209"/>
    </row>
    <row r="926">
      <c r="H926" s="209"/>
      <c r="I926" s="209"/>
    </row>
    <row r="927">
      <c r="H927" s="209"/>
      <c r="I927" s="209"/>
    </row>
    <row r="928">
      <c r="H928" s="209"/>
      <c r="I928" s="209"/>
    </row>
    <row r="929">
      <c r="H929" s="209"/>
      <c r="I929" s="209"/>
    </row>
    <row r="930">
      <c r="H930" s="209"/>
      <c r="I930" s="209"/>
    </row>
    <row r="931">
      <c r="H931" s="209"/>
      <c r="I931" s="209"/>
    </row>
    <row r="932">
      <c r="H932" s="209"/>
      <c r="I932" s="209"/>
    </row>
    <row r="933">
      <c r="H933" s="209"/>
      <c r="I933" s="209"/>
    </row>
    <row r="934">
      <c r="H934" s="209"/>
      <c r="I934" s="209"/>
    </row>
    <row r="935">
      <c r="H935" s="209"/>
      <c r="I935" s="209"/>
    </row>
    <row r="936">
      <c r="H936" s="209"/>
      <c r="I936" s="209"/>
    </row>
    <row r="937">
      <c r="H937" s="209"/>
      <c r="I937" s="209"/>
    </row>
    <row r="938">
      <c r="H938" s="209"/>
      <c r="I938" s="209"/>
    </row>
    <row r="939">
      <c r="H939" s="209"/>
      <c r="I939" s="209"/>
    </row>
    <row r="940">
      <c r="H940" s="209"/>
      <c r="I940" s="209"/>
    </row>
    <row r="941">
      <c r="H941" s="209"/>
      <c r="I941" s="209"/>
    </row>
    <row r="942">
      <c r="H942" s="209"/>
      <c r="I942" s="209"/>
    </row>
    <row r="943">
      <c r="H943" s="209"/>
      <c r="I943" s="209"/>
    </row>
    <row r="944">
      <c r="H944" s="209"/>
      <c r="I944" s="209"/>
    </row>
    <row r="945">
      <c r="H945" s="209"/>
      <c r="I945" s="209"/>
    </row>
    <row r="946">
      <c r="H946" s="209"/>
      <c r="I946" s="209"/>
    </row>
    <row r="947">
      <c r="H947" s="209"/>
      <c r="I947" s="209"/>
    </row>
    <row r="948">
      <c r="H948" s="209"/>
      <c r="I948" s="209"/>
    </row>
    <row r="949">
      <c r="H949" s="209"/>
      <c r="I949" s="209"/>
    </row>
    <row r="950">
      <c r="H950" s="209"/>
      <c r="I950" s="209"/>
    </row>
    <row r="951">
      <c r="H951" s="209"/>
      <c r="I951" s="209"/>
    </row>
    <row r="952">
      <c r="H952" s="209"/>
      <c r="I952" s="209"/>
    </row>
    <row r="953">
      <c r="H953" s="209"/>
      <c r="I953" s="209"/>
    </row>
    <row r="954">
      <c r="H954" s="209"/>
      <c r="I954" s="209"/>
    </row>
    <row r="955">
      <c r="H955" s="209"/>
      <c r="I955" s="209"/>
    </row>
    <row r="956">
      <c r="H956" s="209"/>
      <c r="I956" s="209"/>
    </row>
    <row r="957">
      <c r="H957" s="209"/>
      <c r="I957" s="209"/>
    </row>
    <row r="958">
      <c r="H958" s="209"/>
      <c r="I958" s="209"/>
    </row>
    <row r="959">
      <c r="H959" s="209"/>
      <c r="I959" s="209"/>
    </row>
    <row r="960">
      <c r="H960" s="209"/>
      <c r="I960" s="209"/>
    </row>
    <row r="961">
      <c r="H961" s="209"/>
      <c r="I961" s="209"/>
    </row>
    <row r="962">
      <c r="H962" s="209"/>
      <c r="I962" s="209"/>
    </row>
    <row r="963">
      <c r="H963" s="209"/>
      <c r="I963" s="209"/>
    </row>
    <row r="964">
      <c r="H964" s="209"/>
      <c r="I964" s="209"/>
    </row>
    <row r="965">
      <c r="H965" s="209"/>
      <c r="I965" s="209"/>
    </row>
    <row r="966">
      <c r="H966" s="209"/>
      <c r="I966" s="209"/>
    </row>
    <row r="967">
      <c r="H967" s="209"/>
      <c r="I967" s="209"/>
    </row>
    <row r="968">
      <c r="H968" s="209"/>
      <c r="I968" s="209"/>
    </row>
    <row r="969">
      <c r="H969" s="209"/>
      <c r="I969" s="209"/>
    </row>
    <row r="970">
      <c r="H970" s="209"/>
      <c r="I970" s="209"/>
    </row>
    <row r="971">
      <c r="H971" s="209"/>
      <c r="I971" s="209"/>
    </row>
    <row r="972">
      <c r="H972" s="209"/>
      <c r="I972" s="209"/>
    </row>
    <row r="973">
      <c r="H973" s="209"/>
      <c r="I973" s="209"/>
    </row>
    <row r="974">
      <c r="H974" s="209"/>
      <c r="I974" s="209"/>
    </row>
    <row r="975">
      <c r="H975" s="209"/>
      <c r="I975" s="209"/>
    </row>
    <row r="976">
      <c r="H976" s="209"/>
      <c r="I976" s="209"/>
    </row>
    <row r="977">
      <c r="H977" s="209"/>
      <c r="I977" s="209"/>
    </row>
    <row r="978">
      <c r="H978" s="209"/>
      <c r="I978" s="209"/>
    </row>
    <row r="979">
      <c r="H979" s="209"/>
      <c r="I979" s="209"/>
    </row>
    <row r="980">
      <c r="H980" s="209"/>
      <c r="I980" s="209"/>
    </row>
    <row r="981">
      <c r="H981" s="209"/>
      <c r="I981" s="209"/>
    </row>
    <row r="982">
      <c r="H982" s="209"/>
      <c r="I982" s="209"/>
    </row>
    <row r="983">
      <c r="H983" s="209"/>
      <c r="I983" s="209"/>
    </row>
    <row r="984">
      <c r="H984" s="209"/>
      <c r="I984" s="209"/>
    </row>
    <row r="985">
      <c r="H985" s="209"/>
      <c r="I985" s="209"/>
    </row>
    <row r="986">
      <c r="H986" s="209"/>
      <c r="I986" s="209"/>
    </row>
    <row r="987">
      <c r="H987" s="209"/>
      <c r="I987" s="209"/>
    </row>
    <row r="988">
      <c r="H988" s="209"/>
      <c r="I988" s="209"/>
    </row>
    <row r="989">
      <c r="H989" s="209"/>
      <c r="I989" s="209"/>
    </row>
    <row r="990">
      <c r="H990" s="209"/>
      <c r="I990" s="209"/>
    </row>
    <row r="991">
      <c r="H991" s="209"/>
      <c r="I991" s="209"/>
    </row>
    <row r="992">
      <c r="H992" s="209"/>
      <c r="I992" s="209"/>
    </row>
    <row r="993">
      <c r="H993" s="209"/>
      <c r="I993" s="209"/>
    </row>
    <row r="994">
      <c r="H994" s="209"/>
      <c r="I994" s="209"/>
    </row>
    <row r="995">
      <c r="H995" s="209"/>
      <c r="I995" s="209"/>
    </row>
    <row r="996">
      <c r="H996" s="209"/>
      <c r="I996" s="209"/>
    </row>
    <row r="997">
      <c r="H997" s="209"/>
      <c r="I997" s="209"/>
    </row>
    <row r="998">
      <c r="H998" s="209"/>
      <c r="I998" s="209"/>
    </row>
    <row r="999">
      <c r="H999" s="209"/>
      <c r="I999" s="209"/>
    </row>
    <row r="1000">
      <c r="H1000" s="209"/>
      <c r="I1000" s="209"/>
    </row>
    <row r="1001">
      <c r="H1001" s="209"/>
      <c r="I1001" s="209"/>
    </row>
    <row r="1002">
      <c r="H1002" s="209"/>
      <c r="I1002" s="209"/>
    </row>
    <row r="1003">
      <c r="H1003" s="209"/>
      <c r="I1003" s="209"/>
    </row>
    <row r="1004">
      <c r="H1004" s="209"/>
      <c r="I1004" s="209"/>
    </row>
    <row r="1005">
      <c r="H1005" s="209"/>
      <c r="I1005" s="209"/>
    </row>
    <row r="1006">
      <c r="H1006" s="209"/>
      <c r="I1006" s="209"/>
    </row>
    <row r="1007">
      <c r="H1007" s="209"/>
      <c r="I1007" s="209"/>
    </row>
    <row r="1008">
      <c r="H1008" s="209"/>
      <c r="I1008" s="209"/>
    </row>
    <row r="1009">
      <c r="H1009" s="209"/>
      <c r="I1009" s="209"/>
    </row>
    <row r="1010">
      <c r="H1010" s="209"/>
      <c r="I1010" s="209"/>
    </row>
    <row r="1011">
      <c r="H1011" s="209"/>
      <c r="I1011" s="209"/>
    </row>
    <row r="1012">
      <c r="H1012" s="209"/>
      <c r="I1012" s="209"/>
    </row>
    <row r="1013">
      <c r="H1013" s="209"/>
      <c r="I1013" s="209"/>
    </row>
    <row r="1014">
      <c r="H1014" s="209"/>
      <c r="I1014" s="209"/>
    </row>
    <row r="1015">
      <c r="H1015" s="209"/>
      <c r="I1015" s="209"/>
    </row>
    <row r="1016">
      <c r="H1016" s="209"/>
      <c r="I1016" s="209"/>
    </row>
    <row r="1017">
      <c r="H1017" s="209"/>
      <c r="I1017" s="209"/>
    </row>
    <row r="1018">
      <c r="H1018" s="209"/>
      <c r="I1018" s="209"/>
    </row>
    <row r="1019">
      <c r="H1019" s="209"/>
      <c r="I1019" s="209"/>
    </row>
    <row r="1020">
      <c r="H1020" s="209"/>
      <c r="I1020" s="209"/>
    </row>
    <row r="1021">
      <c r="H1021" s="209"/>
      <c r="I1021" s="209"/>
    </row>
    <row r="1022">
      <c r="H1022" s="209"/>
      <c r="I1022" s="209"/>
    </row>
    <row r="1023">
      <c r="H1023" s="209"/>
      <c r="I1023" s="209"/>
    </row>
    <row r="1024">
      <c r="H1024" s="209"/>
      <c r="I1024" s="209"/>
    </row>
    <row r="1025">
      <c r="H1025" s="209"/>
      <c r="I1025" s="209"/>
    </row>
    <row r="1026">
      <c r="H1026" s="209"/>
      <c r="I1026" s="209"/>
    </row>
    <row r="1027">
      <c r="H1027" s="209"/>
      <c r="I1027" s="209"/>
    </row>
    <row r="1028">
      <c r="H1028" s="209"/>
      <c r="I1028" s="209"/>
    </row>
    <row r="1029">
      <c r="H1029" s="209"/>
      <c r="I1029" s="209"/>
    </row>
    <row r="1030">
      <c r="H1030" s="209"/>
      <c r="I1030" s="209"/>
    </row>
    <row r="1031">
      <c r="H1031" s="209"/>
      <c r="I1031" s="209"/>
    </row>
    <row r="1032">
      <c r="H1032" s="209"/>
      <c r="I1032" s="209"/>
    </row>
    <row r="1033">
      <c r="H1033" s="209"/>
      <c r="I1033" s="209"/>
    </row>
    <row r="1034">
      <c r="H1034" s="209"/>
      <c r="I1034" s="209"/>
    </row>
    <row r="1035">
      <c r="H1035" s="209"/>
      <c r="I1035" s="209"/>
    </row>
    <row r="1036">
      <c r="H1036" s="209"/>
      <c r="I1036" s="209"/>
    </row>
    <row r="1037">
      <c r="H1037" s="209"/>
      <c r="I1037" s="209"/>
    </row>
    <row r="1038">
      <c r="H1038" s="209"/>
      <c r="I1038" s="209"/>
    </row>
    <row r="1039">
      <c r="H1039" s="209"/>
      <c r="I1039" s="209"/>
    </row>
    <row r="1040">
      <c r="H1040" s="209"/>
      <c r="I1040" s="209"/>
    </row>
    <row r="1041">
      <c r="H1041" s="209"/>
      <c r="I1041" s="209"/>
    </row>
    <row r="1042">
      <c r="H1042" s="209"/>
      <c r="I1042" s="209"/>
    </row>
    <row r="1043">
      <c r="H1043" s="209"/>
      <c r="I1043" s="209"/>
    </row>
    <row r="1044">
      <c r="H1044" s="209"/>
      <c r="I1044" s="209"/>
    </row>
    <row r="1045">
      <c r="H1045" s="209"/>
      <c r="I1045" s="209"/>
    </row>
    <row r="1046">
      <c r="H1046" s="209"/>
      <c r="I1046" s="209"/>
    </row>
    <row r="1047">
      <c r="H1047" s="209"/>
      <c r="I1047" s="209"/>
    </row>
    <row r="1048">
      <c r="H1048" s="209"/>
      <c r="I1048" s="209"/>
    </row>
    <row r="1049">
      <c r="H1049" s="209"/>
      <c r="I1049" s="209"/>
    </row>
    <row r="1050">
      <c r="H1050" s="209"/>
      <c r="I1050" s="209"/>
    </row>
    <row r="1051">
      <c r="H1051" s="209"/>
      <c r="I1051" s="209"/>
    </row>
    <row r="1052">
      <c r="H1052" s="209"/>
      <c r="I1052" s="209"/>
    </row>
    <row r="1053">
      <c r="H1053" s="209"/>
      <c r="I1053" s="209"/>
    </row>
    <row r="1054">
      <c r="H1054" s="209"/>
      <c r="I1054" s="209"/>
    </row>
    <row r="1055">
      <c r="H1055" s="209"/>
      <c r="I1055" s="209"/>
    </row>
    <row r="1056">
      <c r="H1056" s="209"/>
      <c r="I1056" s="209"/>
    </row>
    <row r="1057">
      <c r="H1057" s="209"/>
      <c r="I1057" s="209"/>
    </row>
    <row r="1058">
      <c r="H1058" s="209"/>
      <c r="I1058" s="209"/>
    </row>
    <row r="1059">
      <c r="H1059" s="209"/>
      <c r="I1059" s="209"/>
    </row>
    <row r="1060">
      <c r="H1060" s="209"/>
      <c r="I1060" s="209"/>
    </row>
    <row r="1061">
      <c r="H1061" s="209"/>
      <c r="I1061" s="209"/>
    </row>
    <row r="1062">
      <c r="H1062" s="209"/>
      <c r="I1062" s="209"/>
    </row>
    <row r="1063">
      <c r="H1063" s="209"/>
      <c r="I1063" s="209"/>
    </row>
    <row r="1064">
      <c r="H1064" s="209"/>
      <c r="I1064" s="209"/>
    </row>
    <row r="1065">
      <c r="H1065" s="209"/>
      <c r="I1065" s="209"/>
    </row>
    <row r="1066">
      <c r="H1066" s="209"/>
      <c r="I1066" s="209"/>
    </row>
    <row r="1067">
      <c r="H1067" s="209"/>
      <c r="I1067" s="209"/>
    </row>
    <row r="1068">
      <c r="H1068" s="209"/>
      <c r="I1068" s="209"/>
    </row>
    <row r="1069">
      <c r="H1069" s="209"/>
      <c r="I1069" s="209"/>
    </row>
    <row r="1070">
      <c r="H1070" s="209"/>
      <c r="I1070" s="209"/>
    </row>
    <row r="1071">
      <c r="H1071" s="209"/>
      <c r="I1071" s="209"/>
    </row>
    <row r="1072">
      <c r="H1072" s="209"/>
      <c r="I1072" s="209"/>
    </row>
    <row r="1073">
      <c r="H1073" s="209"/>
      <c r="I1073" s="209"/>
    </row>
    <row r="1074">
      <c r="H1074" s="209"/>
      <c r="I1074" s="209"/>
    </row>
    <row r="1075">
      <c r="H1075" s="209"/>
      <c r="I1075" s="209"/>
    </row>
    <row r="1076">
      <c r="H1076" s="209"/>
      <c r="I1076" s="209"/>
    </row>
    <row r="1077">
      <c r="H1077" s="209"/>
      <c r="I1077" s="209"/>
    </row>
    <row r="1078">
      <c r="H1078" s="209"/>
      <c r="I1078" s="209"/>
    </row>
    <row r="1079">
      <c r="H1079" s="209"/>
      <c r="I1079" s="209"/>
    </row>
    <row r="1080">
      <c r="H1080" s="209"/>
      <c r="I1080" s="209"/>
    </row>
    <row r="1081">
      <c r="H1081" s="209"/>
      <c r="I1081" s="209"/>
    </row>
    <row r="1082">
      <c r="H1082" s="209"/>
      <c r="I1082" s="209"/>
    </row>
    <row r="1083">
      <c r="H1083" s="209"/>
      <c r="I1083" s="209"/>
    </row>
    <row r="1084">
      <c r="H1084" s="209"/>
      <c r="I1084" s="209"/>
    </row>
    <row r="1085">
      <c r="H1085" s="209"/>
      <c r="I1085" s="209"/>
    </row>
    <row r="1086">
      <c r="H1086" s="209"/>
      <c r="I1086" s="209"/>
    </row>
    <row r="1087">
      <c r="H1087" s="209"/>
      <c r="I1087" s="209"/>
    </row>
    <row r="1088">
      <c r="H1088" s="209"/>
      <c r="I1088" s="209"/>
    </row>
    <row r="1089">
      <c r="H1089" s="209"/>
      <c r="I1089" s="209"/>
    </row>
    <row r="1090">
      <c r="H1090" s="209"/>
      <c r="I1090" s="209"/>
    </row>
    <row r="1091">
      <c r="H1091" s="209"/>
      <c r="I1091" s="209"/>
    </row>
    <row r="1092">
      <c r="H1092" s="209"/>
      <c r="I1092" s="209"/>
    </row>
    <row r="1093">
      <c r="H1093" s="209"/>
      <c r="I1093" s="209"/>
    </row>
    <row r="1094">
      <c r="H1094" s="209"/>
      <c r="I1094" s="209"/>
    </row>
    <row r="1095">
      <c r="H1095" s="209"/>
      <c r="I1095" s="209"/>
    </row>
    <row r="1096">
      <c r="H1096" s="209"/>
      <c r="I1096" s="209"/>
    </row>
    <row r="1097">
      <c r="H1097" s="209"/>
      <c r="I1097" s="209"/>
    </row>
    <row r="1098">
      <c r="H1098" s="209"/>
      <c r="I1098" s="209"/>
    </row>
    <row r="1099">
      <c r="H1099" s="209"/>
      <c r="I1099" s="209"/>
    </row>
    <row r="1100">
      <c r="H1100" s="209"/>
      <c r="I1100" s="209"/>
    </row>
    <row r="1101">
      <c r="H1101" s="209"/>
      <c r="I1101" s="209"/>
    </row>
    <row r="1102">
      <c r="H1102" s="209"/>
      <c r="I1102" s="209"/>
    </row>
    <row r="1103">
      <c r="H1103" s="209"/>
      <c r="I1103" s="209"/>
    </row>
    <row r="1104">
      <c r="H1104" s="209"/>
      <c r="I1104" s="209"/>
    </row>
    <row r="1105">
      <c r="H1105" s="209"/>
      <c r="I1105" s="209"/>
    </row>
    <row r="1106">
      <c r="H1106" s="209"/>
      <c r="I1106" s="209"/>
    </row>
    <row r="1107">
      <c r="H1107" s="209"/>
      <c r="I1107" s="209"/>
    </row>
    <row r="1108">
      <c r="H1108" s="209"/>
      <c r="I1108" s="209"/>
    </row>
    <row r="1109">
      <c r="H1109" s="209"/>
      <c r="I1109" s="209"/>
    </row>
    <row r="1110">
      <c r="H1110" s="209"/>
      <c r="I1110" s="209"/>
    </row>
    <row r="1111">
      <c r="H1111" s="209"/>
      <c r="I1111" s="209"/>
    </row>
    <row r="1112">
      <c r="H1112" s="209"/>
      <c r="I1112" s="209"/>
    </row>
    <row r="1113">
      <c r="H1113" s="209"/>
      <c r="I1113" s="209"/>
    </row>
    <row r="1114">
      <c r="H1114" s="209"/>
      <c r="I1114" s="209"/>
    </row>
    <row r="1115">
      <c r="H1115" s="209"/>
      <c r="I1115" s="209"/>
    </row>
    <row r="1116">
      <c r="H1116" s="209"/>
      <c r="I1116" s="209"/>
    </row>
    <row r="1117">
      <c r="H1117" s="209"/>
      <c r="I1117" s="209"/>
    </row>
    <row r="1118">
      <c r="H1118" s="209"/>
      <c r="I1118" s="209"/>
    </row>
    <row r="1119">
      <c r="H1119" s="209"/>
      <c r="I1119" s="209"/>
    </row>
    <row r="1120">
      <c r="H1120" s="209"/>
      <c r="I1120" s="209"/>
    </row>
    <row r="1121">
      <c r="H1121" s="209"/>
      <c r="I1121" s="209"/>
    </row>
    <row r="1122">
      <c r="H1122" s="209"/>
      <c r="I1122" s="209"/>
    </row>
    <row r="1123">
      <c r="H1123" s="209"/>
      <c r="I1123" s="209"/>
    </row>
    <row r="1124">
      <c r="H1124" s="209"/>
      <c r="I1124" s="209"/>
    </row>
    <row r="1125">
      <c r="H1125" s="209"/>
      <c r="I1125" s="209"/>
    </row>
    <row r="1126">
      <c r="H1126" s="209"/>
      <c r="I1126" s="209"/>
    </row>
    <row r="1127">
      <c r="H1127" s="209"/>
      <c r="I1127" s="209"/>
    </row>
    <row r="1128">
      <c r="H1128" s="209"/>
      <c r="I1128" s="209"/>
    </row>
    <row r="1129">
      <c r="H1129" s="209"/>
      <c r="I1129" s="209"/>
    </row>
    <row r="1130">
      <c r="H1130" s="209"/>
      <c r="I1130" s="209"/>
    </row>
    <row r="1131">
      <c r="H1131" s="209"/>
      <c r="I1131" s="209"/>
    </row>
    <row r="1132">
      <c r="H1132" s="209"/>
      <c r="I1132" s="209"/>
    </row>
    <row r="1133">
      <c r="H1133" s="209"/>
      <c r="I1133" s="209"/>
    </row>
    <row r="1134">
      <c r="H1134" s="209"/>
      <c r="I1134" s="209"/>
    </row>
    <row r="1135">
      <c r="H1135" s="209"/>
      <c r="I1135" s="209"/>
    </row>
    <row r="1136">
      <c r="H1136" s="209"/>
      <c r="I1136" s="209"/>
    </row>
    <row r="1137">
      <c r="H1137" s="209"/>
      <c r="I1137" s="209"/>
    </row>
    <row r="1138">
      <c r="H1138" s="209"/>
      <c r="I1138" s="209"/>
    </row>
    <row r="1139">
      <c r="H1139" s="209"/>
      <c r="I1139" s="209"/>
    </row>
    <row r="1140">
      <c r="H1140" s="209"/>
      <c r="I1140" s="209"/>
    </row>
    <row r="1141">
      <c r="H1141" s="209"/>
      <c r="I1141" s="209"/>
    </row>
    <row r="1142">
      <c r="H1142" s="209"/>
      <c r="I1142" s="209"/>
    </row>
    <row r="1143">
      <c r="H1143" s="209"/>
      <c r="I1143" s="209"/>
    </row>
    <row r="1144">
      <c r="H1144" s="209"/>
      <c r="I1144" s="209"/>
    </row>
    <row r="1145">
      <c r="H1145" s="209"/>
      <c r="I1145" s="209"/>
    </row>
    <row r="1146">
      <c r="H1146" s="209"/>
      <c r="I1146" s="209"/>
    </row>
    <row r="1147">
      <c r="H1147" s="209"/>
      <c r="I1147" s="209"/>
    </row>
    <row r="1148">
      <c r="H1148" s="209"/>
      <c r="I1148" s="209"/>
    </row>
    <row r="1149">
      <c r="H1149" s="209"/>
      <c r="I1149" s="209"/>
    </row>
    <row r="1150">
      <c r="H1150" s="209"/>
      <c r="I1150" s="209"/>
    </row>
    <row r="1151">
      <c r="H1151" s="209"/>
      <c r="I1151" s="209"/>
    </row>
    <row r="1152">
      <c r="H1152" s="209"/>
      <c r="I1152" s="209"/>
    </row>
    <row r="1153">
      <c r="H1153" s="209"/>
      <c r="I1153" s="209"/>
    </row>
    <row r="1154">
      <c r="H1154" s="209"/>
      <c r="I1154" s="209"/>
    </row>
    <row r="1155">
      <c r="H1155" s="209"/>
      <c r="I1155" s="209"/>
    </row>
    <row r="1156">
      <c r="H1156" s="209"/>
      <c r="I1156" s="209"/>
    </row>
    <row r="1157">
      <c r="H1157" s="209"/>
      <c r="I1157" s="209"/>
    </row>
    <row r="1158">
      <c r="H1158" s="209"/>
      <c r="I1158" s="209"/>
    </row>
    <row r="1159">
      <c r="H1159" s="209"/>
      <c r="I1159" s="209"/>
    </row>
    <row r="1160">
      <c r="H1160" s="209"/>
      <c r="I1160" s="209"/>
    </row>
    <row r="1161">
      <c r="H1161" s="209"/>
      <c r="I1161" s="209"/>
    </row>
    <row r="1162">
      <c r="H1162" s="209"/>
      <c r="I1162" s="209"/>
    </row>
    <row r="1163">
      <c r="H1163" s="209"/>
      <c r="I1163" s="209"/>
    </row>
    <row r="1164">
      <c r="H1164" s="209"/>
      <c r="I1164" s="209"/>
    </row>
    <row r="1165">
      <c r="H1165" s="209"/>
      <c r="I1165" s="209"/>
    </row>
    <row r="1166">
      <c r="H1166" s="209"/>
      <c r="I1166" s="209"/>
    </row>
    <row r="1167">
      <c r="H1167" s="209"/>
      <c r="I1167" s="209"/>
    </row>
    <row r="1168">
      <c r="H1168" s="209"/>
      <c r="I1168" s="209"/>
    </row>
    <row r="1169">
      <c r="H1169" s="209"/>
      <c r="I1169" s="209"/>
    </row>
    <row r="1170">
      <c r="H1170" s="209"/>
      <c r="I1170" s="209"/>
    </row>
    <row r="1171">
      <c r="H1171" s="209"/>
      <c r="I1171" s="209"/>
    </row>
    <row r="1172">
      <c r="H1172" s="209"/>
      <c r="I1172" s="209"/>
    </row>
    <row r="1173">
      <c r="H1173" s="209"/>
      <c r="I1173" s="209"/>
    </row>
    <row r="1174">
      <c r="H1174" s="209"/>
      <c r="I1174" s="209"/>
    </row>
    <row r="1175">
      <c r="H1175" s="209"/>
      <c r="I1175" s="209"/>
    </row>
    <row r="1176">
      <c r="H1176" s="209"/>
      <c r="I1176" s="209"/>
    </row>
    <row r="1177">
      <c r="H1177" s="209"/>
      <c r="I1177" s="209"/>
    </row>
    <row r="1178">
      <c r="H1178" s="209"/>
      <c r="I1178" s="209"/>
    </row>
    <row r="1179">
      <c r="H1179" s="209"/>
      <c r="I1179" s="209"/>
    </row>
    <row r="1180">
      <c r="H1180" s="209"/>
      <c r="I1180" s="209"/>
    </row>
    <row r="1181">
      <c r="H1181" s="209"/>
      <c r="I1181" s="209"/>
    </row>
    <row r="1182">
      <c r="H1182" s="209"/>
      <c r="I1182" s="209"/>
    </row>
    <row r="1183">
      <c r="H1183" s="209"/>
      <c r="I1183" s="209"/>
    </row>
    <row r="1184">
      <c r="H1184" s="209"/>
      <c r="I1184" s="209"/>
    </row>
    <row r="1185">
      <c r="H1185" s="209"/>
      <c r="I1185" s="209"/>
    </row>
    <row r="1186">
      <c r="H1186" s="209"/>
      <c r="I1186" s="209"/>
    </row>
    <row r="1187">
      <c r="H1187" s="209"/>
      <c r="I1187" s="209"/>
    </row>
    <row r="1188">
      <c r="H1188" s="209"/>
      <c r="I1188" s="209"/>
    </row>
    <row r="1189">
      <c r="H1189" s="209"/>
      <c r="I1189" s="209"/>
    </row>
    <row r="1190">
      <c r="H1190" s="209"/>
      <c r="I1190" s="209"/>
    </row>
    <row r="1191">
      <c r="H1191" s="209"/>
      <c r="I1191" s="209"/>
    </row>
    <row r="1192">
      <c r="H1192" s="209"/>
      <c r="I1192" s="209"/>
    </row>
    <row r="1193">
      <c r="H1193" s="209"/>
      <c r="I1193" s="209"/>
    </row>
    <row r="1194">
      <c r="H1194" s="209"/>
      <c r="I1194" s="209"/>
    </row>
    <row r="1195">
      <c r="H1195" s="209"/>
      <c r="I1195" s="209"/>
    </row>
    <row r="1196">
      <c r="H1196" s="209"/>
      <c r="I1196" s="209"/>
    </row>
    <row r="1197">
      <c r="H1197" s="209"/>
      <c r="I1197" s="209"/>
    </row>
  </sheetData>
  <mergeCells count="496">
    <mergeCell ref="K101:L101"/>
    <mergeCell ref="K102:L102"/>
    <mergeCell ref="C95:L96"/>
    <mergeCell ref="A98:L99"/>
    <mergeCell ref="B100:L100"/>
    <mergeCell ref="B101:C101"/>
    <mergeCell ref="H101:I101"/>
    <mergeCell ref="B102:C102"/>
    <mergeCell ref="H102:I102"/>
    <mergeCell ref="E83:F83"/>
    <mergeCell ref="E84:F84"/>
    <mergeCell ref="K83:L83"/>
    <mergeCell ref="K84:L84"/>
    <mergeCell ref="C77:L78"/>
    <mergeCell ref="A80:L81"/>
    <mergeCell ref="B82:L82"/>
    <mergeCell ref="B83:C83"/>
    <mergeCell ref="H83:I83"/>
    <mergeCell ref="B84:C84"/>
    <mergeCell ref="H84:I84"/>
    <mergeCell ref="A85:B85"/>
    <mergeCell ref="C85:L85"/>
    <mergeCell ref="A86:B87"/>
    <mergeCell ref="C86:L87"/>
    <mergeCell ref="A89:L90"/>
    <mergeCell ref="B91:L91"/>
    <mergeCell ref="B92:C92"/>
    <mergeCell ref="K92:L92"/>
    <mergeCell ref="E92:F92"/>
    <mergeCell ref="H92:I92"/>
    <mergeCell ref="B93:C93"/>
    <mergeCell ref="E93:F93"/>
    <mergeCell ref="H93:I93"/>
    <mergeCell ref="K93:L93"/>
    <mergeCell ref="C94:L94"/>
    <mergeCell ref="E101:F101"/>
    <mergeCell ref="E102:F102"/>
    <mergeCell ref="A103:B103"/>
    <mergeCell ref="C103:L103"/>
    <mergeCell ref="C104:L105"/>
    <mergeCell ref="A94:B94"/>
    <mergeCell ref="A95:B96"/>
    <mergeCell ref="A104:B105"/>
    <mergeCell ref="B108:C109"/>
    <mergeCell ref="D108:E108"/>
    <mergeCell ref="D109:E109"/>
    <mergeCell ref="B112:D113"/>
    <mergeCell ref="B115:D115"/>
    <mergeCell ref="B135:I135"/>
    <mergeCell ref="K135:O135"/>
    <mergeCell ref="B136:I136"/>
    <mergeCell ref="K136:O136"/>
    <mergeCell ref="B137:I137"/>
    <mergeCell ref="K137:O137"/>
    <mergeCell ref="K138:O138"/>
    <mergeCell ref="B138:I138"/>
    <mergeCell ref="B139:I139"/>
    <mergeCell ref="K139:O139"/>
    <mergeCell ref="B140:I140"/>
    <mergeCell ref="K140:O140"/>
    <mergeCell ref="B141:I141"/>
    <mergeCell ref="B142:I142"/>
    <mergeCell ref="K141:O141"/>
    <mergeCell ref="K142:O142"/>
    <mergeCell ref="B143:I143"/>
    <mergeCell ref="K143:O143"/>
    <mergeCell ref="B144:I144"/>
    <mergeCell ref="K144:O144"/>
    <mergeCell ref="K145:O145"/>
    <mergeCell ref="B145:I145"/>
    <mergeCell ref="B146:I146"/>
    <mergeCell ref="K146:O146"/>
    <mergeCell ref="B147:I147"/>
    <mergeCell ref="K147:O147"/>
    <mergeCell ref="B148:I148"/>
    <mergeCell ref="B149:I149"/>
    <mergeCell ref="K148:O148"/>
    <mergeCell ref="K149:O149"/>
    <mergeCell ref="B150:I150"/>
    <mergeCell ref="K150:O150"/>
    <mergeCell ref="B151:I151"/>
    <mergeCell ref="K151:O151"/>
    <mergeCell ref="K152:O152"/>
    <mergeCell ref="B152:I152"/>
    <mergeCell ref="B153:I153"/>
    <mergeCell ref="K153:O153"/>
    <mergeCell ref="B154:I154"/>
    <mergeCell ref="K154:O154"/>
    <mergeCell ref="B155:I155"/>
    <mergeCell ref="B156:I156"/>
    <mergeCell ref="K155:O155"/>
    <mergeCell ref="K156:O156"/>
    <mergeCell ref="B157:I157"/>
    <mergeCell ref="K157:O157"/>
    <mergeCell ref="B158:I158"/>
    <mergeCell ref="K158:O158"/>
    <mergeCell ref="K159:O159"/>
    <mergeCell ref="B159:I159"/>
    <mergeCell ref="B160:I160"/>
    <mergeCell ref="K160:O160"/>
    <mergeCell ref="B161:I161"/>
    <mergeCell ref="K161:O161"/>
    <mergeCell ref="B162:I162"/>
    <mergeCell ref="B163:I163"/>
    <mergeCell ref="K162:O162"/>
    <mergeCell ref="K163:O163"/>
    <mergeCell ref="B164:I164"/>
    <mergeCell ref="K164:O164"/>
    <mergeCell ref="B165:I165"/>
    <mergeCell ref="K165:O165"/>
    <mergeCell ref="K166:O166"/>
    <mergeCell ref="B166:I166"/>
    <mergeCell ref="B167:I167"/>
    <mergeCell ref="K167:O167"/>
    <mergeCell ref="B168:I168"/>
    <mergeCell ref="K168:O168"/>
    <mergeCell ref="B169:I169"/>
    <mergeCell ref="B170:I170"/>
    <mergeCell ref="K169:O169"/>
    <mergeCell ref="K170:O170"/>
    <mergeCell ref="B171:I171"/>
    <mergeCell ref="K171:O171"/>
    <mergeCell ref="B172:I172"/>
    <mergeCell ref="K172:O172"/>
    <mergeCell ref="K173:O173"/>
    <mergeCell ref="B173:I173"/>
    <mergeCell ref="B174:I174"/>
    <mergeCell ref="K174:O174"/>
    <mergeCell ref="B175:I175"/>
    <mergeCell ref="K175:O175"/>
    <mergeCell ref="B176:I176"/>
    <mergeCell ref="B177:I177"/>
    <mergeCell ref="E112:F112"/>
    <mergeCell ref="G112:H112"/>
    <mergeCell ref="E113:F113"/>
    <mergeCell ref="G113:H113"/>
    <mergeCell ref="E115:F115"/>
    <mergeCell ref="G115:H115"/>
    <mergeCell ref="B117:I117"/>
    <mergeCell ref="B121:E121"/>
    <mergeCell ref="B122:E122"/>
    <mergeCell ref="B123:E123"/>
    <mergeCell ref="B124:E124"/>
    <mergeCell ref="D129:E129"/>
    <mergeCell ref="F129:G129"/>
    <mergeCell ref="B118:E118"/>
    <mergeCell ref="F118:I118"/>
    <mergeCell ref="B119:E119"/>
    <mergeCell ref="F119:I119"/>
    <mergeCell ref="B120:E120"/>
    <mergeCell ref="F120:I120"/>
    <mergeCell ref="F121:I121"/>
    <mergeCell ref="F122:I122"/>
    <mergeCell ref="F123:I123"/>
    <mergeCell ref="F124:I124"/>
    <mergeCell ref="B126:I127"/>
    <mergeCell ref="K127:L127"/>
    <mergeCell ref="K129:O129"/>
    <mergeCell ref="K130:O130"/>
    <mergeCell ref="K133:O133"/>
    <mergeCell ref="K134:O134"/>
    <mergeCell ref="B130:I130"/>
    <mergeCell ref="B131:I131"/>
    <mergeCell ref="K131:O131"/>
    <mergeCell ref="B132:I132"/>
    <mergeCell ref="K132:O132"/>
    <mergeCell ref="B133:I133"/>
    <mergeCell ref="B134:I134"/>
    <mergeCell ref="K186:L186"/>
    <mergeCell ref="I188:L188"/>
    <mergeCell ref="I189:L189"/>
    <mergeCell ref="B196:F196"/>
    <mergeCell ref="I196:M196"/>
    <mergeCell ref="K176:O176"/>
    <mergeCell ref="K177:O177"/>
    <mergeCell ref="H179:M180"/>
    <mergeCell ref="G182:H182"/>
    <mergeCell ref="K182:L182"/>
    <mergeCell ref="I184:J184"/>
    <mergeCell ref="G186:H186"/>
    <mergeCell ref="R155:S155"/>
    <mergeCell ref="R156:S156"/>
    <mergeCell ref="R148:S148"/>
    <mergeCell ref="R149:S149"/>
    <mergeCell ref="R150:S150"/>
    <mergeCell ref="R151:S151"/>
    <mergeCell ref="R152:S152"/>
    <mergeCell ref="R153:S153"/>
    <mergeCell ref="R154:S154"/>
    <mergeCell ref="P130:Q130"/>
    <mergeCell ref="R130:S130"/>
    <mergeCell ref="P131:Q131"/>
    <mergeCell ref="R131:S131"/>
    <mergeCell ref="P132:Q132"/>
    <mergeCell ref="R132:S132"/>
    <mergeCell ref="R133:S133"/>
    <mergeCell ref="P133:Q133"/>
    <mergeCell ref="P134:Q134"/>
    <mergeCell ref="P135:Q135"/>
    <mergeCell ref="P136:Q136"/>
    <mergeCell ref="P137:Q137"/>
    <mergeCell ref="P138:Q138"/>
    <mergeCell ref="P139:Q139"/>
    <mergeCell ref="R134:S134"/>
    <mergeCell ref="R135:S135"/>
    <mergeCell ref="R136:S136"/>
    <mergeCell ref="R137:S137"/>
    <mergeCell ref="R138:S138"/>
    <mergeCell ref="R139:S139"/>
    <mergeCell ref="R140:S140"/>
    <mergeCell ref="P140:Q140"/>
    <mergeCell ref="P141:Q141"/>
    <mergeCell ref="P142:Q142"/>
    <mergeCell ref="P143:Q143"/>
    <mergeCell ref="P144:Q144"/>
    <mergeCell ref="P145:Q145"/>
    <mergeCell ref="P146:Q146"/>
    <mergeCell ref="R141:S141"/>
    <mergeCell ref="R142:S142"/>
    <mergeCell ref="R143:S143"/>
    <mergeCell ref="R144:S144"/>
    <mergeCell ref="R145:S145"/>
    <mergeCell ref="R146:S146"/>
    <mergeCell ref="R147:S147"/>
    <mergeCell ref="P147:Q147"/>
    <mergeCell ref="P148:Q148"/>
    <mergeCell ref="P149:Q149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R157:S157"/>
    <mergeCell ref="P158:Q158"/>
    <mergeCell ref="R158:S158"/>
    <mergeCell ref="K7:L7"/>
    <mergeCell ref="M7:T7"/>
    <mergeCell ref="B1:S4"/>
    <mergeCell ref="A5:C5"/>
    <mergeCell ref="D5:J5"/>
    <mergeCell ref="K5:L5"/>
    <mergeCell ref="M5:T5"/>
    <mergeCell ref="A7:B7"/>
    <mergeCell ref="C7:H7"/>
    <mergeCell ref="A9:B9"/>
    <mergeCell ref="C9:G9"/>
    <mergeCell ref="H9:I9"/>
    <mergeCell ref="J9:M9"/>
    <mergeCell ref="N9:O9"/>
    <mergeCell ref="P9:T9"/>
    <mergeCell ref="A12:B17"/>
    <mergeCell ref="C12:R17"/>
    <mergeCell ref="A18:T20"/>
    <mergeCell ref="A21:B21"/>
    <mergeCell ref="C21:D21"/>
    <mergeCell ref="E21:F21"/>
    <mergeCell ref="G21:H21"/>
    <mergeCell ref="I21:J21"/>
    <mergeCell ref="S21:T21"/>
    <mergeCell ref="K23:L24"/>
    <mergeCell ref="M23:N24"/>
    <mergeCell ref="O23:P24"/>
    <mergeCell ref="Q23:R24"/>
    <mergeCell ref="S23:T24"/>
    <mergeCell ref="K32:K34"/>
    <mergeCell ref="L32:L34"/>
    <mergeCell ref="O21:P21"/>
    <mergeCell ref="Q21:R21"/>
    <mergeCell ref="O29:T31"/>
    <mergeCell ref="O32:T32"/>
    <mergeCell ref="O33:T33"/>
    <mergeCell ref="O34:T34"/>
    <mergeCell ref="O35:T35"/>
    <mergeCell ref="H54:I54"/>
    <mergeCell ref="H55:I55"/>
    <mergeCell ref="H47:I47"/>
    <mergeCell ref="H48:I48"/>
    <mergeCell ref="H49:I49"/>
    <mergeCell ref="H50:I50"/>
    <mergeCell ref="H51:I51"/>
    <mergeCell ref="H52:I52"/>
    <mergeCell ref="H53:I53"/>
    <mergeCell ref="K21:L21"/>
    <mergeCell ref="M21:N21"/>
    <mergeCell ref="A23:B24"/>
    <mergeCell ref="E23:F24"/>
    <mergeCell ref="G23:H24"/>
    <mergeCell ref="I23:J24"/>
    <mergeCell ref="A29:N31"/>
    <mergeCell ref="C23:D24"/>
    <mergeCell ref="D32:D34"/>
    <mergeCell ref="E32:E34"/>
    <mergeCell ref="F32:F34"/>
    <mergeCell ref="G32:G34"/>
    <mergeCell ref="A35:B35"/>
    <mergeCell ref="A36:B36"/>
    <mergeCell ref="M32:M34"/>
    <mergeCell ref="N32:N34"/>
    <mergeCell ref="H35:I35"/>
    <mergeCell ref="H36:I36"/>
    <mergeCell ref="H37:I37"/>
    <mergeCell ref="H38:I38"/>
    <mergeCell ref="H39:I39"/>
    <mergeCell ref="A37:B37"/>
    <mergeCell ref="A38:B38"/>
    <mergeCell ref="A39:B39"/>
    <mergeCell ref="A40:B40"/>
    <mergeCell ref="A41:B41"/>
    <mergeCell ref="A42:B42"/>
    <mergeCell ref="A43:B43"/>
    <mergeCell ref="A51:B51"/>
    <mergeCell ref="A52:B52"/>
    <mergeCell ref="A53:B53"/>
    <mergeCell ref="A54:B54"/>
    <mergeCell ref="A55:B55"/>
    <mergeCell ref="A56:B56"/>
    <mergeCell ref="A57:B57"/>
    <mergeCell ref="A58:B58"/>
    <mergeCell ref="A44:B44"/>
    <mergeCell ref="A45:B45"/>
    <mergeCell ref="A46:B46"/>
    <mergeCell ref="A47:B47"/>
    <mergeCell ref="A48:B48"/>
    <mergeCell ref="A49:B49"/>
    <mergeCell ref="A50:B50"/>
    <mergeCell ref="H40:I40"/>
    <mergeCell ref="H41:I41"/>
    <mergeCell ref="H42:I42"/>
    <mergeCell ref="H43:I43"/>
    <mergeCell ref="H44:I44"/>
    <mergeCell ref="H45:I45"/>
    <mergeCell ref="H46:I46"/>
    <mergeCell ref="H65:I65"/>
    <mergeCell ref="K65:L65"/>
    <mergeCell ref="E65:F65"/>
    <mergeCell ref="E66:F66"/>
    <mergeCell ref="H66:I66"/>
    <mergeCell ref="K66:L66"/>
    <mergeCell ref="H56:I56"/>
    <mergeCell ref="H57:I57"/>
    <mergeCell ref="H58:I58"/>
    <mergeCell ref="A62:L63"/>
    <mergeCell ref="B64:L64"/>
    <mergeCell ref="B65:C65"/>
    <mergeCell ref="B66:C66"/>
    <mergeCell ref="A67:B67"/>
    <mergeCell ref="C67:L67"/>
    <mergeCell ref="A68:B69"/>
    <mergeCell ref="C68:L69"/>
    <mergeCell ref="A71:L72"/>
    <mergeCell ref="B73:L73"/>
    <mergeCell ref="B74:C74"/>
    <mergeCell ref="K74:L74"/>
    <mergeCell ref="A76:B76"/>
    <mergeCell ref="A77:B78"/>
    <mergeCell ref="E74:F74"/>
    <mergeCell ref="H74:I74"/>
    <mergeCell ref="B75:C75"/>
    <mergeCell ref="E75:F75"/>
    <mergeCell ref="H75:I75"/>
    <mergeCell ref="K75:L75"/>
    <mergeCell ref="C76:L76"/>
    <mergeCell ref="O36:T36"/>
    <mergeCell ref="O37:T37"/>
    <mergeCell ref="O38:T38"/>
    <mergeCell ref="O39:T39"/>
    <mergeCell ref="O40:T40"/>
    <mergeCell ref="O41:T41"/>
    <mergeCell ref="O42:T42"/>
    <mergeCell ref="O43:T43"/>
    <mergeCell ref="O44:T44"/>
    <mergeCell ref="O45:T45"/>
    <mergeCell ref="O46:T46"/>
    <mergeCell ref="O47:T47"/>
    <mergeCell ref="O48:T48"/>
    <mergeCell ref="O49:T49"/>
    <mergeCell ref="O50:T50"/>
    <mergeCell ref="O51:T51"/>
    <mergeCell ref="O52:T52"/>
    <mergeCell ref="O53:T53"/>
    <mergeCell ref="O54:T54"/>
    <mergeCell ref="O55:T55"/>
    <mergeCell ref="O56:T56"/>
    <mergeCell ref="O57:T57"/>
    <mergeCell ref="O58:T58"/>
    <mergeCell ref="N63:S64"/>
    <mergeCell ref="P66:Q66"/>
    <mergeCell ref="P67:Q67"/>
    <mergeCell ref="P68:Q68"/>
    <mergeCell ref="N69:O69"/>
    <mergeCell ref="P69:Q70"/>
    <mergeCell ref="R69:S69"/>
    <mergeCell ref="N70:O70"/>
    <mergeCell ref="R70:S70"/>
    <mergeCell ref="N71:O71"/>
    <mergeCell ref="R71:S71"/>
    <mergeCell ref="N72:O73"/>
    <mergeCell ref="R78:S78"/>
    <mergeCell ref="R79:S79"/>
    <mergeCell ref="R72:S73"/>
    <mergeCell ref="P74:Q74"/>
    <mergeCell ref="P75:Q75"/>
    <mergeCell ref="P76:Q76"/>
    <mergeCell ref="P77:Q78"/>
    <mergeCell ref="N78:O78"/>
    <mergeCell ref="N79:O79"/>
    <mergeCell ref="N80:O80"/>
    <mergeCell ref="R80:S80"/>
    <mergeCell ref="N81:O82"/>
    <mergeCell ref="R81:S82"/>
    <mergeCell ref="N85:O87"/>
    <mergeCell ref="P85:S87"/>
    <mergeCell ref="N88:O90"/>
    <mergeCell ref="P88:S90"/>
    <mergeCell ref="N92:S93"/>
    <mergeCell ref="N94:P94"/>
    <mergeCell ref="Q94:S94"/>
    <mergeCell ref="N95:P95"/>
    <mergeCell ref="Q95:S95"/>
    <mergeCell ref="Q96:S96"/>
    <mergeCell ref="N96:P96"/>
    <mergeCell ref="N97:P97"/>
    <mergeCell ref="N98:P98"/>
    <mergeCell ref="N99:P99"/>
    <mergeCell ref="N100:P100"/>
    <mergeCell ref="N101:P101"/>
    <mergeCell ref="N102:P102"/>
    <mergeCell ref="Q104:S104"/>
    <mergeCell ref="Q105:S105"/>
    <mergeCell ref="R109:S109"/>
    <mergeCell ref="R110:S110"/>
    <mergeCell ref="R111:S111"/>
    <mergeCell ref="P113:S116"/>
    <mergeCell ref="P118:S121"/>
    <mergeCell ref="Q97:S97"/>
    <mergeCell ref="Q98:S98"/>
    <mergeCell ref="Q99:S99"/>
    <mergeCell ref="Q100:S100"/>
    <mergeCell ref="Q101:S101"/>
    <mergeCell ref="Q102:S102"/>
    <mergeCell ref="Q103:S103"/>
    <mergeCell ref="N103:P103"/>
    <mergeCell ref="N104:P104"/>
    <mergeCell ref="N105:P105"/>
    <mergeCell ref="N109:O111"/>
    <mergeCell ref="P109:Q109"/>
    <mergeCell ref="P110:Q110"/>
    <mergeCell ref="P111:Q111"/>
    <mergeCell ref="N113:O116"/>
    <mergeCell ref="N118:O121"/>
    <mergeCell ref="L125:S126"/>
    <mergeCell ref="N127:O127"/>
    <mergeCell ref="Q127:R127"/>
    <mergeCell ref="P129:Q129"/>
    <mergeCell ref="R129:S129"/>
    <mergeCell ref="P159:Q159"/>
    <mergeCell ref="R159:S159"/>
    <mergeCell ref="P160:Q160"/>
    <mergeCell ref="R160:S160"/>
    <mergeCell ref="P161:Q161"/>
    <mergeCell ref="R161:S161"/>
    <mergeCell ref="R162:S162"/>
    <mergeCell ref="P162:Q162"/>
    <mergeCell ref="P163:Q163"/>
    <mergeCell ref="P164:Q164"/>
    <mergeCell ref="P165:Q165"/>
    <mergeCell ref="P166:Q166"/>
    <mergeCell ref="P167:Q167"/>
    <mergeCell ref="P168:Q168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63:S163"/>
    <mergeCell ref="R164:S164"/>
    <mergeCell ref="R165:S165"/>
    <mergeCell ref="R166:S166"/>
    <mergeCell ref="R167:S167"/>
    <mergeCell ref="R168:S168"/>
    <mergeCell ref="R169:S169"/>
    <mergeCell ref="P176:Q176"/>
    <mergeCell ref="P177:Q177"/>
    <mergeCell ref="P169:Q169"/>
    <mergeCell ref="P170:Q170"/>
    <mergeCell ref="P171:Q171"/>
    <mergeCell ref="P172:Q172"/>
    <mergeCell ref="P173:Q173"/>
    <mergeCell ref="P174:Q174"/>
    <mergeCell ref="P175:Q175"/>
  </mergeCells>
  <dataValidations>
    <dataValidation type="list" allowBlank="1" showInputMessage="1" showErrorMessage="1" prompt="Choose a Chaos God" sqref="R130:R177 I189">
      <formula1>Sheet2!$A$1:$A$5</formula1>
    </dataValidation>
    <dataValidation type="decimal" operator="equal" allowBlank="1" showDropDown="1" showInputMessage="1" showErrorMessage="1" prompt="use only lowercase x" sqref="A26:T27 D35:G58 K35:N58">
      <formula1>x</formula1>
    </dataValidation>
    <dataValidation type="decimal" operator="greaterThanOrEqual" allowBlank="1" showDropDown="1" showInputMessage="1" showErrorMessage="1" prompt="Number Only" sqref="P131:P177">
      <formula1>0.0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211" t="s">
        <v>201</v>
      </c>
      <c r="D1" s="210" t="s">
        <v>211</v>
      </c>
      <c r="E1" s="212" t="s">
        <v>212</v>
      </c>
      <c r="F1">
        <f>sum(F2:F23)</f>
        <v>3600</v>
      </c>
    </row>
    <row r="2">
      <c r="A2" s="211" t="s">
        <v>204</v>
      </c>
      <c r="D2" s="210" t="s">
        <v>213</v>
      </c>
      <c r="F2" s="210">
        <v>1200.0</v>
      </c>
    </row>
    <row r="3">
      <c r="A3" s="211" t="s">
        <v>202</v>
      </c>
      <c r="D3" s="210" t="s">
        <v>214</v>
      </c>
      <c r="F3" s="210">
        <v>300.0</v>
      </c>
    </row>
    <row r="4">
      <c r="A4" s="211" t="s">
        <v>205</v>
      </c>
      <c r="D4" s="210" t="s">
        <v>215</v>
      </c>
      <c r="F4" s="210">
        <v>900.0</v>
      </c>
    </row>
    <row r="5">
      <c r="A5" s="211" t="s">
        <v>203</v>
      </c>
      <c r="D5" s="210" t="s">
        <v>216</v>
      </c>
      <c r="F5" s="210">
        <v>300.0</v>
      </c>
    </row>
    <row r="6">
      <c r="D6" s="210" t="s">
        <v>217</v>
      </c>
      <c r="F6" s="210">
        <v>600.0</v>
      </c>
    </row>
    <row r="7">
      <c r="D7" s="210" t="s">
        <v>218</v>
      </c>
      <c r="F7" s="210">
        <v>300.0</v>
      </c>
    </row>
  </sheetData>
  <mergeCells count="22">
    <mergeCell ref="D2:E2"/>
    <mergeCell ref="D3:E3"/>
    <mergeCell ref="D4:E4"/>
    <mergeCell ref="D5:E5"/>
    <mergeCell ref="D6:E6"/>
    <mergeCell ref="D7:E7"/>
    <mergeCell ref="D8:E8"/>
    <mergeCell ref="D16:E16"/>
    <mergeCell ref="D17:E17"/>
    <mergeCell ref="D18:E18"/>
    <mergeCell ref="D19:E19"/>
    <mergeCell ref="D20:E20"/>
    <mergeCell ref="D21:E21"/>
    <mergeCell ref="D22:E22"/>
    <mergeCell ref="D23:E23"/>
    <mergeCell ref="D9:E9"/>
    <mergeCell ref="D10:E10"/>
    <mergeCell ref="D11:E11"/>
    <mergeCell ref="D12:E12"/>
    <mergeCell ref="D13:E13"/>
    <mergeCell ref="D14:E14"/>
    <mergeCell ref="D15:E15"/>
  </mergeCells>
  <drawing r:id="rId1"/>
</worksheet>
</file>