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  <sheet state="visible" name="Sheet1" sheetId="2" r:id="rId5"/>
    <sheet state="visible" name="Sheet2" sheetId="3" r:id="rId6"/>
  </sheets>
  <definedNames>
    <definedName name="WS">Sheet1!$A$23</definedName>
    <definedName name="TUFB">Sheet1!$G$22</definedName>
    <definedName localSheetId="0" name="BSB">'Copy of Sheet1'!$C$22</definedName>
    <definedName localSheetId="0" name="AG">'Copy of Sheet1'!$I$23</definedName>
    <definedName localSheetId="0" name="WSB">'Copy of Sheet1'!$A$22</definedName>
    <definedName name="FELB">Sheet1!$Q$22</definedName>
    <definedName localSheetId="0" name="INTB">'Copy of Sheet1'!$K$22</definedName>
    <definedName name="INFB">Sheet1!$S$22</definedName>
    <definedName localSheetId="0" name="FELB">'Copy of Sheet1'!$Q$22</definedName>
    <definedName localSheetId="0" name="INF">'Copy of Sheet1'!$S$23</definedName>
    <definedName localSheetId="0" name="BS">'Copy of Sheet1'!$C$23</definedName>
    <definedName name="WP">Sheet1!$O$23</definedName>
    <definedName localSheetId="0" name="STB">'Copy of Sheet1'!$E$22</definedName>
    <definedName name="WSB">Sheet1!$A$22</definedName>
    <definedName name="AG">Sheet1!$I$23</definedName>
    <definedName name="BS">Sheet1!$C$23</definedName>
    <definedName localSheetId="0" name="TUF">'Copy of Sheet1'!$G$23</definedName>
    <definedName localSheetId="0" name="PERB">'Copy of Sheet1'!$M$22</definedName>
    <definedName localSheetId="0" name="WPB">'Copy of Sheet1'!$O$22</definedName>
    <definedName name="TUF">Sheet1!$G$23</definedName>
    <definedName localSheetId="0" name="TUFB">'Copy of Sheet1'!$G$22</definedName>
    <definedName name="STB">Sheet1!$E$22</definedName>
    <definedName name="INT">Sheet1!$K$23</definedName>
    <definedName name="INF">Sheet1!$S$23</definedName>
    <definedName name="PER">Sheet1!$M$23</definedName>
    <definedName localSheetId="0" name="ST">'Copy of Sheet1'!$E$23</definedName>
    <definedName name="FEL">Sheet1!$Q$23</definedName>
    <definedName localSheetId="0" name="WP">'Copy of Sheet1'!$O$23</definedName>
    <definedName localSheetId="0" name="AGB">'Copy of Sheet1'!$I$22</definedName>
    <definedName localSheetId="0" name="FEL">'Copy of Sheet1'!$Q$23</definedName>
    <definedName name="INTB">Sheet1!$K$22</definedName>
    <definedName name="Alignment">Sheet2!$A$1:$A$6</definedName>
    <definedName name="ST">Sheet1!$E$23</definedName>
    <definedName localSheetId="0" name="INFB">'Copy of Sheet1'!$S$22</definedName>
    <definedName name="BSB">Sheet1!$C$22</definedName>
    <definedName localSheetId="0" name="INT">'Copy of Sheet1'!$K$23</definedName>
    <definedName name="PERB">Sheet1!$M$22</definedName>
    <definedName localSheetId="0" name="PER">'Copy of Sheet1'!$M$23</definedName>
    <definedName name="AGB">Sheet1!$I$22</definedName>
    <definedName localSheetId="0" name="WS">'Copy of Sheet1'!$A$23</definedName>
    <definedName name="WPB">Sheet1!$O$22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final bonus (calc'd)
</t>
      </text>
    </comment>
    <comment authorId="0" ref="B22">
      <text>
        <t xml:space="preserve">any 'bonus' modifiers
</t>
      </text>
    </comment>
    <comment authorId="0" ref="A23">
      <text>
        <t xml:space="preserve">final stat bonus (calc'd)
</t>
      </text>
    </comment>
    <comment authorId="0" ref="A25">
      <text>
        <t xml:space="preserve">Base with advancement bonuses
</t>
      </text>
    </comment>
    <comment authorId="0" ref="B25">
      <text>
        <t xml:space="preserve">any other stat bonuses
</t>
      </text>
    </comment>
    <comment authorId="0" ref="A27">
      <text>
        <t xml:space="preserve">Fill in trained, +10, +20, +3 with lowercase x only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final bonus (calc'd)
</t>
      </text>
    </comment>
    <comment authorId="0" ref="B22">
      <text>
        <t xml:space="preserve">any 'bonus' modifiers
</t>
      </text>
    </comment>
    <comment authorId="0" ref="A23">
      <text>
        <t xml:space="preserve">final stat bonus (calc'd)
</t>
      </text>
    </comment>
    <comment authorId="0" ref="A25">
      <text>
        <t xml:space="preserve">Base with advancement bonuses
</t>
      </text>
    </comment>
    <comment authorId="0" ref="B25">
      <text>
        <t xml:space="preserve">any other stat bonuses
</t>
      </text>
    </comment>
    <comment authorId="0" ref="A27">
      <text>
        <t xml:space="preserve">Fill in trained, +10, +20, +3 with lowercase x only
</t>
      </text>
    </comment>
  </commentList>
</comments>
</file>

<file path=xl/sharedStrings.xml><?xml version="1.0" encoding="utf-8"?>
<sst xmlns="http://schemas.openxmlformats.org/spreadsheetml/2006/main" count="637" uniqueCount="200">
  <si>
    <t>Black Crusade</t>
  </si>
  <si>
    <t>Charachter Name</t>
  </si>
  <si>
    <t>Ito</t>
  </si>
  <si>
    <t>Player Name</t>
  </si>
  <si>
    <t>Galliard</t>
  </si>
  <si>
    <t>Archetype</t>
  </si>
  <si>
    <t>Lxotl Renegade</t>
  </si>
  <si>
    <t>Rank</t>
  </si>
  <si>
    <t>Warband</t>
  </si>
  <si>
    <t>Fates Cast</t>
  </si>
  <si>
    <t>Pride</t>
  </si>
  <si>
    <t>Beauty</t>
  </si>
  <si>
    <t>Disgrace</t>
  </si>
  <si>
    <t>Regret</t>
  </si>
  <si>
    <t>Motivation</t>
  </si>
  <si>
    <t>Vengence</t>
  </si>
  <si>
    <t>Description</t>
  </si>
  <si>
    <t>Charachteristics</t>
  </si>
  <si>
    <t>WS</t>
  </si>
  <si>
    <t>BS</t>
  </si>
  <si>
    <t>ST</t>
  </si>
  <si>
    <t>TUF</t>
  </si>
  <si>
    <t>AG</t>
  </si>
  <si>
    <t>INT</t>
  </si>
  <si>
    <t>PER</t>
  </si>
  <si>
    <t>WP</t>
  </si>
  <si>
    <t>FEL</t>
  </si>
  <si>
    <t>INF</t>
  </si>
  <si>
    <t>Skills</t>
  </si>
  <si>
    <t>Talents and Traits</t>
  </si>
  <si>
    <t>Trained</t>
  </si>
  <si>
    <t>+10</t>
  </si>
  <si>
    <t>+20</t>
  </si>
  <si>
    <t>+30</t>
  </si>
  <si>
    <t>Racial +10 agi, -10 fel</t>
  </si>
  <si>
    <t>jaded</t>
  </si>
  <si>
    <t>Acrobatics AG</t>
  </si>
  <si>
    <t>x</t>
  </si>
  <si>
    <t>Medicae INT</t>
  </si>
  <si>
    <t>quick draw</t>
  </si>
  <si>
    <t>Athletics ST</t>
  </si>
  <si>
    <t>Nav Surface INT</t>
  </si>
  <si>
    <t>rapid reload</t>
  </si>
  <si>
    <t>Awareness PER</t>
  </si>
  <si>
    <t>Nav Stellar INT</t>
  </si>
  <si>
    <t>weapon training (chain, las, primary, sp, sp)</t>
  </si>
  <si>
    <t>Charm FEL</t>
  </si>
  <si>
    <t>Nav Warp INT</t>
  </si>
  <si>
    <t>heavy weapon training</t>
  </si>
  <si>
    <t>Commerce INT</t>
  </si>
  <si>
    <t>Operate Aero AG</t>
  </si>
  <si>
    <t>weapon training (bolt (flechette?))</t>
  </si>
  <si>
    <t>Common Lore</t>
  </si>
  <si>
    <t>Operate Surf AG</t>
  </si>
  <si>
    <t>catfall</t>
  </si>
  <si>
    <t>war</t>
  </si>
  <si>
    <t>Operate Void AG</t>
  </si>
  <si>
    <t>deadeye shot</t>
  </si>
  <si>
    <t>Parry WS</t>
  </si>
  <si>
    <t>doubleteam</t>
  </si>
  <si>
    <t>Psyniscience PER</t>
  </si>
  <si>
    <t>hip shooting</t>
  </si>
  <si>
    <t>Scholastic Lore INT</t>
  </si>
  <si>
    <t>tactica imperialis (?)</t>
  </si>
  <si>
    <t>adroit (BS) +1 success</t>
  </si>
  <si>
    <t>Deceive FEL</t>
  </si>
  <si>
    <t>Dodge AG</t>
  </si>
  <si>
    <t>unatural Agi 2</t>
  </si>
  <si>
    <t>Forbidden Lore INT</t>
  </si>
  <si>
    <t>unnatural speed</t>
  </si>
  <si>
    <t>Scrutiny PER</t>
  </si>
  <si>
    <t>natural weapons (claw 1d5) bite (1d10)</t>
  </si>
  <si>
    <t>Security INT</t>
  </si>
  <si>
    <t>natural armor 2</t>
  </si>
  <si>
    <t>Sleight of Hand AG</t>
  </si>
  <si>
    <t>slimy hide (+2 v lasers, +10 concealment)</t>
  </si>
  <si>
    <t>Stealth AG</t>
  </si>
  <si>
    <t>wall runner (climbing surfaces is +20)</t>
  </si>
  <si>
    <t>Inquiry FEL</t>
  </si>
  <si>
    <t>Tech-Use INT</t>
  </si>
  <si>
    <t>unnatural senses 75m</t>
  </si>
  <si>
    <t>Intimidate WP</t>
  </si>
  <si>
    <t>Tracking INT</t>
  </si>
  <si>
    <t>quadruped</t>
  </si>
  <si>
    <t>Linguistics INT</t>
  </si>
  <si>
    <t>Trade INT</t>
  </si>
  <si>
    <t>crawler</t>
  </si>
  <si>
    <t>darksight</t>
  </si>
  <si>
    <t>Logic INT</t>
  </si>
  <si>
    <t>Weapon</t>
  </si>
  <si>
    <t>Armour</t>
  </si>
  <si>
    <t>Name</t>
  </si>
  <si>
    <t>Good Flechette gun</t>
  </si>
  <si>
    <t>Class</t>
  </si>
  <si>
    <t>SP</t>
  </si>
  <si>
    <t>Dmg</t>
  </si>
  <si>
    <t>1d10+6</t>
  </si>
  <si>
    <t>Type</t>
  </si>
  <si>
    <t>R</t>
  </si>
  <si>
    <t>Pen</t>
  </si>
  <si>
    <t>Range</t>
  </si>
  <si>
    <t>ROF</t>
  </si>
  <si>
    <t>s/3/-</t>
  </si>
  <si>
    <t>Clip</t>
  </si>
  <si>
    <t>RLD</t>
  </si>
  <si>
    <t>2/full</t>
  </si>
  <si>
    <t>Head</t>
  </si>
  <si>
    <t>Attachments</t>
  </si>
  <si>
    <t>(1-10)</t>
  </si>
  <si>
    <t>Special Rules</t>
  </si>
  <si>
    <t>scatter, tearing, reliable</t>
  </si>
  <si>
    <t>Right Arm</t>
  </si>
  <si>
    <t>Left Arm</t>
  </si>
  <si>
    <t>(11-20)</t>
  </si>
  <si>
    <t>(21-30)</t>
  </si>
  <si>
    <t>Value</t>
  </si>
  <si>
    <t>bolt pistol</t>
  </si>
  <si>
    <t>pistol</t>
  </si>
  <si>
    <t>1d10+5</t>
  </si>
  <si>
    <t>Body</t>
  </si>
  <si>
    <t>s/2/-</t>
  </si>
  <si>
    <t>full</t>
  </si>
  <si>
    <t>(31-70)</t>
  </si>
  <si>
    <t>tearing</t>
  </si>
  <si>
    <t>Right Leg</t>
  </si>
  <si>
    <t>Left Leg</t>
  </si>
  <si>
    <t>(71-85)</t>
  </si>
  <si>
    <t>(86-00)</t>
  </si>
  <si>
    <t>Best chain dagger</t>
  </si>
  <si>
    <t>melee</t>
  </si>
  <si>
    <t>1d10+2</t>
  </si>
  <si>
    <t>r</t>
  </si>
  <si>
    <t>Accessories</t>
  </si>
  <si>
    <t>+10 ws, +1 dmg, tearing</t>
  </si>
  <si>
    <t>Notes</t>
  </si>
  <si>
    <t>natural armor 2, +5 intimidate from armor, +2 v lasers</t>
  </si>
  <si>
    <t>Natural weapon (bite 1d10, claw 1d5)</t>
  </si>
  <si>
    <t>Gear</t>
  </si>
  <si>
    <t>Best q mesh cloak</t>
  </si>
  <si>
    <t>medikit</t>
  </si>
  <si>
    <t>cameleoline cloak</t>
  </si>
  <si>
    <t>+20 conceal</t>
  </si>
  <si>
    <t>MIU</t>
  </si>
  <si>
    <t>Best q bionic arms</t>
  </si>
  <si>
    <t>Movement</t>
  </si>
  <si>
    <t>Base</t>
  </si>
  <si>
    <t>Half</t>
  </si>
  <si>
    <t>Run</t>
  </si>
  <si>
    <t>Modifier</t>
  </si>
  <si>
    <t>Full</t>
  </si>
  <si>
    <t>Charge</t>
  </si>
  <si>
    <t>Wounds</t>
  </si>
  <si>
    <t>Total</t>
  </si>
  <si>
    <t>Current</t>
  </si>
  <si>
    <t>Fatigue</t>
  </si>
  <si>
    <t>Infamy Points</t>
  </si>
  <si>
    <t>Critical Damage</t>
  </si>
  <si>
    <t>Coruption Points</t>
  </si>
  <si>
    <t>Gifts of the Gods</t>
  </si>
  <si>
    <t>Mental Disorders</t>
  </si>
  <si>
    <t>Advancement</t>
  </si>
  <si>
    <t>Psychic Powers</t>
  </si>
  <si>
    <t>Total XP</t>
  </si>
  <si>
    <t>Spent XP</t>
  </si>
  <si>
    <t>Unspent XP</t>
  </si>
  <si>
    <t>Psy Rating</t>
  </si>
  <si>
    <t>Cost</t>
  </si>
  <si>
    <t>Alignment</t>
  </si>
  <si>
    <t>BS +5</t>
  </si>
  <si>
    <t>Unaligned</t>
  </si>
  <si>
    <t>AG +5</t>
  </si>
  <si>
    <t>operate surface +10</t>
  </si>
  <si>
    <t>stealth +10</t>
  </si>
  <si>
    <t>security trained</t>
  </si>
  <si>
    <t>Marksman</t>
  </si>
  <si>
    <t>lightning reflexes</t>
  </si>
  <si>
    <t>Slaanesh</t>
  </si>
  <si>
    <t>sharpshooter</t>
  </si>
  <si>
    <t>sleight of hand trained</t>
  </si>
  <si>
    <t>sleight of hand +10</t>
  </si>
  <si>
    <t>crack shot</t>
  </si>
  <si>
    <t>Tzeentch</t>
  </si>
  <si>
    <t>leap up</t>
  </si>
  <si>
    <t>Acrobatics trained</t>
  </si>
  <si>
    <t>awareness +10</t>
  </si>
  <si>
    <t>Fellowship +5</t>
  </si>
  <si>
    <t>per +5</t>
  </si>
  <si>
    <t>mimic</t>
  </si>
  <si>
    <t>acrobatcs +10</t>
  </si>
  <si>
    <t>charm trained</t>
  </si>
  <si>
    <t>charm +10</t>
  </si>
  <si>
    <t>weapon exotic (needle)</t>
  </si>
  <si>
    <t>target selection</t>
  </si>
  <si>
    <t>Deceive trained</t>
  </si>
  <si>
    <t>inquiry trained</t>
  </si>
  <si>
    <t>Khorne</t>
  </si>
  <si>
    <t>Nurgle</t>
  </si>
  <si>
    <t>Current Alignment</t>
  </si>
  <si>
    <t>Sheet by Galliard</t>
  </si>
  <si>
    <t>Black Crusade, WH40K, Etc. (c) Games Workshop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</si>
</sst>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/>
    <font>
      <b/>
      <sz val="36.0"/>
    </font>
    <font>
      <b/>
      <sz val="14.0"/>
    </font>
    <font>
      <b/>
      <sz val="10.0"/>
    </font>
    <font>
      <b/>
      <sz val="12.0"/>
    </font>
    <font>
      <sz val="6.0"/>
    </font>
    <font>
      <sz val="8.0"/>
    </font>
    <font>
      <b/>
      <strike/>
      <sz val="10.0"/>
    </font>
    <font>
      <sz val="12.0"/>
    </font>
    <font>
      <sz val="8.0"/>
      <color rgb="FFD9D9D9"/>
    </font>
    <font>
      <sz val="8.0"/>
      <color rgb="FFCCCCCC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3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thin">
        <color rgb="FFFFFFFF"/>
      </top>
      <bottom style="hair">
        <color rgb="FF000000"/>
      </bottom>
    </border>
    <border>
      <top style="thin">
        <color rgb="FFFFFFFF"/>
      </top>
      <bottom style="hair">
        <color rgb="FF000000"/>
      </bottom>
    </border>
    <border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000000"/>
      </bottom>
    </border>
    <border>
      <right style="hair">
        <color rgb="FF000000"/>
      </right>
      <top style="thin">
        <color rgb="FFFFFFFF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  <bottom style="thin">
        <color rgb="FFFFFFFF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hair">
        <color rgb="FFCCCCCC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thin">
        <color rgb="FFFFFFFF"/>
      </top>
    </border>
    <border>
      <left style="hair">
        <color rgb="FFCCCCCC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hair">
        <color rgb="FF000000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FFFFFF"/>
      </right>
    </border>
    <border>
      <left style="thin">
        <color rgb="FFFFFFFF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CCCCCC"/>
      </left>
      <right style="hair">
        <color rgb="FFCCCCCC"/>
      </right>
      <bottom style="thin">
        <color rgb="FFFFFFFF"/>
      </bottom>
    </border>
    <border>
      <left style="hair">
        <color rgb="FFCCCCCC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FFFFFF"/>
      </right>
      <top style="hair">
        <color rgb="FFCCCCCC"/>
      </top>
      <bottom style="hair">
        <color rgb="FFCCCCCC"/>
      </bottom>
    </border>
    <border>
      <right style="thin">
        <color rgb="FFFFFFFF"/>
      </right>
      <top style="hair">
        <color rgb="FF000000"/>
      </top>
      <bottom style="hair">
        <color rgb="FF000000"/>
      </bottom>
    </border>
    <border>
      <left style="thin">
        <color rgb="FFFFFFFF"/>
      </left>
      <top style="hair">
        <color rgb="FF000000"/>
      </top>
      <bottom style="thin">
        <color rgb="FFFFFFFF"/>
      </bottom>
    </border>
    <border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hair">
        <color rgb="FFCCCCCC"/>
      </top>
      <bottom style="thin">
        <color rgb="FFFFFFFF"/>
      </bottom>
    </border>
    <border>
      <left style="thin">
        <color rgb="FF000000"/>
      </left>
      <right style="hair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hair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FFFFFF"/>
      </left>
      <right style="hair">
        <color rgb="FF000000"/>
      </righ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right style="thin">
        <color rgb="FF000000"/>
      </right>
      <top style="hair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hair">
        <color rgb="FF000000"/>
      </bottom>
    </border>
    <border>
      <left style="thin">
        <color rgb="FFFFFFFF"/>
      </left>
      <top style="thin">
        <color rgb="FFFFFFFF"/>
      </top>
      <bottom style="hair">
        <color rgb="FF999999"/>
      </bottom>
    </border>
    <border>
      <top style="thin">
        <color rgb="FFFFFFFF"/>
      </top>
      <bottom style="hair">
        <color rgb="FF999999"/>
      </bottom>
    </border>
    <border>
      <right style="hair">
        <color rgb="FF999999"/>
      </right>
      <top style="thin">
        <color rgb="FFFFFFFF"/>
      </top>
      <bottom style="hair">
        <color rgb="FF999999"/>
      </bottom>
    </border>
    <border>
      <left style="hair">
        <color rgb="FF999999"/>
      </left>
      <top style="thin">
        <color rgb="FFFFFFFF"/>
      </top>
      <bottom style="hair">
        <color rgb="FF999999"/>
      </bottom>
    </border>
    <border>
      <right style="thin">
        <color rgb="FFFFFFFF"/>
      </right>
      <top style="thin">
        <color rgb="FFFFFFFF"/>
      </top>
      <bottom style="hair">
        <color rgb="FF999999"/>
      </bottom>
    </border>
    <border>
      <left style="thin">
        <color rgb="FFFFFFFF"/>
      </left>
      <top style="hair">
        <color rgb="FF999999"/>
      </top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thin">
        <color rgb="FFFFFFFF"/>
      </right>
      <top style="hair">
        <color rgb="FF999999"/>
      </top>
      <bottom style="hair">
        <color rgb="FF999999"/>
      </bottom>
    </border>
    <border>
      <left style="thin">
        <color rgb="FFFFFFFF"/>
      </left>
      <right style="thin">
        <color rgb="FFFFFFFF"/>
      </right>
      <top style="hair">
        <color rgb="FF99999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top style="hair">
        <color rgb="FFFFFFFF"/>
      </top>
    </border>
    <border>
      <top style="hair">
        <color rgb="FFFFFFFF"/>
      </top>
    </border>
    <border>
      <right style="hair">
        <color rgb="FFFFFFFF"/>
      </right>
      <top style="hair">
        <color rgb="FFFFFFFF"/>
      </top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thin">
        <color rgb="FFFFFFFF"/>
      </bottom>
    </border>
    <border>
      <left style="hair">
        <color rgb="FFFFFFFF"/>
      </left>
      <bottom style="hair">
        <color rgb="FFFFFFFF"/>
      </bottom>
    </border>
    <border>
      <bottom style="hair">
        <color rgb="FFFFFFFF"/>
      </bottom>
    </border>
    <border>
      <right style="hair">
        <color rgb="FFFFFFFF"/>
      </right>
      <bottom style="hair">
        <color rgb="FFFFFFFF"/>
      </bottom>
    </border>
    <border>
      <left style="hair">
        <color rgb="FFFFFFFF"/>
      </left>
      <top style="hair">
        <color rgb="FFFFFFFF"/>
      </top>
      <bottom style="thin">
        <color rgb="FFFFFFFF"/>
      </bottom>
    </border>
    <border>
      <right style="hair">
        <color rgb="FF000000"/>
      </right>
      <top style="hair">
        <color rgb="FFFFFFFF"/>
      </top>
      <bottom style="thin">
        <color rgb="FFFFFFFF"/>
      </bottom>
    </border>
    <border>
      <left style="hair">
        <color rgb="FF000000"/>
      </left>
      <top style="hair">
        <color rgb="FFFFFFFF"/>
      </top>
      <bottom style="hair">
        <color rgb="FF000000"/>
      </bottom>
    </border>
    <border>
      <right style="hair">
        <color rgb="FFFFFFFF"/>
      </right>
      <top style="hair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000000"/>
      </bottom>
    </border>
    <border>
      <top style="hair">
        <color rgb="FFFFFFFF"/>
      </top>
      <bottom style="hair">
        <color rgb="FF000000"/>
      </bottom>
    </border>
    <border>
      <right style="hair">
        <color rgb="FF000000"/>
      </right>
      <top style="hair">
        <color rgb="FFFFFFFF"/>
      </top>
      <bottom style="hair">
        <color rgb="FF000000"/>
      </bottom>
    </border>
    <border>
      <left style="hair">
        <color rgb="FFFFFFFF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hair">
        <color rgb="FFFFFFFF"/>
      </bottom>
    </border>
    <border>
      <right style="hair">
        <color rgb="FF000000"/>
      </right>
      <top style="hair">
        <color rgb="FFFFFFFF"/>
      </top>
      <bottom style="hair">
        <color rgb="FFFFFFFF"/>
      </bottom>
    </border>
    <border>
      <left style="hair">
        <color rgb="FF000000"/>
      </left>
      <right style="hair">
        <color rgb="FFFFFFFF"/>
      </right>
      <top style="hair">
        <color rgb="FFFFFFFF"/>
      </top>
      <bottom style="hair">
        <color rgb="FF000000"/>
      </bottom>
    </border>
    <border>
      <left style="hair">
        <color rgb="FF000000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thin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right" readingOrder="0" shrinkToFit="0" vertical="bottom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2" fontId="1" numFmtId="0" xfId="0" applyAlignment="1" applyBorder="1" applyFill="1" applyFont="1">
      <alignment readingOrder="0" shrinkToFit="0" wrapText="1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horizontal="center" shrinkToFit="0" vertical="bottom" wrapText="1"/>
    </xf>
    <xf borderId="17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bottom" wrapText="1"/>
    </xf>
    <xf borderId="1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right" readingOrder="0" shrinkToFit="0" vertical="center" wrapText="1"/>
    </xf>
    <xf borderId="20" fillId="0" fontId="1" numFmtId="0" xfId="0" applyAlignment="1" applyBorder="1" applyFont="1">
      <alignment shrinkToFit="0" wrapText="1"/>
    </xf>
    <xf borderId="21" fillId="2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wrapText="1"/>
    </xf>
    <xf borderId="24" fillId="3" fontId="1" numFmtId="0" xfId="0" applyAlignment="1" applyBorder="1" applyFill="1" applyFont="1">
      <alignment shrinkToFit="0" wrapText="1"/>
    </xf>
    <xf borderId="1" fillId="3" fontId="1" numFmtId="0" xfId="0" applyAlignment="1" applyBorder="1" applyFont="1">
      <alignment shrinkToFit="0" wrapText="1"/>
    </xf>
    <xf borderId="25" fillId="0" fontId="1" numFmtId="0" xfId="0" applyAlignment="1" applyBorder="1" applyFont="1">
      <alignment shrinkToFit="0" wrapText="1"/>
    </xf>
    <xf borderId="26" fillId="0" fontId="1" numFmtId="0" xfId="0" applyAlignment="1" applyBorder="1" applyFont="1">
      <alignment shrinkToFit="0" wrapText="1"/>
    </xf>
    <xf borderId="27" fillId="0" fontId="1" numFmtId="0" xfId="0" applyAlignment="1" applyBorder="1" applyFont="1">
      <alignment shrinkToFit="0" wrapText="1"/>
    </xf>
    <xf borderId="28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shrinkToFit="0" wrapText="1"/>
    </xf>
    <xf borderId="30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bottom" wrapText="1"/>
    </xf>
    <xf borderId="32" fillId="0" fontId="1" numFmtId="0" xfId="0" applyAlignment="1" applyBorder="1" applyFont="1">
      <alignment shrinkToFit="0" wrapText="1"/>
    </xf>
    <xf borderId="33" fillId="3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readingOrder="0" shrinkToFit="0" vertical="bottom" wrapText="1"/>
    </xf>
    <xf borderId="34" fillId="2" fontId="1" numFmtId="0" xfId="0" applyAlignment="1" applyBorder="1" applyFont="1">
      <alignment horizontal="center" shrinkToFit="0" vertical="bottom" wrapText="1"/>
    </xf>
    <xf borderId="35" fillId="3" fontId="5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shrinkToFit="0" wrapText="1"/>
    </xf>
    <xf borderId="37" fillId="0" fontId="1" numFmtId="0" xfId="0" applyAlignment="1" applyBorder="1" applyFont="1">
      <alignment shrinkToFit="0" wrapText="1"/>
    </xf>
    <xf borderId="38" fillId="0" fontId="1" numFmtId="0" xfId="0" applyAlignment="1" applyBorder="1" applyFont="1">
      <alignment shrinkToFit="0" wrapText="1"/>
    </xf>
    <xf borderId="39" fillId="2" fontId="1" numFmtId="0" xfId="0" applyAlignment="1" applyBorder="1" applyFont="1">
      <alignment readingOrder="0" shrinkToFit="0" wrapText="1"/>
    </xf>
    <xf borderId="39" fillId="2" fontId="1" numFmtId="0" xfId="0" applyAlignment="1" applyBorder="1" applyFont="1">
      <alignment shrinkToFit="0" wrapText="1"/>
    </xf>
    <xf borderId="39" fillId="2" fontId="1" numFmtId="0" xfId="0" applyAlignment="1" applyBorder="1" applyFont="1">
      <alignment horizontal="center" shrinkToFit="0" vertical="bottom" wrapText="1"/>
    </xf>
    <xf borderId="39" fillId="2" fontId="1" numFmtId="0" xfId="0" applyAlignment="1" applyBorder="1" applyFont="1">
      <alignment horizontal="center" readingOrder="0" shrinkToFit="0" vertical="bottom" wrapText="1"/>
    </xf>
    <xf borderId="40" fillId="0" fontId="1" numFmtId="0" xfId="0" applyAlignment="1" applyBorder="1" applyFont="1">
      <alignment shrinkToFit="0" wrapText="1"/>
    </xf>
    <xf borderId="40" fillId="0" fontId="1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center" wrapText="1"/>
    </xf>
    <xf borderId="41" fillId="0" fontId="1" numFmtId="0" xfId="0" applyAlignment="1" applyBorder="1" applyFont="1">
      <alignment shrinkToFit="0" wrapText="1"/>
    </xf>
    <xf borderId="42" fillId="0" fontId="6" numFmtId="0" xfId="0" applyAlignment="1" applyBorder="1" applyFont="1">
      <alignment horizontal="center" readingOrder="0" shrinkToFit="0" vertical="center" wrapText="1"/>
    </xf>
    <xf quotePrefix="1" borderId="42" fillId="0" fontId="6" numFmtId="0" xfId="0" applyAlignment="1" applyBorder="1" applyFont="1">
      <alignment horizontal="center" readingOrder="0" shrinkToFit="0" vertical="center" wrapText="1"/>
    </xf>
    <xf quotePrefix="1" borderId="43" fillId="0" fontId="6" numFmtId="0" xfId="0" applyAlignment="1" applyBorder="1" applyFont="1">
      <alignment horizontal="center" readingOrder="0" shrinkToFit="0" vertical="center" wrapText="1"/>
    </xf>
    <xf borderId="44" fillId="2" fontId="1" numFmtId="0" xfId="0" applyAlignment="1" applyBorder="1" applyFont="1">
      <alignment readingOrder="0" shrinkToFit="0" wrapText="1"/>
    </xf>
    <xf borderId="45" fillId="0" fontId="1" numFmtId="0" xfId="0" applyAlignment="1" applyBorder="1" applyFont="1">
      <alignment shrinkToFit="0" wrapText="1"/>
    </xf>
    <xf borderId="46" fillId="0" fontId="1" numFmtId="0" xfId="0" applyAlignment="1" applyBorder="1" applyFont="1">
      <alignment shrinkToFit="0" wrapText="1"/>
    </xf>
    <xf borderId="47" fillId="2" fontId="1" numFmtId="0" xfId="0" applyAlignment="1" applyBorder="1" applyFont="1">
      <alignment shrinkToFit="0" wrapText="1"/>
    </xf>
    <xf borderId="48" fillId="0" fontId="1" numFmtId="0" xfId="0" applyAlignment="1" applyBorder="1" applyFont="1">
      <alignment shrinkToFit="0" wrapText="1"/>
    </xf>
    <xf borderId="49" fillId="0" fontId="1" numFmtId="0" xfId="0" applyAlignment="1" applyBorder="1" applyFont="1">
      <alignment shrinkToFit="0" wrapText="1"/>
    </xf>
    <xf borderId="50" fillId="0" fontId="1" numFmtId="0" xfId="0" applyAlignment="1" applyBorder="1" applyFont="1">
      <alignment shrinkToFit="0" wrapText="1"/>
    </xf>
    <xf borderId="47" fillId="2" fontId="1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horizontal="right" readingOrder="0" shrinkToFit="0" vertical="bottom" wrapText="1"/>
    </xf>
    <xf borderId="51" fillId="0" fontId="1" numFmtId="0" xfId="0" applyAlignment="1" applyBorder="1" applyFont="1">
      <alignment shrinkToFit="0" wrapText="1"/>
    </xf>
    <xf borderId="41" fillId="0" fontId="7" numFmtId="0" xfId="0" applyAlignment="1" applyBorder="1" applyFont="1">
      <alignment horizontal="center" shrinkToFit="0" vertical="bottom" wrapText="1"/>
    </xf>
    <xf borderId="52" fillId="0" fontId="8" numFmtId="0" xfId="0" applyAlignment="1" applyBorder="1" applyFont="1">
      <alignment horizontal="center" readingOrder="0" shrinkToFit="0" vertical="bottom" wrapText="1"/>
    </xf>
    <xf borderId="52" fillId="0" fontId="8" numFmtId="0" xfId="0" applyAlignment="1" applyBorder="1" applyFont="1">
      <alignment horizontal="center" shrinkToFit="0" vertical="bottom" wrapText="1"/>
    </xf>
    <xf borderId="53" fillId="0" fontId="8" numFmtId="0" xfId="0" applyAlignment="1" applyBorder="1" applyFont="1">
      <alignment horizontal="center" shrinkToFit="0" vertical="bottom" wrapText="1"/>
    </xf>
    <xf borderId="44" fillId="2" fontId="7" numFmtId="0" xfId="0" applyAlignment="1" applyBorder="1" applyFont="1">
      <alignment horizontal="right" readingOrder="0" shrinkToFit="0" vertical="bottom" wrapText="1"/>
    </xf>
    <xf borderId="47" fillId="2" fontId="7" numFmtId="0" xfId="0" applyAlignment="1" applyBorder="1" applyFont="1">
      <alignment horizontal="right" shrinkToFit="0" vertical="bottom" wrapText="1"/>
    </xf>
    <xf borderId="54" fillId="0" fontId="1" numFmtId="0" xfId="0" applyAlignment="1" applyBorder="1" applyFont="1">
      <alignment shrinkToFit="0" wrapText="1"/>
    </xf>
    <xf borderId="55" fillId="0" fontId="7" numFmtId="0" xfId="0" applyAlignment="1" applyBorder="1" applyFont="1">
      <alignment horizontal="right" readingOrder="0" shrinkToFit="0" vertical="bottom" wrapText="1"/>
    </xf>
    <xf borderId="56" fillId="0" fontId="1" numFmtId="0" xfId="0" applyAlignment="1" applyBorder="1" applyFont="1">
      <alignment shrinkToFit="0" wrapText="1"/>
    </xf>
    <xf borderId="44" fillId="2" fontId="7" numFmtId="0" xfId="0" applyAlignment="1" applyBorder="1" applyFont="1">
      <alignment horizontal="right" shrinkToFit="0" vertical="bottom" wrapText="1"/>
    </xf>
    <xf borderId="57" fillId="0" fontId="1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58" fillId="0" fontId="1" numFmtId="0" xfId="0" applyAlignment="1" applyBorder="1" applyFont="1">
      <alignment horizontal="right" readingOrder="0" shrinkToFit="0" vertical="bottom" wrapText="1"/>
    </xf>
    <xf borderId="13" fillId="2" fontId="1" numFmtId="0" xfId="0" applyAlignment="1" applyBorder="1" applyFont="1">
      <alignment horizontal="left" readingOrder="0" shrinkToFit="0" vertical="bottom" wrapText="1"/>
    </xf>
    <xf borderId="59" fillId="0" fontId="1" numFmtId="0" xfId="0" applyAlignment="1" applyBorder="1" applyFont="1">
      <alignment shrinkToFit="0" wrapText="1"/>
    </xf>
    <xf borderId="60" fillId="0" fontId="1" numFmtId="0" xfId="0" applyAlignment="1" applyBorder="1" applyFont="1">
      <alignment shrinkToFit="0" wrapText="1"/>
    </xf>
    <xf borderId="61" fillId="2" fontId="1" numFmtId="0" xfId="0" applyAlignment="1" applyBorder="1" applyFont="1">
      <alignment horizontal="center" readingOrder="0" shrinkToFit="0" vertical="bottom" wrapText="1"/>
    </xf>
    <xf borderId="62" fillId="0" fontId="1" numFmtId="0" xfId="0" applyAlignment="1" applyBorder="1" applyFont="1">
      <alignment horizontal="right" readingOrder="0" shrinkToFit="0" vertical="bottom" wrapText="1"/>
    </xf>
    <xf borderId="63" fillId="0" fontId="1" numFmtId="0" xfId="0" applyAlignment="1" applyBorder="1" applyFont="1">
      <alignment shrinkToFit="0" wrapText="1"/>
    </xf>
    <xf borderId="64" fillId="0" fontId="1" numFmtId="0" xfId="0" applyAlignment="1" applyBorder="1" applyFont="1">
      <alignment shrinkToFit="0" wrapText="1"/>
    </xf>
    <xf borderId="65" fillId="2" fontId="1" numFmtId="0" xfId="0" applyAlignment="1" applyBorder="1" applyFont="1">
      <alignment horizontal="center" readingOrder="0" shrinkToFit="0" vertical="bottom" wrapText="1"/>
    </xf>
    <xf borderId="66" fillId="0" fontId="1" numFmtId="0" xfId="0" applyAlignment="1" applyBorder="1" applyFont="1">
      <alignment shrinkToFit="0" wrapText="1"/>
    </xf>
    <xf borderId="67" fillId="0" fontId="1" numFmtId="0" xfId="0" applyAlignment="1" applyBorder="1" applyFont="1">
      <alignment shrinkToFit="0" wrapText="1"/>
    </xf>
    <xf borderId="68" fillId="0" fontId="1" numFmtId="0" xfId="0" applyAlignment="1" applyBorder="1" applyFont="1">
      <alignment horizontal="center" readingOrder="0" shrinkToFit="0" vertical="bottom" wrapText="1"/>
    </xf>
    <xf borderId="69" fillId="0" fontId="1" numFmtId="0" xfId="0" applyAlignment="1" applyBorder="1" applyFont="1">
      <alignment shrinkToFit="0" wrapText="1"/>
    </xf>
    <xf borderId="70" fillId="0" fontId="1" numFmtId="0" xfId="0" applyAlignment="1" applyBorder="1" applyFont="1">
      <alignment horizontal="right" readingOrder="0" shrinkToFit="0" vertical="bottom" wrapText="1"/>
    </xf>
    <xf borderId="13" fillId="2" fontId="1" numFmtId="0" xfId="0" applyAlignment="1" applyBorder="1" applyFont="1">
      <alignment shrinkToFit="0" wrapText="1"/>
    </xf>
    <xf quotePrefix="1" borderId="70" fillId="0" fontId="6" numFmtId="0" xfId="0" applyAlignment="1" applyBorder="1" applyFont="1">
      <alignment horizontal="center" readingOrder="0" shrinkToFit="0" vertical="center" wrapText="1"/>
    </xf>
    <xf borderId="71" fillId="0" fontId="1" numFmtId="0" xfId="0" applyAlignment="1" applyBorder="1" applyFont="1">
      <alignment shrinkToFit="0" wrapText="1"/>
    </xf>
    <xf borderId="72" fillId="0" fontId="1" numFmtId="0" xfId="0" applyAlignment="1" applyBorder="1" applyFont="1">
      <alignment horizontal="right" readingOrder="0" shrinkToFit="0" vertical="center" wrapText="1"/>
    </xf>
    <xf borderId="21" fillId="2" fontId="1" numFmtId="0" xfId="0" applyAlignment="1" applyBorder="1" applyFont="1">
      <alignment horizontal="left" readingOrder="0" shrinkToFit="0" vertical="top" wrapText="1"/>
    </xf>
    <xf borderId="73" fillId="0" fontId="1" numFmtId="0" xfId="0" applyAlignment="1" applyBorder="1" applyFont="1">
      <alignment shrinkToFit="0" wrapText="1"/>
    </xf>
    <xf borderId="74" fillId="0" fontId="1" numFmtId="0" xfId="0" applyAlignment="1" applyBorder="1" applyFont="1">
      <alignment shrinkToFit="0" wrapText="1"/>
    </xf>
    <xf borderId="70" fillId="0" fontId="1" numFmtId="0" xfId="0" applyAlignment="1" applyBorder="1" applyFont="1">
      <alignment horizontal="center" readingOrder="0" shrinkToFit="0" vertical="bottom" wrapText="1"/>
    </xf>
    <xf borderId="75" fillId="0" fontId="1" numFmtId="0" xfId="0" applyAlignment="1" applyBorder="1" applyFont="1">
      <alignment shrinkToFit="0" wrapText="1"/>
    </xf>
    <xf borderId="76" fillId="0" fontId="1" numFmtId="0" xfId="0" applyAlignment="1" applyBorder="1" applyFont="1">
      <alignment shrinkToFit="0" wrapText="1"/>
    </xf>
    <xf borderId="77" fillId="0" fontId="1" numFmtId="0" xfId="0" applyAlignment="1" applyBorder="1" applyFont="1">
      <alignment shrinkToFit="0" wrapText="1"/>
    </xf>
    <xf borderId="78" fillId="0" fontId="1" numFmtId="0" xfId="0" applyAlignment="1" applyBorder="1" applyFont="1">
      <alignment shrinkToFit="0" wrapText="1"/>
    </xf>
    <xf borderId="72" fillId="2" fontId="7" numFmtId="0" xfId="0" applyAlignment="1" applyBorder="1" applyFont="1">
      <alignment horizontal="center" shrinkToFit="0" vertical="center" wrapText="1"/>
    </xf>
    <xf borderId="79" fillId="0" fontId="1" numFmtId="0" xfId="0" applyAlignment="1" applyBorder="1" applyFont="1">
      <alignment shrinkToFit="0" wrapText="1"/>
    </xf>
    <xf borderId="80" fillId="0" fontId="1" numFmtId="0" xfId="0" applyAlignment="1" applyBorder="1" applyFont="1">
      <alignment shrinkToFit="0" wrapText="1"/>
    </xf>
    <xf borderId="75" fillId="0" fontId="1" numFmtId="0" xfId="0" applyAlignment="1" applyBorder="1" applyFont="1">
      <alignment horizontal="right" readingOrder="0" shrinkToFit="0" vertical="bottom" wrapText="1"/>
    </xf>
    <xf borderId="74" fillId="2" fontId="1" numFmtId="0" xfId="0" applyAlignment="1" applyBorder="1" applyFont="1">
      <alignment readingOrder="0" shrinkToFit="0" wrapText="1"/>
    </xf>
    <xf borderId="81" fillId="0" fontId="1" numFmtId="0" xfId="0" applyAlignment="1" applyBorder="1" applyFont="1">
      <alignment shrinkToFit="0" wrapText="1"/>
    </xf>
    <xf borderId="82" fillId="0" fontId="1" numFmtId="0" xfId="0" applyAlignment="1" applyBorder="1" applyFont="1">
      <alignment shrinkToFit="0" wrapText="1"/>
    </xf>
    <xf borderId="83" fillId="0" fontId="1" numFmtId="0" xfId="0" applyAlignment="1" applyBorder="1" applyFont="1">
      <alignment shrinkToFit="0" wrapText="1"/>
    </xf>
    <xf borderId="65" fillId="2" fontId="1" numFmtId="0" xfId="0" applyAlignment="1" applyBorder="1" applyFont="1">
      <alignment horizontal="center" shrinkToFit="0" vertical="bottom" wrapText="1"/>
    </xf>
    <xf borderId="84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21" fillId="2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quotePrefix="1" borderId="21" fillId="2" fontId="1" numFmtId="0" xfId="0" applyAlignment="1" applyBorder="1" applyFont="1">
      <alignment horizontal="left" readingOrder="0" shrinkToFit="0" vertical="top" wrapText="1"/>
    </xf>
    <xf borderId="21" fillId="2" fontId="1" numFmtId="0" xfId="0" applyAlignment="1" applyBorder="1" applyFont="1">
      <alignment readingOrder="0" shrinkToFit="0" vertical="top" wrapText="1"/>
    </xf>
    <xf borderId="24" fillId="0" fontId="1" numFmtId="0" xfId="0" applyAlignment="1" applyBorder="1" applyFont="1">
      <alignment shrinkToFit="0" wrapText="1"/>
    </xf>
    <xf borderId="61" fillId="2" fontId="1" numFmtId="0" xfId="0" applyAlignment="1" applyBorder="1" applyFont="1">
      <alignment horizontal="center" shrinkToFit="0" vertical="bottom" wrapText="1"/>
    </xf>
    <xf borderId="85" fillId="2" fontId="1" numFmtId="0" xfId="0" applyAlignment="1" applyBorder="1" applyFont="1">
      <alignment readingOrder="0" shrinkToFit="0" wrapText="1"/>
    </xf>
    <xf borderId="86" fillId="0" fontId="1" numFmtId="0" xfId="0" applyAlignment="1" applyBorder="1" applyFont="1">
      <alignment shrinkToFit="0" wrapText="1"/>
    </xf>
    <xf borderId="87" fillId="0" fontId="1" numFmtId="0" xfId="0" applyAlignment="1" applyBorder="1" applyFont="1">
      <alignment shrinkToFit="0" wrapText="1"/>
    </xf>
    <xf borderId="88" fillId="2" fontId="1" numFmtId="0" xfId="0" applyAlignment="1" applyBorder="1" applyFont="1">
      <alignment shrinkToFit="0" wrapText="1"/>
    </xf>
    <xf borderId="89" fillId="0" fontId="1" numFmtId="0" xfId="0" applyAlignment="1" applyBorder="1" applyFont="1">
      <alignment shrinkToFit="0" wrapText="1"/>
    </xf>
    <xf borderId="90" fillId="2" fontId="1" numFmtId="0" xfId="0" applyAlignment="1" applyBorder="1" applyFont="1">
      <alignment readingOrder="0" shrinkToFit="0" wrapText="1"/>
    </xf>
    <xf borderId="91" fillId="0" fontId="1" numFmtId="0" xfId="0" applyAlignment="1" applyBorder="1" applyFont="1">
      <alignment shrinkToFit="0" wrapText="1"/>
    </xf>
    <xf borderId="92" fillId="0" fontId="1" numFmtId="0" xfId="0" applyAlignment="1" applyBorder="1" applyFont="1">
      <alignment shrinkToFit="0" wrapText="1"/>
    </xf>
    <xf borderId="93" fillId="2" fontId="1" numFmtId="0" xfId="0" applyAlignment="1" applyBorder="1" applyFont="1">
      <alignment shrinkToFit="0" wrapText="1"/>
    </xf>
    <xf borderId="94" fillId="0" fontId="1" numFmtId="0" xfId="0" applyAlignment="1" applyBorder="1" applyFont="1">
      <alignment shrinkToFit="0" wrapText="1"/>
    </xf>
    <xf quotePrefix="1" borderId="93" fillId="2" fontId="1" numFmtId="0" xfId="0" applyAlignment="1" applyBorder="1" applyFont="1">
      <alignment readingOrder="0" shrinkToFit="0" wrapText="1"/>
    </xf>
    <xf borderId="90" fillId="2" fontId="1" numFmtId="0" xfId="0" applyAlignment="1" applyBorder="1" applyFont="1">
      <alignment shrinkToFit="0" wrapText="1"/>
    </xf>
    <xf borderId="13" fillId="2" fontId="1" numFmtId="0" xfId="0" applyAlignment="1" applyBorder="1" applyFont="1">
      <alignment horizontal="left" shrinkToFit="0" vertical="bottom" wrapText="1"/>
    </xf>
    <xf borderId="95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horizontal="left" readingOrder="0" shrinkToFit="0" vertical="bottom" wrapText="1"/>
    </xf>
    <xf borderId="96" fillId="0" fontId="1" numFmtId="0" xfId="0" applyAlignment="1" applyBorder="1" applyFont="1">
      <alignment shrinkToFit="0" wrapText="1"/>
    </xf>
    <xf borderId="97" fillId="0" fontId="1" numFmtId="0" xfId="0" applyAlignment="1" applyBorder="1" applyFont="1">
      <alignment shrinkToFit="0" wrapText="1"/>
    </xf>
    <xf borderId="96" fillId="0" fontId="1" numFmtId="0" xfId="0" applyAlignment="1" applyBorder="1" applyFont="1">
      <alignment horizontal="center" shrinkToFit="0" vertical="bottom" wrapText="1"/>
    </xf>
    <xf borderId="61" fillId="2" fontId="1" numFmtId="0" xfId="0" applyAlignment="1" applyBorder="1" applyFont="1">
      <alignment shrinkToFit="0" wrapText="1"/>
    </xf>
    <xf borderId="98" fillId="0" fontId="1" numFmtId="0" xfId="0" applyAlignment="1" applyBorder="1" applyFont="1">
      <alignment shrinkToFit="0" wrapText="1"/>
    </xf>
    <xf borderId="98" fillId="0" fontId="1" numFmtId="0" xfId="0" applyAlignment="1" applyBorder="1" applyFont="1">
      <alignment horizontal="center" shrinkToFit="0" vertical="bottom" wrapText="1"/>
    </xf>
    <xf borderId="99" fillId="0" fontId="1" numFmtId="0" xfId="0" applyAlignment="1" applyBorder="1" applyFont="1">
      <alignment shrinkToFit="0" wrapText="1"/>
    </xf>
    <xf borderId="100" fillId="0" fontId="9" numFmtId="0" xfId="0" applyAlignment="1" applyBorder="1" applyFont="1">
      <alignment horizontal="center" readingOrder="0" shrinkToFit="0" vertical="center" wrapText="1"/>
    </xf>
    <xf borderId="101" fillId="0" fontId="1" numFmtId="0" xfId="0" applyAlignment="1" applyBorder="1" applyFont="1">
      <alignment shrinkToFit="0" wrapText="1"/>
    </xf>
    <xf borderId="102" fillId="0" fontId="1" numFmtId="0" xfId="0" applyAlignment="1" applyBorder="1" applyFont="1">
      <alignment shrinkToFit="0" wrapText="1"/>
    </xf>
    <xf borderId="103" fillId="0" fontId="1" numFmtId="0" xfId="0" applyAlignment="1" applyBorder="1" applyFont="1">
      <alignment horizontal="right" readingOrder="0" shrinkToFit="0" vertical="bottom" wrapText="1"/>
    </xf>
    <xf borderId="104" fillId="0" fontId="1" numFmtId="0" xfId="0" applyAlignment="1" applyBorder="1" applyFont="1">
      <alignment shrinkToFit="0" wrapText="1"/>
    </xf>
    <xf borderId="103" fillId="0" fontId="1" numFmtId="0" xfId="0" applyAlignment="1" applyBorder="1" applyFont="1">
      <alignment horizontal="center" shrinkToFit="0" vertical="bottom" wrapText="1"/>
    </xf>
    <xf borderId="105" fillId="0" fontId="1" numFmtId="0" xfId="0" applyAlignment="1" applyBorder="1" applyFont="1">
      <alignment shrinkToFit="0" wrapText="1"/>
    </xf>
    <xf borderId="106" fillId="0" fontId="1" numFmtId="0" xfId="0" applyAlignment="1" applyBorder="1" applyFont="1">
      <alignment shrinkToFit="0" wrapText="1"/>
    </xf>
    <xf borderId="107" fillId="0" fontId="1" numFmtId="0" xfId="0" applyAlignment="1" applyBorder="1" applyFont="1">
      <alignment shrinkToFit="0" wrapText="1"/>
    </xf>
    <xf borderId="108" fillId="0" fontId="1" numFmtId="0" xfId="0" applyAlignment="1" applyBorder="1" applyFont="1">
      <alignment shrinkToFit="0" wrapText="1"/>
    </xf>
    <xf borderId="109" fillId="0" fontId="1" numFmtId="0" xfId="0" applyAlignment="1" applyBorder="1" applyFont="1">
      <alignment shrinkToFit="0" wrapText="1"/>
    </xf>
    <xf borderId="110" fillId="0" fontId="1" numFmtId="0" xfId="0" applyAlignment="1" applyBorder="1" applyFont="1">
      <alignment horizontal="right" readingOrder="0" shrinkToFit="0" vertical="bottom" wrapText="1"/>
    </xf>
    <xf borderId="111" fillId="0" fontId="1" numFmtId="0" xfId="0" applyAlignment="1" applyBorder="1" applyFont="1">
      <alignment shrinkToFit="0" wrapText="1"/>
    </xf>
    <xf borderId="112" fillId="2" fontId="1" numFmtId="0" xfId="0" applyAlignment="1" applyBorder="1" applyFont="1">
      <alignment horizontal="center" shrinkToFit="0" vertical="bottom" wrapText="1"/>
    </xf>
    <xf borderId="113" fillId="0" fontId="1" numFmtId="0" xfId="0" applyAlignment="1" applyBorder="1" applyFont="1">
      <alignment shrinkToFit="0" wrapText="1"/>
    </xf>
    <xf borderId="106" fillId="0" fontId="1" numFmtId="0" xfId="0" applyAlignment="1" applyBorder="1" applyFont="1">
      <alignment horizontal="center" shrinkToFit="0" vertical="bottom" wrapText="1"/>
    </xf>
    <xf borderId="114" fillId="0" fontId="1" numFmtId="0" xfId="0" applyAlignment="1" applyBorder="1" applyFont="1">
      <alignment shrinkToFit="0" wrapText="1"/>
    </xf>
    <xf borderId="115" fillId="0" fontId="1" numFmtId="0" xfId="0" applyAlignment="1" applyBorder="1" applyFont="1">
      <alignment horizontal="center" shrinkToFit="0" vertical="bottom" wrapText="1"/>
    </xf>
    <xf borderId="10" fillId="0" fontId="9" numFmtId="0" xfId="0" applyAlignment="1" applyBorder="1" applyFont="1">
      <alignment horizontal="center" readingOrder="0" shrinkToFit="0" vertical="bottom" wrapText="1"/>
    </xf>
    <xf borderId="13" fillId="2" fontId="1" numFmtId="0" xfId="0" applyAlignment="1" applyBorder="1" applyFont="1">
      <alignment horizontal="center" readingOrder="0" shrinkToFit="0" vertical="bottom" wrapText="1"/>
    </xf>
    <xf borderId="97" fillId="0" fontId="1" numFmtId="0" xfId="0" applyAlignment="1" applyBorder="1" applyFont="1">
      <alignment horizontal="center" shrinkToFit="0" vertical="bottom" wrapText="1"/>
    </xf>
    <xf borderId="116" fillId="0" fontId="1" numFmtId="0" xfId="0" applyAlignment="1" applyBorder="1" applyFont="1">
      <alignment horizontal="center" shrinkToFit="0" vertical="bottom" wrapText="1"/>
    </xf>
    <xf borderId="103" fillId="0" fontId="9" numFmtId="0" xfId="0" applyAlignment="1" applyBorder="1" applyFont="1">
      <alignment horizontal="center" readingOrder="0" shrinkToFit="0" vertical="bottom" wrapText="1"/>
    </xf>
    <xf borderId="117" fillId="0" fontId="1" numFmtId="0" xfId="0" applyAlignment="1" applyBorder="1" applyFont="1">
      <alignment shrinkToFit="0" wrapText="1"/>
    </xf>
    <xf borderId="118" fillId="2" fontId="1" numFmtId="0" xfId="0" applyAlignment="1" applyBorder="1" applyFont="1">
      <alignment shrinkToFit="0" wrapText="1"/>
    </xf>
    <xf borderId="119" fillId="0" fontId="1" numFmtId="0" xfId="0" applyAlignment="1" applyBorder="1" applyFont="1">
      <alignment shrinkToFit="0" wrapText="1"/>
    </xf>
    <xf borderId="120" fillId="0" fontId="1" numFmtId="0" xfId="0" applyAlignment="1" applyBorder="1" applyFont="1">
      <alignment shrinkToFit="0" wrapText="1"/>
    </xf>
    <xf borderId="112" fillId="2" fontId="1" numFmtId="0" xfId="0" applyAlignment="1" applyBorder="1" applyFont="1">
      <alignment shrinkToFit="0" wrapText="1"/>
    </xf>
    <xf borderId="121" fillId="2" fontId="1" numFmtId="0" xfId="0" applyAlignment="1" applyBorder="1" applyFont="1">
      <alignment shrinkToFit="0" wrapText="1"/>
    </xf>
    <xf borderId="122" fillId="0" fontId="1" numFmtId="0" xfId="0" applyAlignment="1" applyBorder="1" applyFont="1">
      <alignment shrinkToFit="0" wrapText="1"/>
    </xf>
    <xf borderId="123" fillId="0" fontId="1" numFmtId="0" xfId="0" applyAlignment="1" applyBorder="1" applyFont="1">
      <alignment shrinkToFit="0" wrapText="1"/>
    </xf>
    <xf borderId="124" fillId="0" fontId="1" numFmtId="0" xfId="0" applyAlignment="1" applyBorder="1" applyFont="1">
      <alignment shrinkToFit="0" wrapText="1"/>
    </xf>
    <xf borderId="125" fillId="0" fontId="1" numFmtId="0" xfId="0" applyAlignment="1" applyBorder="1" applyFont="1">
      <alignment shrinkToFit="0" wrapText="1"/>
    </xf>
    <xf borderId="125" fillId="0" fontId="1" numFmtId="0" xfId="0" applyAlignment="1" applyBorder="1" applyFont="1">
      <alignment horizontal="center" shrinkToFit="0" vertical="bottom" wrapText="1"/>
    </xf>
    <xf borderId="100" fillId="0" fontId="3" numFmtId="0" xfId="0" applyAlignment="1" applyBorder="1" applyFont="1">
      <alignment horizontal="center" readingOrder="0" shrinkToFit="0" vertical="center" wrapText="1"/>
    </xf>
    <xf borderId="100" fillId="0" fontId="5" numFmtId="0" xfId="0" applyAlignment="1" applyBorder="1" applyFont="1">
      <alignment horizontal="center" readingOrder="0" shrinkToFit="0" vertical="center" wrapText="1"/>
    </xf>
    <xf borderId="126" fillId="0" fontId="1" numFmtId="0" xfId="0" applyAlignment="1" applyBorder="1" applyFont="1">
      <alignment shrinkToFit="0" wrapText="1"/>
    </xf>
    <xf borderId="127" fillId="2" fontId="1" numFmtId="0" xfId="0" applyAlignment="1" applyBorder="1" applyFont="1">
      <alignment readingOrder="0" shrinkToFit="0" wrapText="1"/>
    </xf>
    <xf borderId="98" fillId="0" fontId="5" numFmtId="0" xfId="0" applyAlignment="1" applyBorder="1" applyFont="1">
      <alignment horizontal="center" shrinkToFit="0" vertical="center" wrapText="1"/>
    </xf>
    <xf borderId="128" fillId="2" fontId="1" numFmtId="0" xfId="0" applyAlignment="1" applyBorder="1" applyFont="1">
      <alignment horizontal="center" shrinkToFit="0" vertical="bottom" wrapText="1"/>
    </xf>
    <xf borderId="118" fillId="0" fontId="1" numFmtId="0" xfId="0" applyAlignment="1" applyBorder="1" applyFont="1">
      <alignment horizontal="center" readingOrder="0" shrinkToFit="0" vertical="bottom" wrapText="1"/>
    </xf>
    <xf borderId="112" fillId="0" fontId="1" numFmtId="0" xfId="0" applyAlignment="1" applyBorder="1" applyFont="1">
      <alignment horizontal="center" readingOrder="0" shrinkToFit="0" vertical="bottom" wrapText="1"/>
    </xf>
    <xf borderId="103" fillId="0" fontId="1" numFmtId="0" xfId="0" applyAlignment="1" applyBorder="1" applyFont="1">
      <alignment shrinkToFit="0" wrapText="1"/>
    </xf>
    <xf borderId="121" fillId="2" fontId="1" numFmtId="0" xfId="0" applyAlignment="1" applyBorder="1" applyFont="1">
      <alignment readingOrder="0" shrinkToFit="0" wrapText="1"/>
    </xf>
    <xf borderId="129" fillId="0" fontId="1" numFmtId="0" xfId="0" applyAlignment="1" applyBorder="1" applyFont="1">
      <alignment shrinkToFit="0" wrapText="1"/>
    </xf>
    <xf borderId="130" fillId="0" fontId="1" numFmtId="0" xfId="0" applyAlignment="1" applyBorder="1" applyFont="1">
      <alignment shrinkToFit="0" wrapText="1"/>
    </xf>
    <xf borderId="131" fillId="0" fontId="1" numFmtId="0" xfId="0" applyAlignment="1" applyBorder="1" applyFont="1">
      <alignment shrinkToFit="0" wrapText="1"/>
    </xf>
    <xf borderId="132" fillId="0" fontId="1" numFmtId="0" xfId="0" applyAlignment="1" applyBorder="1" applyFont="1">
      <alignment shrinkToFit="0" wrapText="1"/>
    </xf>
    <xf borderId="1" fillId="3" fontId="1" numFmtId="0" xfId="0" applyAlignment="1" applyBorder="1" applyFont="1">
      <alignment horizontal="left" shrinkToFit="0" vertical="bottom" wrapText="1"/>
    </xf>
    <xf borderId="10" fillId="3" fontId="1" numFmtId="0" xfId="0" applyAlignment="1" applyBorder="1" applyFont="1">
      <alignment horizontal="right" readingOrder="0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32" fillId="0" fontId="1" numFmtId="0" xfId="0" applyAlignment="1" applyBorder="1" applyFont="1">
      <alignment horizontal="center" shrinkToFit="0" vertical="bottom" wrapText="1"/>
    </xf>
    <xf borderId="103" fillId="0" fontId="1" numFmtId="0" xfId="0" applyAlignment="1" applyBorder="1" applyFont="1">
      <alignment horizontal="center" readingOrder="0" shrinkToFit="0" vertical="bottom" wrapText="1"/>
    </xf>
    <xf borderId="118" fillId="2" fontId="1" numFmtId="0" xfId="0" applyAlignment="1" applyBorder="1" applyFont="1">
      <alignment horizontal="center" shrinkToFit="0" vertical="bottom" wrapText="1"/>
    </xf>
    <xf borderId="103" fillId="0" fontId="10" numFmtId="0" xfId="0" applyAlignment="1" applyBorder="1" applyFont="1">
      <alignment readingOrder="0" shrinkToFit="0" wrapText="1"/>
    </xf>
    <xf borderId="103" fillId="0" fontId="1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" width="6.38"/>
    <col customWidth="1" min="3" max="7" width="5.75"/>
    <col customWidth="1" min="8" max="9" width="6.38"/>
    <col customWidth="1" min="10" max="20" width="5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</row>
    <row r="2">
      <c r="A2" s="1"/>
      <c r="B2" s="5"/>
      <c r="S2" s="6"/>
      <c r="T2" s="1"/>
    </row>
    <row r="3">
      <c r="A3" s="1"/>
      <c r="B3" s="5"/>
      <c r="S3" s="6"/>
      <c r="T3" s="1"/>
    </row>
    <row r="4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"/>
    </row>
    <row r="5">
      <c r="A5" s="10" t="s">
        <v>1</v>
      </c>
      <c r="B5" s="11"/>
      <c r="C5" s="12"/>
      <c r="D5" s="13" t="s">
        <v>2</v>
      </c>
      <c r="E5" s="14"/>
      <c r="F5" s="14"/>
      <c r="G5" s="14"/>
      <c r="H5" s="14"/>
      <c r="I5" s="14"/>
      <c r="J5" s="15"/>
      <c r="K5" s="10" t="s">
        <v>3</v>
      </c>
      <c r="L5" s="12"/>
      <c r="M5" s="13" t="s">
        <v>4</v>
      </c>
      <c r="N5" s="14"/>
      <c r="O5" s="14"/>
      <c r="P5" s="14"/>
      <c r="Q5" s="14"/>
      <c r="R5" s="14"/>
      <c r="S5" s="14"/>
      <c r="T5" s="15"/>
    </row>
    <row r="6">
      <c r="A6" s="1"/>
      <c r="B6" s="1"/>
      <c r="C6" s="1"/>
      <c r="D6" s="16"/>
      <c r="E6" s="16"/>
      <c r="F6" s="16"/>
      <c r="G6" s="16"/>
      <c r="H6" s="17"/>
      <c r="I6" s="17"/>
      <c r="J6" s="16"/>
      <c r="K6" s="1"/>
      <c r="L6" s="1"/>
      <c r="M6" s="16"/>
      <c r="N6" s="16"/>
      <c r="O6" s="16"/>
      <c r="P6" s="16"/>
      <c r="Q6" s="16"/>
      <c r="R6" s="16"/>
      <c r="S6" s="16"/>
      <c r="T6" s="16"/>
    </row>
    <row r="7">
      <c r="A7" s="10" t="s">
        <v>5</v>
      </c>
      <c r="B7" s="12"/>
      <c r="C7" s="13" t="s">
        <v>6</v>
      </c>
      <c r="D7" s="14"/>
      <c r="E7" s="14"/>
      <c r="F7" s="14"/>
      <c r="G7" s="14"/>
      <c r="H7" s="15"/>
      <c r="I7" s="18" t="s">
        <v>7</v>
      </c>
      <c r="J7" s="19"/>
      <c r="K7" s="10" t="s">
        <v>8</v>
      </c>
      <c r="L7" s="12"/>
      <c r="M7" s="13" t="s">
        <v>9</v>
      </c>
      <c r="N7" s="14"/>
      <c r="O7" s="14"/>
      <c r="P7" s="14"/>
      <c r="Q7" s="14"/>
      <c r="R7" s="14"/>
      <c r="S7" s="14"/>
      <c r="T7" s="15"/>
    </row>
    <row r="8">
      <c r="A8" s="1"/>
      <c r="B8" s="1"/>
      <c r="C8" s="16"/>
      <c r="D8" s="16"/>
      <c r="E8" s="16"/>
      <c r="F8" s="16"/>
      <c r="G8" s="16"/>
      <c r="H8" s="17"/>
      <c r="I8" s="20"/>
      <c r="J8" s="16"/>
      <c r="K8" s="1"/>
      <c r="L8" s="1"/>
      <c r="M8" s="16"/>
      <c r="N8" s="16"/>
      <c r="O8" s="16"/>
      <c r="P8" s="16"/>
      <c r="Q8" s="16"/>
      <c r="R8" s="16"/>
      <c r="S8" s="16"/>
      <c r="T8" s="16"/>
    </row>
    <row r="9">
      <c r="A9" s="10" t="s">
        <v>10</v>
      </c>
      <c r="B9" s="12"/>
      <c r="C9" s="13" t="s">
        <v>11</v>
      </c>
      <c r="D9" s="14"/>
      <c r="E9" s="14"/>
      <c r="F9" s="14"/>
      <c r="G9" s="15"/>
      <c r="H9" s="10" t="s">
        <v>12</v>
      </c>
      <c r="I9" s="12"/>
      <c r="J9" s="13" t="s">
        <v>13</v>
      </c>
      <c r="K9" s="14"/>
      <c r="L9" s="14"/>
      <c r="M9" s="15"/>
      <c r="N9" s="10" t="s">
        <v>14</v>
      </c>
      <c r="O9" s="12"/>
      <c r="P9" s="13" t="s">
        <v>15</v>
      </c>
      <c r="Q9" s="14"/>
      <c r="R9" s="14"/>
      <c r="S9" s="14"/>
      <c r="T9" s="15"/>
    </row>
    <row r="10">
      <c r="A10" s="1"/>
      <c r="B10" s="1"/>
      <c r="C10" s="16"/>
      <c r="D10" s="16"/>
      <c r="E10" s="16"/>
      <c r="F10" s="16"/>
      <c r="G10" s="16"/>
      <c r="H10" s="20"/>
      <c r="I10" s="20"/>
      <c r="J10" s="16"/>
      <c r="K10" s="16"/>
      <c r="L10" s="16"/>
      <c r="M10" s="16"/>
      <c r="N10" s="1"/>
      <c r="O10" s="1"/>
      <c r="P10" s="16"/>
      <c r="Q10" s="16"/>
      <c r="R10" s="16"/>
      <c r="S10" s="16"/>
      <c r="T10" s="16"/>
    </row>
    <row r="11">
      <c r="A11" s="1"/>
      <c r="B11" s="1"/>
      <c r="C11" s="21"/>
      <c r="D11" s="21"/>
      <c r="E11" s="21"/>
      <c r="F11" s="21"/>
      <c r="G11" s="21"/>
      <c r="H11" s="22"/>
      <c r="I11" s="22"/>
      <c r="J11" s="21"/>
      <c r="K11" s="21"/>
      <c r="L11" s="21"/>
      <c r="M11" s="21"/>
      <c r="N11" s="21"/>
      <c r="O11" s="21"/>
      <c r="P11" s="21"/>
      <c r="Q11" s="21"/>
      <c r="R11" s="21"/>
      <c r="S11" s="1"/>
      <c r="T11" s="1"/>
    </row>
    <row r="12">
      <c r="A12" s="23" t="s">
        <v>16</v>
      </c>
      <c r="B12" s="24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/>
      <c r="S12" s="28"/>
      <c r="T12" s="29"/>
    </row>
    <row r="13">
      <c r="A13" s="5"/>
      <c r="B13" s="30"/>
      <c r="C13" s="31"/>
      <c r="R13" s="30"/>
      <c r="S13" s="28"/>
      <c r="T13" s="29"/>
    </row>
    <row r="14">
      <c r="A14" s="5"/>
      <c r="B14" s="30"/>
      <c r="C14" s="31"/>
      <c r="R14" s="30"/>
      <c r="S14" s="28"/>
      <c r="T14" s="29"/>
    </row>
    <row r="15">
      <c r="A15" s="5"/>
      <c r="B15" s="30"/>
      <c r="C15" s="31"/>
      <c r="R15" s="30"/>
      <c r="S15" s="28"/>
      <c r="T15" s="29"/>
    </row>
    <row r="16">
      <c r="A16" s="5"/>
      <c r="B16" s="30"/>
      <c r="C16" s="31"/>
      <c r="R16" s="30"/>
      <c r="S16" s="28"/>
      <c r="T16" s="29"/>
    </row>
    <row r="17">
      <c r="A17" s="7"/>
      <c r="B17" s="32"/>
      <c r="C17" s="33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5"/>
      <c r="S17" s="28"/>
      <c r="T17" s="29"/>
    </row>
    <row r="18">
      <c r="A18" s="36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</row>
    <row r="19">
      <c r="T19" s="6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</row>
    <row r="21">
      <c r="A21" s="37" t="s">
        <v>18</v>
      </c>
      <c r="B21" s="38"/>
      <c r="C21" s="37" t="s">
        <v>19</v>
      </c>
      <c r="D21" s="38"/>
      <c r="E21" s="37" t="s">
        <v>20</v>
      </c>
      <c r="F21" s="38"/>
      <c r="G21" s="37" t="s">
        <v>21</v>
      </c>
      <c r="H21" s="38"/>
      <c r="I21" s="37" t="s">
        <v>22</v>
      </c>
      <c r="J21" s="38"/>
      <c r="K21" s="37" t="s">
        <v>23</v>
      </c>
      <c r="L21" s="38"/>
      <c r="M21" s="37" t="s">
        <v>24</v>
      </c>
      <c r="N21" s="38"/>
      <c r="O21" s="37" t="s">
        <v>25</v>
      </c>
      <c r="P21" s="38"/>
      <c r="Q21" s="37" t="s">
        <v>26</v>
      </c>
      <c r="R21" s="38"/>
      <c r="S21" s="37" t="s">
        <v>27</v>
      </c>
      <c r="T21" s="38"/>
    </row>
    <row r="22">
      <c r="A22" s="39">
        <f>floor('Copy of Sheet1'!WS/10,1)+B22</f>
        <v>3</v>
      </c>
      <c r="B22" s="40"/>
      <c r="C22" s="39">
        <f>floor('Copy of Sheet1'!BS/10,1)+D22</f>
        <v>5</v>
      </c>
      <c r="D22" s="40"/>
      <c r="E22" s="39">
        <f>floor('Copy of Sheet1'!ST/10,1)+F22</f>
        <v>4</v>
      </c>
      <c r="F22" s="40"/>
      <c r="G22" s="39">
        <f>floor('Copy of Sheet1'!TUF/10,1)+H22</f>
        <v>4</v>
      </c>
      <c r="H22" s="40"/>
      <c r="I22" s="39">
        <f>floor('Copy of Sheet1'!AG/10,1)+J22</f>
        <v>7</v>
      </c>
      <c r="J22" s="41">
        <v>2.0</v>
      </c>
      <c r="K22" s="39">
        <f>floor('Copy of Sheet1'!INT/10,1)+L22</f>
        <v>4</v>
      </c>
      <c r="L22" s="40"/>
      <c r="M22" s="39">
        <f>floor('Copy of Sheet1'!PER/10,1)+N22</f>
        <v>4</v>
      </c>
      <c r="N22" s="40"/>
      <c r="O22" s="39">
        <f>floor('Copy of Sheet1'!WP/10,1)+P22</f>
        <v>3</v>
      </c>
      <c r="P22" s="40"/>
      <c r="Q22" s="39">
        <f>floor('Copy of Sheet1'!FEL/10,1)+R22</f>
        <v>3</v>
      </c>
      <c r="R22" s="40"/>
      <c r="S22" s="39">
        <f>floor('Copy of Sheet1'!INF/10,1)+T22</f>
        <v>2</v>
      </c>
      <c r="T22" s="42"/>
    </row>
    <row r="23">
      <c r="A23" s="43">
        <f>A25+B25</f>
        <v>38</v>
      </c>
      <c r="B23" s="44"/>
      <c r="C23" s="43">
        <f>C25+D25</f>
        <v>55</v>
      </c>
      <c r="D23" s="44"/>
      <c r="E23" s="43">
        <f>E25+F25</f>
        <v>40</v>
      </c>
      <c r="F23" s="44"/>
      <c r="G23" s="43">
        <f>G25+H25</f>
        <v>40</v>
      </c>
      <c r="H23" s="44"/>
      <c r="I23" s="43">
        <f>I25+J25</f>
        <v>58</v>
      </c>
      <c r="J23" s="44"/>
      <c r="K23" s="43">
        <f>K25+L25</f>
        <v>40</v>
      </c>
      <c r="L23" s="44"/>
      <c r="M23" s="43">
        <f>M25+N25</f>
        <v>47</v>
      </c>
      <c r="N23" s="44"/>
      <c r="O23" s="43">
        <f>O25+P25</f>
        <v>31</v>
      </c>
      <c r="P23" s="44"/>
      <c r="Q23" s="43">
        <f>Q25+R25</f>
        <v>32</v>
      </c>
      <c r="R23" s="44"/>
      <c r="S23" s="43">
        <f>S25+T25</f>
        <v>24</v>
      </c>
      <c r="T23" s="44"/>
    </row>
    <row r="24">
      <c r="A24" s="45"/>
      <c r="B24" s="46"/>
      <c r="C24" s="45"/>
      <c r="D24" s="46"/>
      <c r="E24" s="45"/>
      <c r="F24" s="46"/>
      <c r="G24" s="45"/>
      <c r="H24" s="46"/>
      <c r="I24" s="45"/>
      <c r="J24" s="46"/>
      <c r="K24" s="45"/>
      <c r="L24" s="46"/>
      <c r="M24" s="45"/>
      <c r="N24" s="46"/>
      <c r="O24" s="45"/>
      <c r="P24" s="46"/>
      <c r="Q24" s="45"/>
      <c r="R24" s="46"/>
      <c r="S24" s="45"/>
      <c r="T24" s="46"/>
    </row>
    <row r="25">
      <c r="A25" s="47">
        <v>38.0</v>
      </c>
      <c r="B25" s="48"/>
      <c r="C25" s="47">
        <v>45.0</v>
      </c>
      <c r="D25" s="47">
        <v>10.0</v>
      </c>
      <c r="E25" s="47">
        <v>40.0</v>
      </c>
      <c r="F25" s="48"/>
      <c r="G25" s="47">
        <v>40.0</v>
      </c>
      <c r="H25" s="49"/>
      <c r="I25" s="50">
        <v>53.0</v>
      </c>
      <c r="J25" s="47">
        <v>5.0</v>
      </c>
      <c r="K25" s="47">
        <v>40.0</v>
      </c>
      <c r="L25" s="48"/>
      <c r="M25" s="47">
        <v>47.0</v>
      </c>
      <c r="N25" s="48"/>
      <c r="O25" s="47">
        <v>35.0</v>
      </c>
      <c r="P25" s="47">
        <v>-4.0</v>
      </c>
      <c r="Q25" s="47">
        <v>22.0</v>
      </c>
      <c r="R25" s="47">
        <v>10.0</v>
      </c>
      <c r="S25" s="47">
        <v>22.0</v>
      </c>
      <c r="T25" s="47">
        <v>2.0</v>
      </c>
    </row>
    <row r="26">
      <c r="A26" s="51"/>
      <c r="B26" s="51"/>
      <c r="C26" s="51"/>
      <c r="D26" s="51"/>
      <c r="E26" s="51"/>
      <c r="F26" s="51"/>
      <c r="G26" s="51"/>
      <c r="H26" s="52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</row>
    <row r="27">
      <c r="A27" s="53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  <c r="O27" s="53" t="s">
        <v>29</v>
      </c>
      <c r="P27" s="3"/>
      <c r="Q27" s="3"/>
      <c r="R27" s="3"/>
      <c r="S27" s="3"/>
      <c r="T27" s="4"/>
    </row>
    <row r="28">
      <c r="A28" s="5"/>
      <c r="N28" s="6"/>
      <c r="O28" s="5"/>
      <c r="T28" s="6"/>
    </row>
    <row r="29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9"/>
      <c r="O29" s="7"/>
      <c r="P29" s="8"/>
      <c r="Q29" s="8"/>
      <c r="R29" s="8"/>
      <c r="S29" s="8"/>
      <c r="T29" s="9"/>
    </row>
    <row r="30">
      <c r="A30" s="20"/>
      <c r="B30" s="20"/>
      <c r="C30" s="54"/>
      <c r="D30" s="55" t="s">
        <v>30</v>
      </c>
      <c r="E30" s="56" t="s">
        <v>31</v>
      </c>
      <c r="F30" s="56" t="s">
        <v>32</v>
      </c>
      <c r="G30" s="57" t="s">
        <v>33</v>
      </c>
      <c r="H30" s="20"/>
      <c r="I30" s="20"/>
      <c r="J30" s="54"/>
      <c r="K30" s="55" t="s">
        <v>30</v>
      </c>
      <c r="L30" s="56" t="s">
        <v>31</v>
      </c>
      <c r="M30" s="56" t="s">
        <v>32</v>
      </c>
      <c r="N30" s="57" t="s">
        <v>33</v>
      </c>
      <c r="O30" s="58" t="s">
        <v>34</v>
      </c>
      <c r="P30" s="14"/>
      <c r="Q30" s="14"/>
      <c r="R30" s="14"/>
      <c r="S30" s="14"/>
      <c r="T30" s="14"/>
    </row>
    <row r="31">
      <c r="A31" s="20"/>
      <c r="B31" s="20"/>
      <c r="C31" s="54"/>
      <c r="D31" s="59"/>
      <c r="E31" s="59"/>
      <c r="F31" s="59"/>
      <c r="G31" s="60"/>
      <c r="H31" s="20"/>
      <c r="I31" s="20"/>
      <c r="J31" s="54"/>
      <c r="K31" s="59"/>
      <c r="L31" s="59"/>
      <c r="M31" s="59"/>
      <c r="N31" s="60"/>
      <c r="O31" s="61"/>
      <c r="P31" s="62"/>
      <c r="Q31" s="62"/>
      <c r="R31" s="62"/>
      <c r="S31" s="62"/>
      <c r="T31" s="62"/>
    </row>
    <row r="32">
      <c r="A32" s="20"/>
      <c r="B32" s="20"/>
      <c r="C32" s="54"/>
      <c r="D32" s="63"/>
      <c r="E32" s="63"/>
      <c r="F32" s="63"/>
      <c r="G32" s="64"/>
      <c r="H32" s="20"/>
      <c r="I32" s="20"/>
      <c r="J32" s="54"/>
      <c r="K32" s="63"/>
      <c r="L32" s="63"/>
      <c r="M32" s="63"/>
      <c r="N32" s="64"/>
      <c r="O32" s="65" t="s">
        <v>35</v>
      </c>
      <c r="P32" s="62"/>
      <c r="Q32" s="62"/>
      <c r="R32" s="62"/>
      <c r="S32" s="62"/>
      <c r="T32" s="62"/>
    </row>
    <row r="33">
      <c r="A33" s="66" t="s">
        <v>36</v>
      </c>
      <c r="B33" s="67"/>
      <c r="C33" s="68">
        <f>('Copy of Sheet1'!AG-10)+(istext(D33)*10)+(istext(E33)*10)+(istext(F33)*10)+(istext(G33)*10)</f>
        <v>58</v>
      </c>
      <c r="D33" s="69" t="s">
        <v>37</v>
      </c>
      <c r="E33" s="70"/>
      <c r="F33" s="70"/>
      <c r="G33" s="71"/>
      <c r="H33" s="66" t="s">
        <v>38</v>
      </c>
      <c r="I33" s="67"/>
      <c r="J33" s="68">
        <f>('Copy of Sheet1'!INT-10)+(istext(K33)*10)+(istext(L33)*10)+(istext(M33)*10)+(istext(N33)*10)</f>
        <v>30</v>
      </c>
      <c r="K33" s="70"/>
      <c r="L33" s="70"/>
      <c r="M33" s="70"/>
      <c r="N33" s="71"/>
      <c r="O33" s="65" t="s">
        <v>39</v>
      </c>
      <c r="P33" s="62"/>
      <c r="Q33" s="62"/>
      <c r="R33" s="62"/>
      <c r="S33" s="62"/>
      <c r="T33" s="62"/>
    </row>
    <row r="34">
      <c r="A34" s="66" t="s">
        <v>40</v>
      </c>
      <c r="B34" s="67"/>
      <c r="C34" s="68">
        <f>('Copy of Sheet1'!ST-10)+(istext(D34)*10)+(istext(E34)*10)+(istext(F34)*10)+(istext(G34)*10)</f>
        <v>40</v>
      </c>
      <c r="D34" s="69" t="s">
        <v>37</v>
      </c>
      <c r="E34" s="70"/>
      <c r="F34" s="70"/>
      <c r="G34" s="71"/>
      <c r="H34" s="66" t="s">
        <v>41</v>
      </c>
      <c r="I34" s="67"/>
      <c r="J34" s="68">
        <f>('Copy of Sheet1'!INT-10)+(istext(K34)*10)+(istext(L34)*10)+(istext(M34)*10)+(istext(N34)*10)</f>
        <v>30</v>
      </c>
      <c r="K34" s="70"/>
      <c r="L34" s="70"/>
      <c r="M34" s="70"/>
      <c r="N34" s="71"/>
      <c r="O34" s="65" t="s">
        <v>42</v>
      </c>
      <c r="P34" s="62"/>
      <c r="Q34" s="62"/>
      <c r="R34" s="62"/>
      <c r="S34" s="62"/>
      <c r="T34" s="62"/>
    </row>
    <row r="35">
      <c r="A35" s="66" t="s">
        <v>43</v>
      </c>
      <c r="B35" s="67"/>
      <c r="C35" s="68">
        <f>('Copy of Sheet1'!PER-10)+(istext(D35)*10)+(istext(E35)*10)+(istext(F35)*10)+(istext(G35)*10)</f>
        <v>57</v>
      </c>
      <c r="D35" s="69" t="s">
        <v>37</v>
      </c>
      <c r="E35" s="69" t="s">
        <v>37</v>
      </c>
      <c r="F35" s="70"/>
      <c r="G35" s="71"/>
      <c r="H35" s="66" t="s">
        <v>44</v>
      </c>
      <c r="I35" s="67"/>
      <c r="J35" s="68">
        <f>('Copy of Sheet1'!INT-10)+(istext(K35)*10)+(istext(L35)*10)+(istext(M35)*10)+(istext(N35)*10)</f>
        <v>30</v>
      </c>
      <c r="K35" s="70"/>
      <c r="L35" s="70"/>
      <c r="M35" s="70"/>
      <c r="N35" s="71"/>
      <c r="O35" s="65" t="s">
        <v>45</v>
      </c>
      <c r="P35" s="62"/>
      <c r="Q35" s="62"/>
      <c r="R35" s="62"/>
      <c r="S35" s="62"/>
      <c r="T35" s="62"/>
    </row>
    <row r="36">
      <c r="A36" s="66" t="s">
        <v>46</v>
      </c>
      <c r="B36" s="67"/>
      <c r="C36" s="68">
        <f>('Copy of Sheet1'!FEL-10)+(istext(D36)*10)+(istext(E36)*10)+(istext(F36)*10)+(istext(G36)*10)</f>
        <v>42</v>
      </c>
      <c r="D36" s="69" t="s">
        <v>37</v>
      </c>
      <c r="E36" s="69" t="s">
        <v>37</v>
      </c>
      <c r="F36" s="70"/>
      <c r="G36" s="71"/>
      <c r="H36" s="66" t="s">
        <v>47</v>
      </c>
      <c r="I36" s="67"/>
      <c r="J36" s="68">
        <f>('Copy of Sheet1'!INT-10)+(istext(K36)*10)+(istext(L36)*10)+(istext(M36)*10)+(istext(N36)*10)</f>
        <v>30</v>
      </c>
      <c r="K36" s="70"/>
      <c r="L36" s="70"/>
      <c r="M36" s="70"/>
      <c r="N36" s="71"/>
      <c r="O36" s="65" t="s">
        <v>48</v>
      </c>
      <c r="P36" s="62"/>
      <c r="Q36" s="62"/>
      <c r="R36" s="62"/>
      <c r="S36" s="62"/>
      <c r="T36" s="62"/>
    </row>
    <row r="37">
      <c r="A37" s="66" t="s">
        <v>49</v>
      </c>
      <c r="B37" s="67"/>
      <c r="C37" s="68">
        <f>('Copy of Sheet1'!INT-10)+(istext(D37)*10)+(istext(E37)*10)+(istext(F37)*10)+(istext(G37)*10)</f>
        <v>30</v>
      </c>
      <c r="D37" s="70"/>
      <c r="E37" s="70"/>
      <c r="F37" s="70"/>
      <c r="G37" s="71"/>
      <c r="H37" s="66" t="s">
        <v>50</v>
      </c>
      <c r="I37" s="67"/>
      <c r="J37" s="68">
        <f>('Copy of Sheet1'!AG-10)+(istext(K37)*10)+(istext(L37)*10)+(istext(M37)*10)+(istext(N37)*10)</f>
        <v>48</v>
      </c>
      <c r="K37" s="70"/>
      <c r="L37" s="70"/>
      <c r="M37" s="70"/>
      <c r="N37" s="71"/>
      <c r="O37" s="65" t="s">
        <v>51</v>
      </c>
      <c r="P37" s="62"/>
      <c r="Q37" s="62"/>
      <c r="R37" s="62"/>
      <c r="S37" s="62"/>
      <c r="T37" s="62"/>
    </row>
    <row r="38">
      <c r="A38" s="66" t="s">
        <v>52</v>
      </c>
      <c r="B38" s="67"/>
      <c r="C38" s="68"/>
      <c r="D38" s="70"/>
      <c r="E38" s="70"/>
      <c r="F38" s="70"/>
      <c r="G38" s="71"/>
      <c r="H38" s="66" t="s">
        <v>53</v>
      </c>
      <c r="I38" s="67"/>
      <c r="J38" s="68">
        <f>('Copy of Sheet1'!AG-10)+(istext(K38)*10)+(istext(L38)*10)+(istext(M38)*10)+(istext(N38)*10)</f>
        <v>68</v>
      </c>
      <c r="K38" s="69" t="s">
        <v>37</v>
      </c>
      <c r="L38" s="69" t="s">
        <v>37</v>
      </c>
      <c r="M38" s="70"/>
      <c r="N38" s="71"/>
      <c r="O38" s="65" t="s">
        <v>54</v>
      </c>
      <c r="P38" s="62"/>
      <c r="Q38" s="62"/>
      <c r="R38" s="62"/>
      <c r="S38" s="62"/>
      <c r="T38" s="62"/>
    </row>
    <row r="39">
      <c r="A39" s="72" t="s">
        <v>55</v>
      </c>
      <c r="B39" s="15"/>
      <c r="C39" s="68">
        <f>('Copy of Sheet1'!INT-10)+(istext(D39)*10)+(istext(E39)*10)+(istext(F39)*10)+(istext(G39)*10)</f>
        <v>40</v>
      </c>
      <c r="D39" s="69" t="s">
        <v>37</v>
      </c>
      <c r="E39" s="70"/>
      <c r="F39" s="70"/>
      <c r="G39" s="71"/>
      <c r="H39" s="66" t="s">
        <v>56</v>
      </c>
      <c r="I39" s="67"/>
      <c r="J39" s="68">
        <f>('Copy of Sheet1'!AG-10)+(istext(K39)*10)+(istext(L39)*10)+(istext(M39)*10)+(istext(N39)*10)</f>
        <v>48</v>
      </c>
      <c r="K39" s="70"/>
      <c r="L39" s="70"/>
      <c r="M39" s="70"/>
      <c r="N39" s="71"/>
      <c r="O39" s="65" t="s">
        <v>57</v>
      </c>
      <c r="P39" s="62"/>
      <c r="Q39" s="62"/>
      <c r="R39" s="62"/>
      <c r="S39" s="62"/>
      <c r="T39" s="62"/>
    </row>
    <row r="40">
      <c r="A40" s="73"/>
      <c r="B40" s="74"/>
      <c r="C40" s="68"/>
      <c r="D40" s="70"/>
      <c r="E40" s="70"/>
      <c r="F40" s="70"/>
      <c r="G40" s="71"/>
      <c r="H40" s="66" t="s">
        <v>58</v>
      </c>
      <c r="I40" s="67"/>
      <c r="J40" s="68">
        <f>('Copy of Sheet1'!WS-10)+(istext(K40)*10)+(istext(L40)*10)+(istext(M40)*10)+(istext(N40)*10)</f>
        <v>38</v>
      </c>
      <c r="K40" s="69" t="s">
        <v>37</v>
      </c>
      <c r="L40" s="70"/>
      <c r="M40" s="70"/>
      <c r="N40" s="71"/>
      <c r="O40" s="65" t="s">
        <v>59</v>
      </c>
      <c r="P40" s="62"/>
      <c r="Q40" s="62"/>
      <c r="R40" s="62"/>
      <c r="S40" s="62"/>
      <c r="T40" s="62"/>
    </row>
    <row r="41">
      <c r="A41" s="73"/>
      <c r="B41" s="74"/>
      <c r="C41" s="68"/>
      <c r="D41" s="70"/>
      <c r="E41" s="70"/>
      <c r="F41" s="70"/>
      <c r="G41" s="71"/>
      <c r="H41" s="66" t="s">
        <v>60</v>
      </c>
      <c r="I41" s="67"/>
      <c r="J41" s="68">
        <f>('Copy of Sheet1'!PER-10)+(istext(K41)*10)+(istext(L41)*10)+(istext(M41)*10)+(istext(N41)*10)</f>
        <v>37</v>
      </c>
      <c r="K41" s="70"/>
      <c r="L41" s="70"/>
      <c r="M41" s="70"/>
      <c r="N41" s="71"/>
      <c r="O41" s="65" t="s">
        <v>61</v>
      </c>
      <c r="P41" s="62"/>
      <c r="Q41" s="62"/>
      <c r="R41" s="62"/>
      <c r="S41" s="62"/>
      <c r="T41" s="62"/>
    </row>
    <row r="42">
      <c r="A42" s="73"/>
      <c r="B42" s="74"/>
      <c r="C42" s="68"/>
      <c r="D42" s="70"/>
      <c r="E42" s="70"/>
      <c r="F42" s="70"/>
      <c r="G42" s="71"/>
      <c r="H42" s="66" t="s">
        <v>62</v>
      </c>
      <c r="I42" s="67"/>
      <c r="J42" s="68">
        <f>('Copy of Sheet1'!INT-10)+(istext(K42)*10)+(istext(L42)*10)+(istext(M42)*10)+(istext(N42)*10)</f>
        <v>30</v>
      </c>
      <c r="K42" s="70"/>
      <c r="L42" s="70"/>
      <c r="M42" s="70"/>
      <c r="N42" s="71"/>
      <c r="O42" s="61"/>
      <c r="P42" s="62"/>
      <c r="Q42" s="62"/>
      <c r="R42" s="62"/>
      <c r="S42" s="62"/>
      <c r="T42" s="62"/>
    </row>
    <row r="43">
      <c r="A43" s="73"/>
      <c r="B43" s="74"/>
      <c r="C43" s="68"/>
      <c r="D43" s="70"/>
      <c r="E43" s="70"/>
      <c r="F43" s="70"/>
      <c r="G43" s="71"/>
      <c r="H43" s="72" t="s">
        <v>63</v>
      </c>
      <c r="I43" s="15"/>
      <c r="J43" s="68">
        <f>('Copy of Sheet1'!INT-10)+(istext(K43)*10)+(istext(L43)*10)+(istext(M43)*10)+(istext(N43)*10)</f>
        <v>40</v>
      </c>
      <c r="K43" s="69" t="s">
        <v>37</v>
      </c>
      <c r="L43" s="70"/>
      <c r="M43" s="70"/>
      <c r="N43" s="71"/>
      <c r="O43" s="65" t="s">
        <v>64</v>
      </c>
      <c r="P43" s="62"/>
      <c r="Q43" s="62"/>
      <c r="R43" s="62"/>
      <c r="S43" s="62"/>
      <c r="T43" s="62"/>
    </row>
    <row r="44">
      <c r="A44" s="75" t="s">
        <v>65</v>
      </c>
      <c r="B44" s="76"/>
      <c r="C44" s="68">
        <f>('Copy of Sheet1'!FEL-10)+(istext(D44)*10)+(istext(E44)*10)+(istext(F44)*10)+(istext(G44)*10)</f>
        <v>22</v>
      </c>
      <c r="D44" s="70"/>
      <c r="E44" s="70"/>
      <c r="F44" s="70"/>
      <c r="G44" s="71"/>
      <c r="H44" s="73"/>
      <c r="I44" s="74"/>
      <c r="J44" s="68">
        <f>('Copy of Sheet1'!INT-10)+(istext(K44)*10)+(istext(L44)*10)+(istext(M44)*10)+(istext(N44)*10)</f>
        <v>30</v>
      </c>
      <c r="K44" s="70"/>
      <c r="L44" s="70"/>
      <c r="M44" s="70"/>
      <c r="N44" s="71"/>
      <c r="O44" s="61"/>
      <c r="P44" s="62"/>
      <c r="Q44" s="62"/>
      <c r="R44" s="62"/>
      <c r="S44" s="62"/>
      <c r="T44" s="62"/>
    </row>
    <row r="45">
      <c r="A45" s="66" t="s">
        <v>66</v>
      </c>
      <c r="B45" s="67"/>
      <c r="C45" s="68">
        <f>('Copy of Sheet1'!AG-10)+(istext(D45)*10)+(istext(E45)*10)+(istext(F45)*10)+(istext(G45)*10)</f>
        <v>68</v>
      </c>
      <c r="D45" s="69" t="s">
        <v>37</v>
      </c>
      <c r="E45" s="69" t="s">
        <v>37</v>
      </c>
      <c r="F45" s="70"/>
      <c r="G45" s="71"/>
      <c r="H45" s="73"/>
      <c r="I45" s="74"/>
      <c r="J45" s="68">
        <f>('Copy of Sheet1'!INT-10)+(istext(K45)*10)+(istext(L45)*10)+(istext(M45)*10)+(istext(N45)*10)</f>
        <v>30</v>
      </c>
      <c r="K45" s="70"/>
      <c r="L45" s="70"/>
      <c r="M45" s="70"/>
      <c r="N45" s="71"/>
      <c r="O45" s="65" t="s">
        <v>67</v>
      </c>
      <c r="P45" s="62"/>
      <c r="Q45" s="62"/>
      <c r="R45" s="62"/>
      <c r="S45" s="62"/>
      <c r="T45" s="62"/>
    </row>
    <row r="46">
      <c r="A46" s="66" t="s">
        <v>68</v>
      </c>
      <c r="B46" s="67"/>
      <c r="C46" s="68">
        <f>('Copy of Sheet1'!INT-10)+(istext(D46)*10)+(istext(E46)*10)+(istext(F46)*10)+(istext(G46)*10)</f>
        <v>30</v>
      </c>
      <c r="D46" s="70"/>
      <c r="E46" s="70"/>
      <c r="F46" s="70"/>
      <c r="G46" s="71"/>
      <c r="H46" s="73"/>
      <c r="I46" s="74"/>
      <c r="J46" s="68">
        <f>('Copy of Sheet1'!INT-10)+(istext(K46)*10)+(istext(L46)*10)+(istext(M46)*10)+(istext(N46)*10)</f>
        <v>30</v>
      </c>
      <c r="K46" s="70"/>
      <c r="L46" s="70"/>
      <c r="M46" s="70"/>
      <c r="N46" s="71"/>
      <c r="O46" s="65" t="s">
        <v>69</v>
      </c>
      <c r="P46" s="62"/>
      <c r="Q46" s="62"/>
      <c r="R46" s="62"/>
      <c r="S46" s="62"/>
      <c r="T46" s="62"/>
    </row>
    <row r="47">
      <c r="A47" s="77"/>
      <c r="B47" s="15"/>
      <c r="C47" s="68">
        <f>('Copy of Sheet1'!INT-10)+(istext(D47)*10)+(istext(E47)*10)+(istext(F47)*10)+(istext(G47)*10)</f>
        <v>30</v>
      </c>
      <c r="D47" s="70"/>
      <c r="E47" s="70"/>
      <c r="F47" s="70"/>
      <c r="G47" s="71"/>
      <c r="H47" s="75" t="s">
        <v>70</v>
      </c>
      <c r="I47" s="76"/>
      <c r="J47" s="68">
        <f>('Copy of Sheet1'!PER-10)+(istext(K47)*10)+(istext(L47)*10)+(istext(M47)*10)+(istext(N47)*10)</f>
        <v>37</v>
      </c>
      <c r="K47" s="70"/>
      <c r="L47" s="70"/>
      <c r="M47" s="70"/>
      <c r="N47" s="71"/>
      <c r="O47" s="65" t="s">
        <v>71</v>
      </c>
      <c r="P47" s="62"/>
      <c r="Q47" s="62"/>
      <c r="R47" s="62"/>
      <c r="S47" s="62"/>
      <c r="T47" s="62"/>
    </row>
    <row r="48">
      <c r="A48" s="73"/>
      <c r="B48" s="74"/>
      <c r="C48" s="68">
        <f>('Copy of Sheet1'!INT-10)+(istext(D48)*10)+(istext(E48)*10)+(istext(F48)*10)+(istext(G48)*10)</f>
        <v>30</v>
      </c>
      <c r="D48" s="70"/>
      <c r="E48" s="70"/>
      <c r="F48" s="70"/>
      <c r="G48" s="71"/>
      <c r="H48" s="66" t="s">
        <v>72</v>
      </c>
      <c r="I48" s="67"/>
      <c r="J48" s="68">
        <f>('Copy of Sheet1'!INT-10)+(istext(K48)*10)+(istext(L48)*10)+(istext(M48)*10)+(istext(N48)*10)</f>
        <v>40</v>
      </c>
      <c r="K48" s="69" t="s">
        <v>37</v>
      </c>
      <c r="L48" s="70"/>
      <c r="M48" s="70"/>
      <c r="N48" s="71"/>
      <c r="O48" s="65" t="s">
        <v>73</v>
      </c>
      <c r="P48" s="62"/>
      <c r="Q48" s="62"/>
      <c r="R48" s="62"/>
      <c r="S48" s="62"/>
      <c r="T48" s="62"/>
    </row>
    <row r="49">
      <c r="A49" s="73"/>
      <c r="B49" s="74"/>
      <c r="C49" s="68">
        <f>('Copy of Sheet1'!INT-10)+(istext(D49)*10)+(istext(E49)*10)+(istext(F49)*10)+(istext(G49)*10)</f>
        <v>30</v>
      </c>
      <c r="D49" s="70"/>
      <c r="E49" s="70"/>
      <c r="F49" s="70"/>
      <c r="G49" s="71"/>
      <c r="H49" s="66" t="s">
        <v>74</v>
      </c>
      <c r="I49" s="67"/>
      <c r="J49" s="68">
        <f>('Copy of Sheet1'!AG-10)+(istext(K49)*10)+(istext(L49)*10)+(istext(M49)*10)+(istext(N49)*10)</f>
        <v>68</v>
      </c>
      <c r="K49" s="69" t="s">
        <v>37</v>
      </c>
      <c r="L49" s="69" t="s">
        <v>37</v>
      </c>
      <c r="M49" s="70"/>
      <c r="N49" s="71"/>
      <c r="O49" s="65" t="s">
        <v>75</v>
      </c>
      <c r="P49" s="62"/>
      <c r="Q49" s="62"/>
      <c r="R49" s="62"/>
      <c r="S49" s="62"/>
      <c r="T49" s="62"/>
    </row>
    <row r="50">
      <c r="A50" s="73"/>
      <c r="B50" s="74"/>
      <c r="C50" s="68">
        <f>('Copy of Sheet1'!INT-10)+(istext(D50)*10)+(istext(E50)*10)+(istext(F50)*10)+(istext(G50)*10)</f>
        <v>30</v>
      </c>
      <c r="D50" s="70"/>
      <c r="E50" s="70"/>
      <c r="F50" s="70"/>
      <c r="G50" s="71"/>
      <c r="H50" s="66" t="s">
        <v>76</v>
      </c>
      <c r="I50" s="67"/>
      <c r="J50" s="68">
        <f>('Copy of Sheet1'!AG-10)+(istext(K50)*10)+(istext(L50)*10)+(istext(M50)*10)+(istext(N50)*10)</f>
        <v>68</v>
      </c>
      <c r="K50" s="69" t="s">
        <v>37</v>
      </c>
      <c r="L50" s="69" t="s">
        <v>37</v>
      </c>
      <c r="M50" s="70"/>
      <c r="N50" s="71"/>
      <c r="O50" s="65" t="s">
        <v>77</v>
      </c>
      <c r="P50" s="62"/>
      <c r="Q50" s="62"/>
      <c r="R50" s="62"/>
      <c r="S50" s="62"/>
      <c r="T50" s="62"/>
    </row>
    <row r="51">
      <c r="A51" s="75" t="s">
        <v>78</v>
      </c>
      <c r="B51" s="76"/>
      <c r="C51" s="68">
        <f>('Copy of Sheet1'!FEL-10)+(istext(D51)*10)+(istext(E51)*10)+(istext(F51)*10)+(istext(G51)*10)</f>
        <v>22</v>
      </c>
      <c r="D51" s="70"/>
      <c r="E51" s="70"/>
      <c r="F51" s="70"/>
      <c r="G51" s="71"/>
      <c r="H51" s="66" t="s">
        <v>79</v>
      </c>
      <c r="I51" s="67"/>
      <c r="J51" s="68">
        <f>('Copy of Sheet1'!INT-10)+(istext(K51)*10)+(istext(L51)*10)+(istext(M51)*10)+(istext(N51)*10)</f>
        <v>40</v>
      </c>
      <c r="K51" s="69" t="s">
        <v>37</v>
      </c>
      <c r="L51" s="70"/>
      <c r="M51" s="70"/>
      <c r="N51" s="71"/>
      <c r="O51" s="65" t="s">
        <v>80</v>
      </c>
      <c r="P51" s="62"/>
      <c r="Q51" s="62"/>
      <c r="R51" s="62"/>
      <c r="S51" s="62"/>
      <c r="T51" s="62"/>
    </row>
    <row r="52">
      <c r="A52" s="66" t="s">
        <v>81</v>
      </c>
      <c r="B52" s="67"/>
      <c r="C52" s="68">
        <f>('Copy of Sheet1'!WP-10)+(istext(D52)*10)+(istext(E52)*10)+(istext(F52)*10)+(istext(G52)*10)</f>
        <v>31</v>
      </c>
      <c r="D52" s="69" t="s">
        <v>37</v>
      </c>
      <c r="E52" s="70"/>
      <c r="F52" s="70"/>
      <c r="G52" s="71"/>
      <c r="H52" s="66" t="s">
        <v>82</v>
      </c>
      <c r="I52" s="67"/>
      <c r="J52" s="68">
        <f>('Copy of Sheet1'!INT-10)+(istext(K52)*10)+(istext(L52)*10)+(istext(M52)*10)+(istext(N52)*10)</f>
        <v>30</v>
      </c>
      <c r="K52" s="70"/>
      <c r="L52" s="70"/>
      <c r="M52" s="70"/>
      <c r="N52" s="71"/>
      <c r="O52" s="65" t="s">
        <v>83</v>
      </c>
      <c r="P52" s="62"/>
      <c r="Q52" s="62"/>
      <c r="R52" s="62"/>
      <c r="S52" s="62"/>
      <c r="T52" s="62"/>
    </row>
    <row r="53">
      <c r="A53" s="66" t="s">
        <v>84</v>
      </c>
      <c r="B53" s="67"/>
      <c r="C53" s="68">
        <f>('Copy of Sheet1'!INT-10)+(istext(D53)*10)+(istext(E53)*10)+(istext(F53)*10)+(istext(G53)*10)</f>
        <v>30</v>
      </c>
      <c r="D53" s="70"/>
      <c r="E53" s="70"/>
      <c r="F53" s="70"/>
      <c r="G53" s="71"/>
      <c r="H53" s="66" t="s">
        <v>85</v>
      </c>
      <c r="I53" s="67"/>
      <c r="J53" s="68">
        <f>('Copy of Sheet1'!INT-10)+(istext(K53)*10)+(istext(L53)*10)+(istext(M53)*10)+(istext(N53)*10)</f>
        <v>30</v>
      </c>
      <c r="K53" s="70"/>
      <c r="L53" s="70"/>
      <c r="M53" s="70"/>
      <c r="N53" s="71"/>
      <c r="O53" s="65" t="s">
        <v>86</v>
      </c>
      <c r="P53" s="62"/>
      <c r="Q53" s="62"/>
      <c r="R53" s="62"/>
      <c r="S53" s="62"/>
      <c r="T53" s="62"/>
    </row>
    <row r="54">
      <c r="A54" s="77"/>
      <c r="B54" s="15"/>
      <c r="C54" s="68">
        <f>('Copy of Sheet1'!INT-10)+(istext(D54)*10)+(istext(E54)*10)+(istext(F54)*10)+(istext(G54)*10)</f>
        <v>30</v>
      </c>
      <c r="D54" s="70"/>
      <c r="E54" s="70"/>
      <c r="F54" s="70"/>
      <c r="G54" s="71"/>
      <c r="H54" s="77"/>
      <c r="I54" s="15"/>
      <c r="J54" s="68"/>
      <c r="K54" s="70"/>
      <c r="L54" s="70"/>
      <c r="M54" s="70"/>
      <c r="N54" s="71"/>
      <c r="O54" s="65" t="s">
        <v>87</v>
      </c>
      <c r="P54" s="62"/>
      <c r="Q54" s="62"/>
      <c r="R54" s="62"/>
      <c r="S54" s="62"/>
      <c r="T54" s="62"/>
    </row>
    <row r="55">
      <c r="A55" s="73"/>
      <c r="B55" s="74"/>
      <c r="C55" s="68">
        <f>('Copy of Sheet1'!INT-10)+(istext(D55)*10)+(istext(E55)*10)+(istext(F55)*10)+(istext(G55)*10)</f>
        <v>30</v>
      </c>
      <c r="D55" s="70"/>
      <c r="E55" s="70"/>
      <c r="F55" s="70"/>
      <c r="G55" s="71"/>
      <c r="H55" s="73"/>
      <c r="I55" s="74"/>
      <c r="J55" s="68"/>
      <c r="K55" s="70"/>
      <c r="L55" s="70"/>
      <c r="M55" s="70"/>
      <c r="N55" s="71"/>
      <c r="O55" s="61"/>
      <c r="P55" s="62"/>
      <c r="Q55" s="62"/>
      <c r="R55" s="62"/>
      <c r="S55" s="62"/>
      <c r="T55" s="62"/>
    </row>
    <row r="56">
      <c r="A56" s="75" t="s">
        <v>88</v>
      </c>
      <c r="B56" s="76"/>
      <c r="C56" s="68">
        <f>('Copy of Sheet1'!INT-10)+(istext(D56)*10)+(istext(E56)*10)+(istext(F56)*10)+(istext(G56)*10)</f>
        <v>30</v>
      </c>
      <c r="D56" s="70"/>
      <c r="E56" s="70"/>
      <c r="F56" s="70"/>
      <c r="G56" s="71"/>
      <c r="H56" s="73"/>
      <c r="I56" s="74"/>
      <c r="J56" s="68"/>
      <c r="K56" s="70"/>
      <c r="L56" s="70"/>
      <c r="M56" s="70"/>
      <c r="N56" s="71"/>
      <c r="O56" s="61"/>
      <c r="P56" s="62"/>
      <c r="Q56" s="62"/>
      <c r="R56" s="62"/>
      <c r="S56" s="62"/>
      <c r="T56" s="62"/>
    </row>
    <row r="57">
      <c r="A57" s="1"/>
      <c r="B57" s="1"/>
      <c r="C57" s="1"/>
      <c r="D57" s="78"/>
      <c r="E57" s="78"/>
      <c r="F57" s="78"/>
      <c r="G57" s="78"/>
      <c r="H57" s="17"/>
      <c r="I57" s="17"/>
      <c r="J57" s="1"/>
      <c r="K57" s="78"/>
      <c r="L57" s="78"/>
      <c r="M57" s="78"/>
      <c r="N57" s="78"/>
      <c r="O57" s="16"/>
      <c r="P57" s="16"/>
      <c r="Q57" s="16"/>
      <c r="R57" s="16"/>
      <c r="S57" s="16"/>
      <c r="T57" s="16"/>
    </row>
    <row r="58">
      <c r="A58" s="1"/>
      <c r="B58" s="1"/>
      <c r="C58" s="1"/>
      <c r="D58" s="1"/>
      <c r="E58" s="1"/>
      <c r="F58" s="1"/>
      <c r="G58" s="1"/>
      <c r="H58" s="20"/>
      <c r="I58" s="2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20"/>
      <c r="I59" s="2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79" t="s">
        <v>89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4"/>
      <c r="M60" s="1"/>
      <c r="N60" s="1"/>
      <c r="O60" s="1"/>
      <c r="P60" s="1"/>
      <c r="Q60" s="1"/>
      <c r="R60" s="1"/>
      <c r="S60" s="1"/>
      <c r="T60" s="1"/>
    </row>
    <row r="61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9"/>
      <c r="M61" s="1"/>
      <c r="N61" s="80" t="s">
        <v>90</v>
      </c>
      <c r="O61" s="3"/>
      <c r="P61" s="3"/>
      <c r="Q61" s="3"/>
      <c r="R61" s="3"/>
      <c r="S61" s="4"/>
      <c r="T61" s="1"/>
    </row>
    <row r="62">
      <c r="A62" s="81" t="s">
        <v>91</v>
      </c>
      <c r="B62" s="82" t="s">
        <v>92</v>
      </c>
      <c r="C62" s="14"/>
      <c r="D62" s="14"/>
      <c r="E62" s="14"/>
      <c r="F62" s="14"/>
      <c r="G62" s="14"/>
      <c r="H62" s="14"/>
      <c r="I62" s="14"/>
      <c r="J62" s="14"/>
      <c r="K62" s="14"/>
      <c r="L62" s="83"/>
      <c r="M62" s="84"/>
      <c r="N62" s="7"/>
      <c r="O62" s="8"/>
      <c r="P62" s="8"/>
      <c r="Q62" s="8"/>
      <c r="R62" s="8"/>
      <c r="S62" s="9"/>
      <c r="T62" s="1"/>
    </row>
    <row r="63">
      <c r="A63" s="81" t="s">
        <v>93</v>
      </c>
      <c r="B63" s="85" t="s">
        <v>94</v>
      </c>
      <c r="C63" s="74"/>
      <c r="D63" s="86" t="s">
        <v>95</v>
      </c>
      <c r="E63" s="85" t="s">
        <v>96</v>
      </c>
      <c r="F63" s="74"/>
      <c r="G63" s="86" t="s">
        <v>97</v>
      </c>
      <c r="H63" s="85" t="s">
        <v>98</v>
      </c>
      <c r="I63" s="74"/>
      <c r="J63" s="86" t="s">
        <v>99</v>
      </c>
      <c r="K63" s="85">
        <v>3.0</v>
      </c>
      <c r="L63" s="87"/>
      <c r="M63" s="84"/>
      <c r="N63" s="1"/>
      <c r="O63" s="1"/>
      <c r="P63" s="88"/>
      <c r="Q63" s="88"/>
      <c r="R63" s="1"/>
      <c r="S63" s="1"/>
      <c r="T63" s="1"/>
    </row>
    <row r="64">
      <c r="A64" s="81" t="s">
        <v>100</v>
      </c>
      <c r="B64" s="89">
        <v>40.0</v>
      </c>
      <c r="C64" s="76"/>
      <c r="D64" s="18" t="s">
        <v>101</v>
      </c>
      <c r="E64" s="89" t="s">
        <v>102</v>
      </c>
      <c r="F64" s="76"/>
      <c r="G64" s="18" t="s">
        <v>103</v>
      </c>
      <c r="H64" s="89">
        <v>30.0</v>
      </c>
      <c r="I64" s="76"/>
      <c r="J64" s="18" t="s">
        <v>104</v>
      </c>
      <c r="K64" s="89" t="s">
        <v>105</v>
      </c>
      <c r="L64" s="90"/>
      <c r="M64" s="84"/>
      <c r="N64" s="1"/>
      <c r="O64" s="91"/>
      <c r="P64" s="92" t="s">
        <v>106</v>
      </c>
      <c r="Q64" s="93"/>
      <c r="R64" s="84"/>
      <c r="S64" s="1"/>
      <c r="T64" s="1"/>
    </row>
    <row r="65">
      <c r="A65" s="94" t="s">
        <v>107</v>
      </c>
      <c r="B65" s="12"/>
      <c r="C65" s="95"/>
      <c r="D65" s="14"/>
      <c r="E65" s="14"/>
      <c r="F65" s="14"/>
      <c r="G65" s="14"/>
      <c r="H65" s="14"/>
      <c r="I65" s="14"/>
      <c r="J65" s="14"/>
      <c r="K65" s="14"/>
      <c r="L65" s="83"/>
      <c r="M65" s="84"/>
      <c r="N65" s="1"/>
      <c r="O65" s="91"/>
      <c r="P65" s="96" t="s">
        <v>108</v>
      </c>
      <c r="Q65" s="97"/>
      <c r="R65" s="84"/>
      <c r="S65" s="1"/>
      <c r="T65" s="1"/>
    </row>
    <row r="66">
      <c r="A66" s="98" t="s">
        <v>109</v>
      </c>
      <c r="B66" s="24"/>
      <c r="C66" s="99" t="s">
        <v>110</v>
      </c>
      <c r="D66" s="26"/>
      <c r="E66" s="26"/>
      <c r="F66" s="26"/>
      <c r="G66" s="26"/>
      <c r="H66" s="26"/>
      <c r="I66" s="26"/>
      <c r="J66" s="26"/>
      <c r="K66" s="26"/>
      <c r="L66" s="100"/>
      <c r="M66" s="84"/>
      <c r="N66" s="88"/>
      <c r="O66" s="101"/>
      <c r="P66" s="102" t="s">
        <v>97</v>
      </c>
      <c r="Q66" s="97"/>
      <c r="R66" s="103"/>
      <c r="S66" s="88"/>
      <c r="T66" s="1"/>
    </row>
    <row r="67">
      <c r="A67" s="104"/>
      <c r="B67" s="32"/>
      <c r="C67" s="33"/>
      <c r="D67" s="34"/>
      <c r="E67" s="34"/>
      <c r="F67" s="34"/>
      <c r="G67" s="34"/>
      <c r="H67" s="34"/>
      <c r="I67" s="34"/>
      <c r="J67" s="34"/>
      <c r="K67" s="34"/>
      <c r="L67" s="105"/>
      <c r="M67" s="106"/>
      <c r="N67" s="92" t="s">
        <v>111</v>
      </c>
      <c r="O67" s="93"/>
      <c r="P67" s="107"/>
      <c r="Q67" s="108"/>
      <c r="R67" s="92" t="s">
        <v>112</v>
      </c>
      <c r="S67" s="93"/>
      <c r="T67" s="84"/>
    </row>
    <row r="68">
      <c r="A68" s="1"/>
      <c r="B68" s="1"/>
      <c r="C68" s="16"/>
      <c r="D68" s="16"/>
      <c r="E68" s="16"/>
      <c r="F68" s="16"/>
      <c r="G68" s="16"/>
      <c r="H68" s="17"/>
      <c r="I68" s="17"/>
      <c r="J68" s="16"/>
      <c r="K68" s="16"/>
      <c r="L68" s="16"/>
      <c r="M68" s="91"/>
      <c r="N68" s="96" t="s">
        <v>113</v>
      </c>
      <c r="O68" s="97"/>
      <c r="P68" s="104"/>
      <c r="Q68" s="109"/>
      <c r="R68" s="96" t="s">
        <v>114</v>
      </c>
      <c r="S68" s="97"/>
      <c r="T68" s="84"/>
    </row>
    <row r="69">
      <c r="A69" s="79" t="s">
        <v>89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4"/>
      <c r="M69" s="91"/>
      <c r="N69" s="102" t="s">
        <v>97</v>
      </c>
      <c r="O69" s="97"/>
      <c r="P69" s="110" t="s">
        <v>115</v>
      </c>
      <c r="Q69" s="111">
        <v>6.0</v>
      </c>
      <c r="R69" s="102" t="s">
        <v>97</v>
      </c>
      <c r="S69" s="97"/>
      <c r="T69" s="84"/>
    </row>
    <row r="70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1"/>
      <c r="N70" s="107"/>
      <c r="O70" s="108"/>
      <c r="P70" s="112"/>
      <c r="Q70" s="113"/>
      <c r="R70" s="107"/>
      <c r="S70" s="108"/>
      <c r="T70" s="84"/>
    </row>
    <row r="71">
      <c r="A71" s="81" t="s">
        <v>91</v>
      </c>
      <c r="B71" s="82" t="s">
        <v>116</v>
      </c>
      <c r="C71" s="14"/>
      <c r="D71" s="14"/>
      <c r="E71" s="14"/>
      <c r="F71" s="14"/>
      <c r="G71" s="14"/>
      <c r="H71" s="14"/>
      <c r="I71" s="14"/>
      <c r="J71" s="14"/>
      <c r="K71" s="14"/>
      <c r="L71" s="83"/>
      <c r="M71" s="106"/>
      <c r="N71" s="104"/>
      <c r="O71" s="109"/>
      <c r="P71" s="103"/>
      <c r="Q71" s="101"/>
      <c r="R71" s="104"/>
      <c r="S71" s="109"/>
      <c r="T71" s="84"/>
    </row>
    <row r="72">
      <c r="A72" s="81" t="s">
        <v>93</v>
      </c>
      <c r="B72" s="85" t="s">
        <v>117</v>
      </c>
      <c r="C72" s="74"/>
      <c r="D72" s="86" t="s">
        <v>95</v>
      </c>
      <c r="E72" s="85" t="s">
        <v>118</v>
      </c>
      <c r="F72" s="74"/>
      <c r="G72" s="86" t="s">
        <v>97</v>
      </c>
      <c r="H72" s="85" t="s">
        <v>37</v>
      </c>
      <c r="I72" s="74"/>
      <c r="J72" s="86" t="s">
        <v>99</v>
      </c>
      <c r="K72" s="85">
        <v>4.0</v>
      </c>
      <c r="L72" s="87"/>
      <c r="M72" s="106"/>
      <c r="N72" s="110" t="s">
        <v>115</v>
      </c>
      <c r="O72" s="111">
        <v>7.0</v>
      </c>
      <c r="P72" s="92" t="s">
        <v>119</v>
      </c>
      <c r="Q72" s="93"/>
      <c r="R72" s="110" t="s">
        <v>115</v>
      </c>
      <c r="S72" s="111">
        <v>7.0</v>
      </c>
      <c r="T72" s="84"/>
    </row>
    <row r="73">
      <c r="A73" s="81" t="s">
        <v>100</v>
      </c>
      <c r="B73" s="89">
        <v>30.0</v>
      </c>
      <c r="C73" s="76"/>
      <c r="D73" s="18" t="s">
        <v>101</v>
      </c>
      <c r="E73" s="89" t="s">
        <v>120</v>
      </c>
      <c r="F73" s="76"/>
      <c r="G73" s="18" t="s">
        <v>103</v>
      </c>
      <c r="H73" s="89">
        <v>8.0</v>
      </c>
      <c r="I73" s="76"/>
      <c r="J73" s="18" t="s">
        <v>104</v>
      </c>
      <c r="K73" s="89" t="s">
        <v>121</v>
      </c>
      <c r="L73" s="90"/>
      <c r="M73" s="84"/>
      <c r="N73" s="114"/>
      <c r="O73" s="113"/>
      <c r="P73" s="96" t="s">
        <v>122</v>
      </c>
      <c r="Q73" s="97"/>
      <c r="R73" s="112"/>
      <c r="S73" s="114"/>
      <c r="T73" s="1"/>
    </row>
    <row r="74">
      <c r="A74" s="94" t="s">
        <v>107</v>
      </c>
      <c r="B74" s="12"/>
      <c r="C74" s="95"/>
      <c r="D74" s="14"/>
      <c r="E74" s="14"/>
      <c r="F74" s="14"/>
      <c r="G74" s="14"/>
      <c r="H74" s="14"/>
      <c r="I74" s="14"/>
      <c r="J74" s="14"/>
      <c r="K74" s="14"/>
      <c r="L74" s="83"/>
      <c r="M74" s="84"/>
      <c r="N74" s="1"/>
      <c r="O74" s="91"/>
      <c r="P74" s="102" t="s">
        <v>97</v>
      </c>
      <c r="Q74" s="97"/>
      <c r="R74" s="84"/>
      <c r="S74" s="1"/>
      <c r="T74" s="1"/>
    </row>
    <row r="75">
      <c r="A75" s="98" t="s">
        <v>109</v>
      </c>
      <c r="B75" s="24"/>
      <c r="C75" s="99" t="s">
        <v>123</v>
      </c>
      <c r="D75" s="26"/>
      <c r="E75" s="26"/>
      <c r="F75" s="26"/>
      <c r="G75" s="26"/>
      <c r="H75" s="26"/>
      <c r="I75" s="26"/>
      <c r="J75" s="26"/>
      <c r="K75" s="26"/>
      <c r="L75" s="100"/>
      <c r="M75" s="84"/>
      <c r="N75" s="88"/>
      <c r="O75" s="101"/>
      <c r="P75" s="107"/>
      <c r="Q75" s="108"/>
      <c r="R75" s="103"/>
      <c r="S75" s="88"/>
      <c r="T75" s="1"/>
    </row>
    <row r="76">
      <c r="A76" s="104"/>
      <c r="B76" s="32"/>
      <c r="C76" s="33"/>
      <c r="D76" s="34"/>
      <c r="E76" s="34"/>
      <c r="F76" s="34"/>
      <c r="G76" s="34"/>
      <c r="H76" s="34"/>
      <c r="I76" s="34"/>
      <c r="J76" s="34"/>
      <c r="K76" s="34"/>
      <c r="L76" s="105"/>
      <c r="M76" s="106"/>
      <c r="N76" s="92" t="s">
        <v>124</v>
      </c>
      <c r="O76" s="93"/>
      <c r="P76" s="104"/>
      <c r="Q76" s="109"/>
      <c r="R76" s="92" t="s">
        <v>125</v>
      </c>
      <c r="S76" s="93"/>
      <c r="T76" s="84"/>
    </row>
    <row r="77">
      <c r="A77" s="1"/>
      <c r="B77" s="1"/>
      <c r="C77" s="16"/>
      <c r="D77" s="16"/>
      <c r="E77" s="16"/>
      <c r="F77" s="16"/>
      <c r="G77" s="16"/>
      <c r="H77" s="17"/>
      <c r="I77" s="17"/>
      <c r="J77" s="16"/>
      <c r="K77" s="16"/>
      <c r="L77" s="16"/>
      <c r="M77" s="91"/>
      <c r="N77" s="96" t="s">
        <v>126</v>
      </c>
      <c r="O77" s="97"/>
      <c r="P77" s="110" t="s">
        <v>115</v>
      </c>
      <c r="Q77" s="111">
        <v>7.0</v>
      </c>
      <c r="R77" s="96" t="s">
        <v>127</v>
      </c>
      <c r="S77" s="97"/>
      <c r="T77" s="84"/>
    </row>
    <row r="78">
      <c r="A78" s="79" t="s">
        <v>89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4"/>
      <c r="M78" s="91"/>
      <c r="N78" s="102" t="s">
        <v>97</v>
      </c>
      <c r="O78" s="97"/>
      <c r="P78" s="112"/>
      <c r="Q78" s="113"/>
      <c r="R78" s="102" t="s">
        <v>97</v>
      </c>
      <c r="S78" s="97"/>
      <c r="T78" s="84"/>
    </row>
    <row r="79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9"/>
      <c r="M79" s="91"/>
      <c r="N79" s="107"/>
      <c r="O79" s="108"/>
      <c r="P79" s="84"/>
      <c r="Q79" s="91"/>
      <c r="R79" s="107"/>
      <c r="S79" s="108"/>
      <c r="T79" s="84"/>
    </row>
    <row r="80">
      <c r="A80" s="81" t="s">
        <v>91</v>
      </c>
      <c r="B80" s="82" t="s">
        <v>128</v>
      </c>
      <c r="C80" s="14"/>
      <c r="D80" s="14"/>
      <c r="E80" s="14"/>
      <c r="F80" s="14"/>
      <c r="G80" s="14"/>
      <c r="H80" s="14"/>
      <c r="I80" s="14"/>
      <c r="J80" s="14"/>
      <c r="K80" s="14"/>
      <c r="L80" s="83"/>
      <c r="M80" s="106"/>
      <c r="N80" s="104"/>
      <c r="O80" s="109"/>
      <c r="P80" s="84"/>
      <c r="Q80" s="91"/>
      <c r="R80" s="104"/>
      <c r="S80" s="109"/>
      <c r="T80" s="84"/>
    </row>
    <row r="81">
      <c r="A81" s="81" t="s">
        <v>93</v>
      </c>
      <c r="B81" s="85" t="s">
        <v>129</v>
      </c>
      <c r="C81" s="74"/>
      <c r="D81" s="86" t="s">
        <v>95</v>
      </c>
      <c r="E81" s="85" t="s">
        <v>130</v>
      </c>
      <c r="F81" s="74"/>
      <c r="G81" s="86" t="s">
        <v>97</v>
      </c>
      <c r="H81" s="85" t="s">
        <v>131</v>
      </c>
      <c r="I81" s="74"/>
      <c r="J81" s="86" t="s">
        <v>99</v>
      </c>
      <c r="K81" s="85">
        <v>2.0</v>
      </c>
      <c r="L81" s="87"/>
      <c r="M81" s="106"/>
      <c r="N81" s="110" t="s">
        <v>115</v>
      </c>
      <c r="O81" s="111">
        <v>7.0</v>
      </c>
      <c r="P81" s="84"/>
      <c r="Q81" s="91"/>
      <c r="R81" s="110" t="s">
        <v>115</v>
      </c>
      <c r="S81" s="111">
        <v>7.0</v>
      </c>
      <c r="T81" s="84"/>
    </row>
    <row r="82">
      <c r="A82" s="81" t="s">
        <v>100</v>
      </c>
      <c r="B82" s="115"/>
      <c r="C82" s="76"/>
      <c r="D82" s="18" t="s">
        <v>101</v>
      </c>
      <c r="E82" s="115"/>
      <c r="F82" s="76"/>
      <c r="G82" s="18" t="s">
        <v>103</v>
      </c>
      <c r="H82" s="115"/>
      <c r="I82" s="76"/>
      <c r="J82" s="18" t="s">
        <v>104</v>
      </c>
      <c r="K82" s="115"/>
      <c r="L82" s="90"/>
      <c r="M82" s="84"/>
      <c r="N82" s="114"/>
      <c r="O82" s="114"/>
      <c r="P82" s="21"/>
      <c r="Q82" s="21"/>
      <c r="R82" s="116"/>
      <c r="S82" s="116"/>
      <c r="T82" s="1"/>
    </row>
    <row r="83">
      <c r="A83" s="94" t="s">
        <v>107</v>
      </c>
      <c r="B83" s="12"/>
      <c r="C83" s="95"/>
      <c r="D83" s="14"/>
      <c r="E83" s="14"/>
      <c r="F83" s="14"/>
      <c r="G83" s="14"/>
      <c r="H83" s="14"/>
      <c r="I83" s="14"/>
      <c r="J83" s="14"/>
      <c r="K83" s="14"/>
      <c r="L83" s="83"/>
      <c r="M83" s="84"/>
      <c r="N83" s="117" t="s">
        <v>132</v>
      </c>
      <c r="O83" s="24"/>
      <c r="P83" s="118"/>
      <c r="Q83" s="26"/>
      <c r="R83" s="26"/>
      <c r="S83" s="27"/>
      <c r="T83" s="119"/>
    </row>
    <row r="84">
      <c r="A84" s="98" t="s">
        <v>109</v>
      </c>
      <c r="B84" s="24"/>
      <c r="C84" s="120" t="s">
        <v>133</v>
      </c>
      <c r="D84" s="26"/>
      <c r="E84" s="26"/>
      <c r="F84" s="26"/>
      <c r="G84" s="26"/>
      <c r="H84" s="26"/>
      <c r="I84" s="26"/>
      <c r="J84" s="26"/>
      <c r="K84" s="26"/>
      <c r="L84" s="100"/>
      <c r="M84" s="84"/>
      <c r="N84" s="5"/>
      <c r="O84" s="30"/>
      <c r="P84" s="31"/>
      <c r="S84" s="30"/>
      <c r="T84" s="119"/>
    </row>
    <row r="85">
      <c r="A85" s="104"/>
      <c r="B85" s="32"/>
      <c r="C85" s="33"/>
      <c r="D85" s="34"/>
      <c r="E85" s="34"/>
      <c r="F85" s="34"/>
      <c r="G85" s="34"/>
      <c r="H85" s="34"/>
      <c r="I85" s="34"/>
      <c r="J85" s="34"/>
      <c r="K85" s="34"/>
      <c r="L85" s="105"/>
      <c r="M85" s="84"/>
      <c r="N85" s="7"/>
      <c r="O85" s="32"/>
      <c r="P85" s="33"/>
      <c r="Q85" s="34"/>
      <c r="R85" s="34"/>
      <c r="S85" s="35"/>
      <c r="T85" s="119"/>
    </row>
    <row r="86">
      <c r="A86" s="1"/>
      <c r="B86" s="1"/>
      <c r="C86" s="16"/>
      <c r="D86" s="16"/>
      <c r="E86" s="16"/>
      <c r="F86" s="16"/>
      <c r="G86" s="16"/>
      <c r="H86" s="17"/>
      <c r="I86" s="17"/>
      <c r="J86" s="16"/>
      <c r="K86" s="16"/>
      <c r="L86" s="16"/>
      <c r="M86" s="1"/>
      <c r="N86" s="117" t="s">
        <v>134</v>
      </c>
      <c r="O86" s="24"/>
      <c r="P86" s="121" t="s">
        <v>135</v>
      </c>
      <c r="Q86" s="26"/>
      <c r="R86" s="26"/>
      <c r="S86" s="27"/>
      <c r="T86" s="122"/>
    </row>
    <row r="87">
      <c r="A87" s="79" t="s">
        <v>89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4"/>
      <c r="M87" s="1"/>
      <c r="N87" s="5"/>
      <c r="O87" s="30"/>
      <c r="P87" s="31"/>
      <c r="S87" s="30"/>
      <c r="T87" s="122"/>
    </row>
    <row r="8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9"/>
      <c r="M88" s="1"/>
      <c r="N88" s="7"/>
      <c r="O88" s="32"/>
      <c r="P88" s="33"/>
      <c r="Q88" s="34"/>
      <c r="R88" s="34"/>
      <c r="S88" s="35"/>
      <c r="T88" s="122"/>
    </row>
    <row r="89">
      <c r="A89" s="81" t="s">
        <v>91</v>
      </c>
      <c r="B89" s="82" t="s">
        <v>136</v>
      </c>
      <c r="C89" s="14"/>
      <c r="D89" s="14"/>
      <c r="E89" s="14"/>
      <c r="F89" s="14"/>
      <c r="G89" s="14"/>
      <c r="H89" s="14"/>
      <c r="I89" s="14"/>
      <c r="J89" s="14"/>
      <c r="K89" s="14"/>
      <c r="L89" s="83"/>
      <c r="M89" s="84"/>
      <c r="N89" s="1"/>
      <c r="O89" s="1"/>
      <c r="P89" s="16"/>
      <c r="Q89" s="16"/>
      <c r="R89" s="16"/>
      <c r="S89" s="16"/>
      <c r="T89" s="1"/>
    </row>
    <row r="90">
      <c r="A90" s="81" t="s">
        <v>93</v>
      </c>
      <c r="B90" s="123"/>
      <c r="C90" s="74"/>
      <c r="D90" s="86" t="s">
        <v>95</v>
      </c>
      <c r="E90" s="123"/>
      <c r="F90" s="74"/>
      <c r="G90" s="86" t="s">
        <v>97</v>
      </c>
      <c r="H90" s="123"/>
      <c r="I90" s="74"/>
      <c r="J90" s="86" t="s">
        <v>99</v>
      </c>
      <c r="K90" s="123"/>
      <c r="L90" s="87"/>
      <c r="M90" s="84"/>
      <c r="N90" s="80" t="s">
        <v>137</v>
      </c>
      <c r="O90" s="3"/>
      <c r="P90" s="3"/>
      <c r="Q90" s="3"/>
      <c r="R90" s="3"/>
      <c r="S90" s="4"/>
      <c r="T90" s="1"/>
    </row>
    <row r="91">
      <c r="A91" s="81" t="s">
        <v>100</v>
      </c>
      <c r="B91" s="115"/>
      <c r="C91" s="76"/>
      <c r="D91" s="18" t="s">
        <v>101</v>
      </c>
      <c r="E91" s="115"/>
      <c r="F91" s="76"/>
      <c r="G91" s="18" t="s">
        <v>103</v>
      </c>
      <c r="H91" s="115"/>
      <c r="I91" s="76"/>
      <c r="J91" s="18" t="s">
        <v>104</v>
      </c>
      <c r="K91" s="115"/>
      <c r="L91" s="90"/>
      <c r="M91" s="84"/>
      <c r="N91" s="7"/>
      <c r="O91" s="8"/>
      <c r="P91" s="8"/>
      <c r="Q91" s="8"/>
      <c r="R91" s="8"/>
      <c r="S91" s="9"/>
      <c r="T91" s="1"/>
    </row>
    <row r="92">
      <c r="A92" s="94" t="s">
        <v>107</v>
      </c>
      <c r="B92" s="12"/>
      <c r="C92" s="95"/>
      <c r="D92" s="14"/>
      <c r="E92" s="14"/>
      <c r="F92" s="14"/>
      <c r="G92" s="14"/>
      <c r="H92" s="14"/>
      <c r="I92" s="14"/>
      <c r="J92" s="14"/>
      <c r="K92" s="14"/>
      <c r="L92" s="83"/>
      <c r="M92" s="84"/>
      <c r="N92" s="124" t="s">
        <v>138</v>
      </c>
      <c r="O92" s="125"/>
      <c r="P92" s="126"/>
      <c r="Q92" s="127"/>
      <c r="R92" s="125"/>
      <c r="S92" s="128"/>
      <c r="T92" s="1"/>
    </row>
    <row r="93">
      <c r="A93" s="98" t="s">
        <v>109</v>
      </c>
      <c r="B93" s="24"/>
      <c r="C93" s="25"/>
      <c r="D93" s="26"/>
      <c r="E93" s="26"/>
      <c r="F93" s="26"/>
      <c r="G93" s="26"/>
      <c r="H93" s="26"/>
      <c r="I93" s="26"/>
      <c r="J93" s="26"/>
      <c r="K93" s="26"/>
      <c r="L93" s="100"/>
      <c r="M93" s="84"/>
      <c r="N93" s="129" t="s">
        <v>139</v>
      </c>
      <c r="O93" s="130"/>
      <c r="P93" s="131"/>
      <c r="Q93" s="132"/>
      <c r="R93" s="130"/>
      <c r="S93" s="133"/>
      <c r="T93" s="1"/>
    </row>
    <row r="94">
      <c r="A94" s="104"/>
      <c r="B94" s="32"/>
      <c r="C94" s="33"/>
      <c r="D94" s="34"/>
      <c r="E94" s="34"/>
      <c r="F94" s="34"/>
      <c r="G94" s="34"/>
      <c r="H94" s="34"/>
      <c r="I94" s="34"/>
      <c r="J94" s="34"/>
      <c r="K94" s="34"/>
      <c r="L94" s="105"/>
      <c r="M94" s="84"/>
      <c r="N94" s="129" t="s">
        <v>140</v>
      </c>
      <c r="O94" s="130"/>
      <c r="P94" s="131"/>
      <c r="Q94" s="134" t="s">
        <v>141</v>
      </c>
      <c r="R94" s="130"/>
      <c r="S94" s="133"/>
      <c r="T94" s="1"/>
    </row>
    <row r="95">
      <c r="A95" s="1"/>
      <c r="B95" s="1"/>
      <c r="C95" s="16"/>
      <c r="D95" s="16"/>
      <c r="E95" s="16"/>
      <c r="F95" s="16"/>
      <c r="G95" s="16"/>
      <c r="H95" s="17"/>
      <c r="I95" s="17"/>
      <c r="J95" s="16"/>
      <c r="K95" s="16"/>
      <c r="L95" s="16"/>
      <c r="M95" s="1"/>
      <c r="N95" s="129" t="s">
        <v>142</v>
      </c>
      <c r="O95" s="130"/>
      <c r="P95" s="131"/>
      <c r="Q95" s="132"/>
      <c r="R95" s="130"/>
      <c r="S95" s="133"/>
      <c r="T95" s="1"/>
    </row>
    <row r="96">
      <c r="A96" s="79" t="s">
        <v>89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4"/>
      <c r="M96" s="1"/>
      <c r="N96" s="129" t="s">
        <v>143</v>
      </c>
      <c r="O96" s="130"/>
      <c r="P96" s="131"/>
      <c r="Q96" s="132"/>
      <c r="R96" s="130"/>
      <c r="S96" s="133"/>
      <c r="T96" s="1"/>
    </row>
    <row r="97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9"/>
      <c r="M97" s="1"/>
      <c r="N97" s="135"/>
      <c r="O97" s="130"/>
      <c r="P97" s="131"/>
      <c r="Q97" s="132"/>
      <c r="R97" s="130"/>
      <c r="S97" s="133"/>
      <c r="T97" s="1"/>
    </row>
    <row r="98">
      <c r="A98" s="81" t="s">
        <v>91</v>
      </c>
      <c r="B98" s="136"/>
      <c r="C98" s="14"/>
      <c r="D98" s="14"/>
      <c r="E98" s="14"/>
      <c r="F98" s="14"/>
      <c r="G98" s="14"/>
      <c r="H98" s="14"/>
      <c r="I98" s="14"/>
      <c r="J98" s="14"/>
      <c r="K98" s="14"/>
      <c r="L98" s="83"/>
      <c r="M98" s="84"/>
      <c r="N98" s="135"/>
      <c r="O98" s="130"/>
      <c r="P98" s="131"/>
      <c r="Q98" s="132"/>
      <c r="R98" s="130"/>
      <c r="S98" s="133"/>
      <c r="T98" s="1"/>
    </row>
    <row r="99">
      <c r="A99" s="81" t="s">
        <v>93</v>
      </c>
      <c r="B99" s="123"/>
      <c r="C99" s="74"/>
      <c r="D99" s="86" t="s">
        <v>95</v>
      </c>
      <c r="E99" s="123"/>
      <c r="F99" s="74"/>
      <c r="G99" s="86" t="s">
        <v>97</v>
      </c>
      <c r="H99" s="123"/>
      <c r="I99" s="74"/>
      <c r="J99" s="86" t="s">
        <v>99</v>
      </c>
      <c r="K99" s="123"/>
      <c r="L99" s="87"/>
      <c r="M99" s="84"/>
      <c r="N99" s="135"/>
      <c r="O99" s="130"/>
      <c r="P99" s="131"/>
      <c r="Q99" s="132"/>
      <c r="R99" s="130"/>
      <c r="S99" s="133"/>
      <c r="T99" s="1"/>
    </row>
    <row r="100">
      <c r="A100" s="81" t="s">
        <v>100</v>
      </c>
      <c r="B100" s="115"/>
      <c r="C100" s="76"/>
      <c r="D100" s="18" t="s">
        <v>101</v>
      </c>
      <c r="E100" s="115"/>
      <c r="F100" s="76"/>
      <c r="G100" s="18" t="s">
        <v>103</v>
      </c>
      <c r="H100" s="115"/>
      <c r="I100" s="76"/>
      <c r="J100" s="18" t="s">
        <v>104</v>
      </c>
      <c r="K100" s="115"/>
      <c r="L100" s="90"/>
      <c r="M100" s="84"/>
      <c r="N100" s="135"/>
      <c r="O100" s="130"/>
      <c r="P100" s="131"/>
      <c r="Q100" s="132"/>
      <c r="R100" s="130"/>
      <c r="S100" s="133"/>
      <c r="T100" s="1"/>
    </row>
    <row r="101">
      <c r="A101" s="94" t="s">
        <v>107</v>
      </c>
      <c r="B101" s="12"/>
      <c r="C101" s="95"/>
      <c r="D101" s="14"/>
      <c r="E101" s="14"/>
      <c r="F101" s="14"/>
      <c r="G101" s="14"/>
      <c r="H101" s="14"/>
      <c r="I101" s="14"/>
      <c r="J101" s="14"/>
      <c r="K101" s="14"/>
      <c r="L101" s="83"/>
      <c r="M101" s="84"/>
      <c r="N101" s="135"/>
      <c r="O101" s="130"/>
      <c r="P101" s="131"/>
      <c r="Q101" s="132"/>
      <c r="R101" s="130"/>
      <c r="S101" s="133"/>
      <c r="T101" s="1"/>
    </row>
    <row r="102">
      <c r="A102" s="98" t="s">
        <v>109</v>
      </c>
      <c r="B102" s="24"/>
      <c r="C102" s="25"/>
      <c r="D102" s="26"/>
      <c r="E102" s="26"/>
      <c r="F102" s="26"/>
      <c r="G102" s="26"/>
      <c r="H102" s="26"/>
      <c r="I102" s="26"/>
      <c r="J102" s="26"/>
      <c r="K102" s="26"/>
      <c r="L102" s="100"/>
      <c r="M102" s="84"/>
      <c r="N102" s="135"/>
      <c r="O102" s="130"/>
      <c r="P102" s="131"/>
      <c r="Q102" s="132"/>
      <c r="R102" s="130"/>
      <c r="S102" s="133"/>
      <c r="T102" s="1"/>
    </row>
    <row r="103">
      <c r="A103" s="104"/>
      <c r="B103" s="32"/>
      <c r="C103" s="33"/>
      <c r="D103" s="34"/>
      <c r="E103" s="34"/>
      <c r="F103" s="34"/>
      <c r="G103" s="34"/>
      <c r="H103" s="34"/>
      <c r="I103" s="34"/>
      <c r="J103" s="34"/>
      <c r="K103" s="34"/>
      <c r="L103" s="105"/>
      <c r="M103" s="84"/>
      <c r="N103" s="135"/>
      <c r="O103" s="130"/>
      <c r="P103" s="131"/>
      <c r="Q103" s="132"/>
      <c r="R103" s="130"/>
      <c r="S103" s="133"/>
      <c r="T103" s="1"/>
    </row>
    <row r="104">
      <c r="A104" s="67"/>
      <c r="B104" s="1"/>
      <c r="C104" s="16"/>
      <c r="D104" s="16"/>
      <c r="E104" s="16"/>
      <c r="F104" s="16"/>
      <c r="G104" s="16"/>
      <c r="H104" s="17"/>
      <c r="I104" s="17"/>
      <c r="J104" s="16"/>
      <c r="K104" s="16"/>
      <c r="L104" s="16"/>
      <c r="M104" s="1"/>
      <c r="N104" s="137"/>
      <c r="O104" s="137"/>
      <c r="P104" s="137"/>
      <c r="Q104" s="137"/>
      <c r="R104" s="137"/>
      <c r="S104" s="137"/>
      <c r="T104" s="1"/>
    </row>
    <row r="105">
      <c r="A105" s="1"/>
      <c r="B105" s="1"/>
      <c r="C105" s="1"/>
      <c r="D105" s="1"/>
      <c r="E105" s="1"/>
      <c r="F105" s="1"/>
      <c r="G105" s="1"/>
      <c r="H105" s="20"/>
      <c r="I105" s="2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79" t="s">
        <v>144</v>
      </c>
      <c r="C106" s="4"/>
      <c r="D106" s="10" t="s">
        <v>145</v>
      </c>
      <c r="E106" s="67"/>
      <c r="F106" s="138">
        <f>'Copy of Sheet1'!AGB</f>
        <v>7</v>
      </c>
      <c r="G106" s="1"/>
      <c r="H106" s="139" t="s">
        <v>146</v>
      </c>
      <c r="I106" s="138">
        <f>F106+F107</f>
        <v>9</v>
      </c>
      <c r="J106" s="139" t="s">
        <v>147</v>
      </c>
      <c r="K106" s="138">
        <f>I106*3</f>
        <v>27</v>
      </c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7"/>
      <c r="C107" s="9"/>
      <c r="D107" s="10" t="s">
        <v>148</v>
      </c>
      <c r="E107" s="12"/>
      <c r="F107" s="140">
        <v>2.0</v>
      </c>
      <c r="G107" s="1"/>
      <c r="H107" s="139" t="s">
        <v>149</v>
      </c>
      <c r="I107" s="138">
        <f>I106*2</f>
        <v>18</v>
      </c>
      <c r="J107" s="139" t="s">
        <v>150</v>
      </c>
      <c r="K107" s="138">
        <f>K106*2</f>
        <v>54</v>
      </c>
      <c r="L107" s="1"/>
      <c r="M107" s="1"/>
      <c r="N107" s="79" t="s">
        <v>151</v>
      </c>
      <c r="O107" s="4"/>
      <c r="P107" s="10" t="s">
        <v>152</v>
      </c>
      <c r="Q107" s="12"/>
      <c r="R107" s="13">
        <v>16.0</v>
      </c>
      <c r="S107" s="15"/>
      <c r="T107" s="1"/>
    </row>
    <row r="108">
      <c r="A108" s="141"/>
      <c r="B108" s="141"/>
      <c r="C108" s="141"/>
      <c r="D108" s="141"/>
      <c r="E108" s="141"/>
      <c r="F108" s="142"/>
      <c r="G108" s="141"/>
      <c r="H108" s="143"/>
      <c r="I108" s="143"/>
      <c r="J108" s="141"/>
      <c r="K108" s="141"/>
      <c r="L108" s="141"/>
      <c r="M108" s="1"/>
      <c r="N108" s="5"/>
      <c r="O108" s="6"/>
      <c r="P108" s="10" t="s">
        <v>153</v>
      </c>
      <c r="Q108" s="12"/>
      <c r="R108" s="144"/>
      <c r="S108" s="74"/>
      <c r="T108" s="1"/>
    </row>
    <row r="109">
      <c r="A109" s="145"/>
      <c r="B109" s="145"/>
      <c r="C109" s="145"/>
      <c r="D109" s="145"/>
      <c r="E109" s="145"/>
      <c r="F109" s="145"/>
      <c r="G109" s="145"/>
      <c r="H109" s="146"/>
      <c r="I109" s="146"/>
      <c r="J109" s="145"/>
      <c r="K109" s="145"/>
      <c r="L109" s="145"/>
      <c r="M109" s="147"/>
      <c r="N109" s="7"/>
      <c r="O109" s="9"/>
      <c r="P109" s="10" t="s">
        <v>154</v>
      </c>
      <c r="Q109" s="12"/>
      <c r="R109" s="144"/>
      <c r="S109" s="74"/>
      <c r="T109" s="1"/>
    </row>
    <row r="110">
      <c r="A110" s="145"/>
      <c r="B110" s="148" t="s">
        <v>155</v>
      </c>
      <c r="C110" s="149"/>
      <c r="D110" s="150"/>
      <c r="E110" s="151" t="s">
        <v>152</v>
      </c>
      <c r="F110" s="152"/>
      <c r="G110" s="153">
        <f>'Copy of Sheet1'!INFB</f>
        <v>2</v>
      </c>
      <c r="H110" s="152"/>
      <c r="I110" s="146"/>
      <c r="J110" s="145"/>
      <c r="K110" s="145"/>
      <c r="L110" s="145"/>
      <c r="M110" s="147"/>
      <c r="N110" s="1"/>
      <c r="O110" s="1"/>
      <c r="P110" s="21"/>
      <c r="Q110" s="21"/>
      <c r="R110" s="154"/>
      <c r="S110" s="154"/>
      <c r="T110" s="1"/>
    </row>
    <row r="111">
      <c r="A111" s="155"/>
      <c r="B111" s="156"/>
      <c r="C111" s="157"/>
      <c r="D111" s="158"/>
      <c r="E111" s="159" t="s">
        <v>153</v>
      </c>
      <c r="F111" s="160"/>
      <c r="G111" s="161"/>
      <c r="H111" s="162"/>
      <c r="I111" s="163"/>
      <c r="J111" s="145"/>
      <c r="K111" s="145"/>
      <c r="L111" s="145"/>
      <c r="M111" s="147"/>
      <c r="N111" s="117" t="s">
        <v>156</v>
      </c>
      <c r="O111" s="24"/>
      <c r="P111" s="118"/>
      <c r="Q111" s="26"/>
      <c r="R111" s="26"/>
      <c r="S111" s="27"/>
      <c r="T111" s="122"/>
    </row>
    <row r="112">
      <c r="A112" s="1"/>
      <c r="B112" s="164"/>
      <c r="C112" s="164"/>
      <c r="D112" s="164"/>
      <c r="E112" s="1"/>
      <c r="F112" s="1"/>
      <c r="G112" s="16"/>
      <c r="H112" s="17"/>
      <c r="I112" s="165"/>
      <c r="J112" s="145"/>
      <c r="K112" s="145"/>
      <c r="L112" s="145"/>
      <c r="M112" s="147"/>
      <c r="N112" s="5"/>
      <c r="O112" s="30"/>
      <c r="P112" s="31"/>
      <c r="S112" s="30"/>
      <c r="T112" s="122"/>
    </row>
    <row r="113">
      <c r="A113" s="1"/>
      <c r="B113" s="166" t="s">
        <v>157</v>
      </c>
      <c r="C113" s="11"/>
      <c r="D113" s="67"/>
      <c r="E113" s="10" t="s">
        <v>152</v>
      </c>
      <c r="F113" s="12"/>
      <c r="G113" s="167">
        <v>5.0</v>
      </c>
      <c r="H113" s="15"/>
      <c r="I113" s="165"/>
      <c r="J113" s="145"/>
      <c r="K113" s="145"/>
      <c r="L113" s="145"/>
      <c r="M113" s="147"/>
      <c r="N113" s="5"/>
      <c r="O113" s="30"/>
      <c r="P113" s="31"/>
      <c r="S113" s="30"/>
      <c r="T113" s="122"/>
    </row>
    <row r="114">
      <c r="A114" s="141"/>
      <c r="B114" s="141"/>
      <c r="C114" s="141"/>
      <c r="D114" s="141"/>
      <c r="E114" s="141"/>
      <c r="F114" s="141"/>
      <c r="G114" s="142"/>
      <c r="H114" s="168"/>
      <c r="I114" s="169"/>
      <c r="J114" s="145"/>
      <c r="K114" s="145"/>
      <c r="L114" s="145"/>
      <c r="M114" s="147"/>
      <c r="N114" s="7"/>
      <c r="O114" s="32"/>
      <c r="P114" s="33"/>
      <c r="Q114" s="34"/>
      <c r="R114" s="34"/>
      <c r="S114" s="35"/>
      <c r="T114" s="122"/>
    </row>
    <row r="115">
      <c r="A115" s="145"/>
      <c r="B115" s="170" t="s">
        <v>158</v>
      </c>
      <c r="C115" s="171"/>
      <c r="D115" s="171"/>
      <c r="E115" s="171"/>
      <c r="F115" s="171"/>
      <c r="G115" s="171"/>
      <c r="H115" s="171"/>
      <c r="I115" s="152"/>
      <c r="J115" s="145"/>
      <c r="K115" s="145"/>
      <c r="L115" s="145"/>
      <c r="M115" s="147"/>
      <c r="N115" s="1"/>
      <c r="O115" s="1"/>
      <c r="P115" s="154"/>
      <c r="Q115" s="154"/>
      <c r="R115" s="154"/>
      <c r="S115" s="154"/>
      <c r="T115" s="1"/>
    </row>
    <row r="116">
      <c r="A116" s="145"/>
      <c r="B116" s="172"/>
      <c r="C116" s="173"/>
      <c r="D116" s="173"/>
      <c r="E116" s="174"/>
      <c r="F116" s="175"/>
      <c r="G116" s="173"/>
      <c r="H116" s="173"/>
      <c r="I116" s="162"/>
      <c r="J116" s="145"/>
      <c r="K116" s="145"/>
      <c r="L116" s="145"/>
      <c r="M116" s="147"/>
      <c r="N116" s="117" t="s">
        <v>159</v>
      </c>
      <c r="O116" s="24"/>
      <c r="P116" s="118"/>
      <c r="Q116" s="26"/>
      <c r="R116" s="26"/>
      <c r="S116" s="27"/>
      <c r="T116" s="122"/>
    </row>
    <row r="117">
      <c r="A117" s="145"/>
      <c r="B117" s="176"/>
      <c r="C117" s="62"/>
      <c r="D117" s="62"/>
      <c r="E117" s="177"/>
      <c r="F117" s="144"/>
      <c r="G117" s="62"/>
      <c r="H117" s="62"/>
      <c r="I117" s="178"/>
      <c r="J117" s="145"/>
      <c r="K117" s="145"/>
      <c r="L117" s="145"/>
      <c r="M117" s="147"/>
      <c r="N117" s="5"/>
      <c r="O117" s="30"/>
      <c r="P117" s="31"/>
      <c r="S117" s="30"/>
      <c r="T117" s="122"/>
    </row>
    <row r="118">
      <c r="A118" s="145"/>
      <c r="B118" s="176"/>
      <c r="C118" s="62"/>
      <c r="D118" s="62"/>
      <c r="E118" s="177"/>
      <c r="F118" s="144"/>
      <c r="G118" s="62"/>
      <c r="H118" s="62"/>
      <c r="I118" s="178"/>
      <c r="J118" s="145"/>
      <c r="K118" s="145"/>
      <c r="L118" s="145"/>
      <c r="M118" s="147"/>
      <c r="N118" s="5"/>
      <c r="O118" s="30"/>
      <c r="P118" s="31"/>
      <c r="S118" s="30"/>
      <c r="T118" s="122"/>
    </row>
    <row r="119">
      <c r="A119" s="145"/>
      <c r="B119" s="176"/>
      <c r="C119" s="62"/>
      <c r="D119" s="62"/>
      <c r="E119" s="177"/>
      <c r="F119" s="144"/>
      <c r="G119" s="62"/>
      <c r="H119" s="62"/>
      <c r="I119" s="178"/>
      <c r="J119" s="145"/>
      <c r="K119" s="145"/>
      <c r="L119" s="145"/>
      <c r="M119" s="147"/>
      <c r="N119" s="7"/>
      <c r="O119" s="32"/>
      <c r="P119" s="33"/>
      <c r="Q119" s="34"/>
      <c r="R119" s="34"/>
      <c r="S119" s="35"/>
      <c r="T119" s="122"/>
    </row>
    <row r="120">
      <c r="A120" s="145"/>
      <c r="B120" s="176"/>
      <c r="C120" s="62"/>
      <c r="D120" s="62"/>
      <c r="E120" s="177"/>
      <c r="F120" s="144"/>
      <c r="G120" s="62"/>
      <c r="H120" s="62"/>
      <c r="I120" s="178"/>
      <c r="J120" s="145"/>
      <c r="K120" s="145"/>
      <c r="L120" s="145"/>
      <c r="M120" s="147"/>
      <c r="N120" s="1"/>
      <c r="O120" s="1"/>
      <c r="P120" s="16"/>
      <c r="Q120" s="16"/>
      <c r="R120" s="16"/>
      <c r="S120" s="16"/>
      <c r="T120" s="1"/>
    </row>
    <row r="121">
      <c r="A121" s="145"/>
      <c r="B121" s="176"/>
      <c r="C121" s="62"/>
      <c r="D121" s="62"/>
      <c r="E121" s="177"/>
      <c r="F121" s="144"/>
      <c r="G121" s="62"/>
      <c r="H121" s="62"/>
      <c r="I121" s="178"/>
      <c r="J121" s="145"/>
      <c r="K121" s="145"/>
      <c r="L121" s="145"/>
      <c r="M121" s="179"/>
      <c r="N121" s="141"/>
      <c r="O121" s="141"/>
      <c r="P121" s="141"/>
      <c r="Q121" s="141"/>
      <c r="R121" s="141"/>
      <c r="S121" s="141"/>
      <c r="T121" s="141"/>
    </row>
    <row r="122">
      <c r="A122" s="145"/>
      <c r="B122" s="176"/>
      <c r="C122" s="62"/>
      <c r="D122" s="62"/>
      <c r="E122" s="177"/>
      <c r="F122" s="144"/>
      <c r="G122" s="62"/>
      <c r="H122" s="62"/>
      <c r="I122" s="178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</row>
    <row r="123">
      <c r="A123" s="145"/>
      <c r="B123" s="180"/>
      <c r="C123" s="180"/>
      <c r="D123" s="180"/>
      <c r="E123" s="180"/>
      <c r="F123" s="180"/>
      <c r="G123" s="180"/>
      <c r="H123" s="181"/>
      <c r="I123" s="181"/>
      <c r="J123" s="145"/>
      <c r="K123" s="145"/>
      <c r="L123" s="182" t="s">
        <v>160</v>
      </c>
      <c r="M123" s="149"/>
      <c r="N123" s="149"/>
      <c r="O123" s="149"/>
      <c r="P123" s="149"/>
      <c r="Q123" s="149"/>
      <c r="R123" s="149"/>
      <c r="S123" s="150"/>
      <c r="T123" s="145"/>
    </row>
    <row r="124">
      <c r="A124" s="145"/>
      <c r="B124" s="183" t="s">
        <v>161</v>
      </c>
      <c r="C124" s="149"/>
      <c r="D124" s="149"/>
      <c r="E124" s="149"/>
      <c r="F124" s="149"/>
      <c r="G124" s="149"/>
      <c r="H124" s="149"/>
      <c r="I124" s="150"/>
      <c r="J124" s="145"/>
      <c r="K124" s="145"/>
      <c r="L124" s="156"/>
      <c r="M124" s="157"/>
      <c r="N124" s="157"/>
      <c r="O124" s="157"/>
      <c r="P124" s="157"/>
      <c r="Q124" s="157"/>
      <c r="R124" s="157"/>
      <c r="S124" s="158"/>
      <c r="T124" s="145"/>
    </row>
    <row r="125">
      <c r="A125" s="145"/>
      <c r="B125" s="156"/>
      <c r="C125" s="157"/>
      <c r="D125" s="157"/>
      <c r="E125" s="157"/>
      <c r="F125" s="157"/>
      <c r="G125" s="157"/>
      <c r="H125" s="157"/>
      <c r="I125" s="158"/>
      <c r="J125" s="145"/>
      <c r="K125" s="151" t="s">
        <v>162</v>
      </c>
      <c r="L125" s="184"/>
      <c r="M125" s="185">
        <v>10050.0</v>
      </c>
      <c r="N125" s="151" t="s">
        <v>163</v>
      </c>
      <c r="O125" s="152"/>
      <c r="P125" s="146">
        <f>sum(P128:P248)</f>
        <v>8500</v>
      </c>
      <c r="Q125" s="151" t="s">
        <v>164</v>
      </c>
      <c r="R125" s="152"/>
      <c r="S125" s="146">
        <f>M125-P125</f>
        <v>1550</v>
      </c>
      <c r="T125" s="145"/>
    </row>
    <row r="126">
      <c r="A126" s="145"/>
      <c r="B126" s="186"/>
      <c r="C126" s="186"/>
      <c r="D126" s="186"/>
      <c r="E126" s="186"/>
      <c r="F126" s="186"/>
      <c r="G126" s="186"/>
      <c r="H126" s="186"/>
      <c r="I126" s="186"/>
      <c r="J126" s="145"/>
      <c r="K126" s="145"/>
      <c r="L126" s="145"/>
      <c r="M126" s="180"/>
      <c r="N126" s="145"/>
      <c r="O126" s="145"/>
      <c r="P126" s="145"/>
      <c r="Q126" s="145"/>
      <c r="R126" s="145"/>
      <c r="S126" s="145"/>
      <c r="T126" s="145"/>
    </row>
    <row r="127">
      <c r="A127" s="145"/>
      <c r="B127" s="145"/>
      <c r="C127" s="145"/>
      <c r="D127" s="151" t="s">
        <v>165</v>
      </c>
      <c r="E127" s="184"/>
      <c r="F127" s="187"/>
      <c r="G127" s="152"/>
      <c r="H127" s="146"/>
      <c r="I127" s="146"/>
      <c r="J127" s="145"/>
      <c r="K127" s="188" t="s">
        <v>160</v>
      </c>
      <c r="L127" s="173"/>
      <c r="M127" s="173"/>
      <c r="N127" s="173"/>
      <c r="O127" s="174"/>
      <c r="P127" s="189" t="s">
        <v>166</v>
      </c>
      <c r="Q127" s="174"/>
      <c r="R127" s="189" t="s">
        <v>167</v>
      </c>
      <c r="S127" s="162"/>
      <c r="T127" s="145"/>
    </row>
    <row r="128">
      <c r="A128" s="145"/>
      <c r="B128" s="190"/>
      <c r="C128" s="171"/>
      <c r="D128" s="171"/>
      <c r="E128" s="171"/>
      <c r="F128" s="171"/>
      <c r="G128" s="171"/>
      <c r="H128" s="171"/>
      <c r="I128" s="152"/>
      <c r="J128" s="145"/>
      <c r="K128" s="191" t="s">
        <v>168</v>
      </c>
      <c r="L128" s="62"/>
      <c r="M128" s="62"/>
      <c r="N128" s="62"/>
      <c r="O128" s="177"/>
      <c r="P128" s="85">
        <v>250.0</v>
      </c>
      <c r="Q128" s="177"/>
      <c r="R128" s="85" t="s">
        <v>169</v>
      </c>
      <c r="S128" s="178"/>
      <c r="T128" s="145"/>
    </row>
    <row r="129">
      <c r="A129" s="145"/>
      <c r="B129" s="172"/>
      <c r="C129" s="173"/>
      <c r="D129" s="173"/>
      <c r="E129" s="173"/>
      <c r="F129" s="173"/>
      <c r="G129" s="173"/>
      <c r="H129" s="173"/>
      <c r="I129" s="162"/>
      <c r="J129" s="145"/>
      <c r="K129" s="191" t="s">
        <v>170</v>
      </c>
      <c r="L129" s="62"/>
      <c r="M129" s="62"/>
      <c r="N129" s="62"/>
      <c r="O129" s="177"/>
      <c r="P129" s="85">
        <v>250.0</v>
      </c>
      <c r="Q129" s="177"/>
      <c r="R129" s="85" t="s">
        <v>169</v>
      </c>
      <c r="S129" s="178"/>
      <c r="T129" s="145"/>
    </row>
    <row r="130">
      <c r="A130" s="145"/>
      <c r="B130" s="176"/>
      <c r="C130" s="62"/>
      <c r="D130" s="62"/>
      <c r="E130" s="62"/>
      <c r="F130" s="62"/>
      <c r="G130" s="62"/>
      <c r="H130" s="62"/>
      <c r="I130" s="178"/>
      <c r="J130" s="145"/>
      <c r="K130" s="191" t="s">
        <v>171</v>
      </c>
      <c r="L130" s="62"/>
      <c r="M130" s="62"/>
      <c r="N130" s="62"/>
      <c r="O130" s="177"/>
      <c r="P130" s="85">
        <v>350.0</v>
      </c>
      <c r="Q130" s="177"/>
      <c r="R130" s="85" t="s">
        <v>169</v>
      </c>
      <c r="S130" s="178"/>
      <c r="T130" s="145"/>
    </row>
    <row r="131">
      <c r="A131" s="145"/>
      <c r="B131" s="176"/>
      <c r="C131" s="62"/>
      <c r="D131" s="62"/>
      <c r="E131" s="62"/>
      <c r="F131" s="62"/>
      <c r="G131" s="62"/>
      <c r="H131" s="62"/>
      <c r="I131" s="178"/>
      <c r="J131" s="145"/>
      <c r="K131" s="191" t="s">
        <v>172</v>
      </c>
      <c r="L131" s="62"/>
      <c r="M131" s="62"/>
      <c r="N131" s="62"/>
      <c r="O131" s="177"/>
      <c r="P131" s="85">
        <v>350.0</v>
      </c>
      <c r="Q131" s="177"/>
      <c r="R131" s="85" t="s">
        <v>169</v>
      </c>
      <c r="S131" s="178"/>
      <c r="T131" s="145"/>
    </row>
    <row r="132">
      <c r="A132" s="145"/>
      <c r="B132" s="176"/>
      <c r="C132" s="62"/>
      <c r="D132" s="62"/>
      <c r="E132" s="62"/>
      <c r="F132" s="62"/>
      <c r="G132" s="62"/>
      <c r="H132" s="62"/>
      <c r="I132" s="178"/>
      <c r="J132" s="145"/>
      <c r="K132" s="191" t="s">
        <v>173</v>
      </c>
      <c r="L132" s="62"/>
      <c r="M132" s="62"/>
      <c r="N132" s="62"/>
      <c r="O132" s="177"/>
      <c r="P132" s="85">
        <v>200.0</v>
      </c>
      <c r="Q132" s="177"/>
      <c r="R132" s="85" t="s">
        <v>169</v>
      </c>
      <c r="S132" s="178"/>
      <c r="T132" s="145"/>
    </row>
    <row r="133">
      <c r="A133" s="145"/>
      <c r="B133" s="176"/>
      <c r="C133" s="62"/>
      <c r="D133" s="62"/>
      <c r="E133" s="62"/>
      <c r="F133" s="62"/>
      <c r="G133" s="62"/>
      <c r="H133" s="62"/>
      <c r="I133" s="178"/>
      <c r="J133" s="145"/>
      <c r="K133" s="191" t="s">
        <v>174</v>
      </c>
      <c r="L133" s="62"/>
      <c r="M133" s="62"/>
      <c r="N133" s="62"/>
      <c r="O133" s="177"/>
      <c r="P133" s="85">
        <v>500.0</v>
      </c>
      <c r="Q133" s="177"/>
      <c r="R133" s="85" t="s">
        <v>169</v>
      </c>
      <c r="S133" s="178"/>
      <c r="T133" s="145"/>
    </row>
    <row r="134">
      <c r="A134" s="145"/>
      <c r="B134" s="176"/>
      <c r="C134" s="62"/>
      <c r="D134" s="62"/>
      <c r="E134" s="62"/>
      <c r="F134" s="62"/>
      <c r="G134" s="62"/>
      <c r="H134" s="62"/>
      <c r="I134" s="178"/>
      <c r="J134" s="145"/>
      <c r="K134" s="191" t="s">
        <v>175</v>
      </c>
      <c r="L134" s="62"/>
      <c r="M134" s="62"/>
      <c r="N134" s="62"/>
      <c r="O134" s="177"/>
      <c r="P134" s="85">
        <v>250.0</v>
      </c>
      <c r="Q134" s="177"/>
      <c r="R134" s="85" t="s">
        <v>176</v>
      </c>
      <c r="S134" s="178"/>
      <c r="T134" s="145"/>
    </row>
    <row r="135">
      <c r="A135" s="145"/>
      <c r="B135" s="176"/>
      <c r="C135" s="62"/>
      <c r="D135" s="62"/>
      <c r="E135" s="62"/>
      <c r="F135" s="62"/>
      <c r="G135" s="62"/>
      <c r="H135" s="62"/>
      <c r="I135" s="178"/>
      <c r="J135" s="145"/>
      <c r="K135" s="191" t="s">
        <v>177</v>
      </c>
      <c r="L135" s="62"/>
      <c r="M135" s="62"/>
      <c r="N135" s="62"/>
      <c r="O135" s="177"/>
      <c r="P135" s="85">
        <v>500.0</v>
      </c>
      <c r="Q135" s="177"/>
      <c r="R135" s="85" t="s">
        <v>169</v>
      </c>
      <c r="S135" s="178"/>
      <c r="T135" s="145"/>
    </row>
    <row r="136">
      <c r="A136" s="145"/>
      <c r="B136" s="176"/>
      <c r="C136" s="62"/>
      <c r="D136" s="62"/>
      <c r="E136" s="62"/>
      <c r="F136" s="62"/>
      <c r="G136" s="62"/>
      <c r="H136" s="62"/>
      <c r="I136" s="178"/>
      <c r="J136" s="145"/>
      <c r="K136" s="191" t="s">
        <v>178</v>
      </c>
      <c r="L136" s="62"/>
      <c r="M136" s="62"/>
      <c r="N136" s="62"/>
      <c r="O136" s="177"/>
      <c r="P136" s="85">
        <v>200.0</v>
      </c>
      <c r="Q136" s="177"/>
      <c r="R136" s="85" t="s">
        <v>169</v>
      </c>
      <c r="S136" s="178"/>
      <c r="T136" s="145"/>
    </row>
    <row r="137">
      <c r="A137" s="145"/>
      <c r="B137" s="176"/>
      <c r="C137" s="62"/>
      <c r="D137" s="62"/>
      <c r="E137" s="62"/>
      <c r="F137" s="62"/>
      <c r="G137" s="62"/>
      <c r="H137" s="62"/>
      <c r="I137" s="178"/>
      <c r="J137" s="145"/>
      <c r="K137" s="191" t="s">
        <v>179</v>
      </c>
      <c r="L137" s="62"/>
      <c r="M137" s="62"/>
      <c r="N137" s="62"/>
      <c r="O137" s="177"/>
      <c r="P137" s="85">
        <v>350.0</v>
      </c>
      <c r="Q137" s="177"/>
      <c r="R137" s="85" t="s">
        <v>169</v>
      </c>
      <c r="S137" s="178"/>
      <c r="T137" s="145"/>
    </row>
    <row r="138">
      <c r="A138" s="145"/>
      <c r="B138" s="176"/>
      <c r="C138" s="62"/>
      <c r="D138" s="62"/>
      <c r="E138" s="62"/>
      <c r="F138" s="62"/>
      <c r="G138" s="62"/>
      <c r="H138" s="62"/>
      <c r="I138" s="178"/>
      <c r="J138" s="145"/>
      <c r="K138" s="191" t="s">
        <v>180</v>
      </c>
      <c r="L138" s="62"/>
      <c r="M138" s="62"/>
      <c r="N138" s="62"/>
      <c r="O138" s="177"/>
      <c r="P138" s="85">
        <v>500.0</v>
      </c>
      <c r="Q138" s="177"/>
      <c r="R138" s="85" t="s">
        <v>181</v>
      </c>
      <c r="S138" s="178"/>
      <c r="T138" s="145"/>
    </row>
    <row r="139">
      <c r="A139" s="145"/>
      <c r="B139" s="176"/>
      <c r="C139" s="62"/>
      <c r="D139" s="62"/>
      <c r="E139" s="62"/>
      <c r="F139" s="62"/>
      <c r="G139" s="62"/>
      <c r="H139" s="62"/>
      <c r="I139" s="178"/>
      <c r="J139" s="145"/>
      <c r="K139" s="191" t="s">
        <v>182</v>
      </c>
      <c r="L139" s="62"/>
      <c r="M139" s="62"/>
      <c r="N139" s="62"/>
      <c r="O139" s="177"/>
      <c r="P139" s="85">
        <v>250.0</v>
      </c>
      <c r="Q139" s="177"/>
      <c r="R139" s="85" t="s">
        <v>176</v>
      </c>
      <c r="S139" s="178"/>
      <c r="T139" s="145"/>
    </row>
    <row r="140">
      <c r="A140" s="145"/>
      <c r="B140" s="176"/>
      <c r="C140" s="62"/>
      <c r="D140" s="62"/>
      <c r="E140" s="62"/>
      <c r="F140" s="62"/>
      <c r="G140" s="62"/>
      <c r="H140" s="62"/>
      <c r="I140" s="178"/>
      <c r="J140" s="145"/>
      <c r="K140" s="191" t="s">
        <v>168</v>
      </c>
      <c r="L140" s="62"/>
      <c r="M140" s="62"/>
      <c r="N140" s="62"/>
      <c r="O140" s="177"/>
      <c r="P140" s="85">
        <v>500.0</v>
      </c>
      <c r="Q140" s="177"/>
      <c r="R140" s="85" t="s">
        <v>169</v>
      </c>
      <c r="S140" s="178"/>
      <c r="T140" s="145"/>
    </row>
    <row r="141">
      <c r="A141" s="145"/>
      <c r="B141" s="176"/>
      <c r="C141" s="62"/>
      <c r="D141" s="62"/>
      <c r="E141" s="62"/>
      <c r="F141" s="62"/>
      <c r="G141" s="62"/>
      <c r="H141" s="62"/>
      <c r="I141" s="178"/>
      <c r="J141" s="145"/>
      <c r="K141" s="191" t="s">
        <v>183</v>
      </c>
      <c r="L141" s="62"/>
      <c r="M141" s="62"/>
      <c r="N141" s="62"/>
      <c r="O141" s="177"/>
      <c r="P141" s="85">
        <v>200.0</v>
      </c>
      <c r="Q141" s="177"/>
      <c r="R141" s="85" t="s">
        <v>176</v>
      </c>
      <c r="S141" s="178"/>
      <c r="T141" s="145"/>
    </row>
    <row r="142">
      <c r="A142" s="145"/>
      <c r="B142" s="176"/>
      <c r="C142" s="62"/>
      <c r="D142" s="62"/>
      <c r="E142" s="62"/>
      <c r="F142" s="62"/>
      <c r="G142" s="62"/>
      <c r="H142" s="62"/>
      <c r="I142" s="178"/>
      <c r="J142" s="145"/>
      <c r="K142" s="191" t="s">
        <v>184</v>
      </c>
      <c r="L142" s="62"/>
      <c r="M142" s="62"/>
      <c r="N142" s="62"/>
      <c r="O142" s="177"/>
      <c r="P142" s="85">
        <v>350.0</v>
      </c>
      <c r="Q142" s="177"/>
      <c r="R142" s="85" t="s">
        <v>169</v>
      </c>
      <c r="S142" s="178"/>
      <c r="T142" s="145"/>
    </row>
    <row r="143">
      <c r="A143" s="145"/>
      <c r="B143" s="176"/>
      <c r="C143" s="62"/>
      <c r="D143" s="62"/>
      <c r="E143" s="62"/>
      <c r="F143" s="62"/>
      <c r="G143" s="62"/>
      <c r="H143" s="62"/>
      <c r="I143" s="178"/>
      <c r="J143" s="145"/>
      <c r="K143" s="191" t="s">
        <v>185</v>
      </c>
      <c r="L143" s="62"/>
      <c r="M143" s="62"/>
      <c r="N143" s="62"/>
      <c r="O143" s="177"/>
      <c r="P143" s="85">
        <v>250.0</v>
      </c>
      <c r="Q143" s="177"/>
      <c r="R143" s="85" t="s">
        <v>176</v>
      </c>
      <c r="S143" s="178"/>
      <c r="T143" s="145"/>
    </row>
    <row r="144">
      <c r="A144" s="145"/>
      <c r="B144" s="176"/>
      <c r="C144" s="62"/>
      <c r="D144" s="62"/>
      <c r="E144" s="62"/>
      <c r="F144" s="62"/>
      <c r="G144" s="62"/>
      <c r="H144" s="62"/>
      <c r="I144" s="178"/>
      <c r="J144" s="145"/>
      <c r="K144" s="191" t="s">
        <v>186</v>
      </c>
      <c r="L144" s="62"/>
      <c r="M144" s="62"/>
      <c r="N144" s="62"/>
      <c r="O144" s="177"/>
      <c r="P144" s="85">
        <v>250.0</v>
      </c>
      <c r="Q144" s="177"/>
      <c r="R144" s="85" t="s">
        <v>169</v>
      </c>
      <c r="S144" s="178"/>
      <c r="T144" s="145"/>
    </row>
    <row r="145">
      <c r="A145" s="145"/>
      <c r="B145" s="176"/>
      <c r="C145" s="62"/>
      <c r="D145" s="62"/>
      <c r="E145" s="62"/>
      <c r="F145" s="62"/>
      <c r="G145" s="62"/>
      <c r="H145" s="62"/>
      <c r="I145" s="178"/>
      <c r="J145" s="145"/>
      <c r="K145" s="191" t="s">
        <v>187</v>
      </c>
      <c r="L145" s="62"/>
      <c r="M145" s="62"/>
      <c r="N145" s="62"/>
      <c r="O145" s="177"/>
      <c r="P145" s="85">
        <v>250.0</v>
      </c>
      <c r="Q145" s="177"/>
      <c r="R145" s="85" t="s">
        <v>176</v>
      </c>
      <c r="S145" s="178"/>
      <c r="T145" s="145"/>
    </row>
    <row r="146">
      <c r="A146" s="145"/>
      <c r="B146" s="176"/>
      <c r="C146" s="62"/>
      <c r="D146" s="62"/>
      <c r="E146" s="62"/>
      <c r="F146" s="62"/>
      <c r="G146" s="62"/>
      <c r="H146" s="62"/>
      <c r="I146" s="178"/>
      <c r="J146" s="145"/>
      <c r="K146" s="191" t="s">
        <v>188</v>
      </c>
      <c r="L146" s="62"/>
      <c r="M146" s="62"/>
      <c r="N146" s="62"/>
      <c r="O146" s="177"/>
      <c r="P146" s="85">
        <v>350.0</v>
      </c>
      <c r="Q146" s="177"/>
      <c r="R146" s="85" t="s">
        <v>176</v>
      </c>
      <c r="S146" s="178"/>
      <c r="T146" s="145"/>
    </row>
    <row r="147">
      <c r="A147" s="145"/>
      <c r="B147" s="176"/>
      <c r="C147" s="62"/>
      <c r="D147" s="62"/>
      <c r="E147" s="62"/>
      <c r="F147" s="62"/>
      <c r="G147" s="62"/>
      <c r="H147" s="62"/>
      <c r="I147" s="178"/>
      <c r="J147" s="145"/>
      <c r="K147" s="191" t="s">
        <v>189</v>
      </c>
      <c r="L147" s="62"/>
      <c r="M147" s="62"/>
      <c r="N147" s="62"/>
      <c r="O147" s="177"/>
      <c r="P147" s="85">
        <v>200.0</v>
      </c>
      <c r="Q147" s="177"/>
      <c r="R147" s="85" t="s">
        <v>176</v>
      </c>
      <c r="S147" s="178"/>
      <c r="T147" s="145"/>
    </row>
    <row r="148">
      <c r="A148" s="145"/>
      <c r="B148" s="176"/>
      <c r="C148" s="62"/>
      <c r="D148" s="62"/>
      <c r="E148" s="62"/>
      <c r="F148" s="62"/>
      <c r="G148" s="62"/>
      <c r="H148" s="62"/>
      <c r="I148" s="178"/>
      <c r="J148" s="145"/>
      <c r="K148" s="191" t="s">
        <v>190</v>
      </c>
      <c r="L148" s="62"/>
      <c r="M148" s="62"/>
      <c r="N148" s="62"/>
      <c r="O148" s="177"/>
      <c r="P148" s="85">
        <v>350.0</v>
      </c>
      <c r="Q148" s="177"/>
      <c r="R148" s="85" t="s">
        <v>176</v>
      </c>
      <c r="S148" s="178"/>
      <c r="T148" s="145"/>
    </row>
    <row r="149">
      <c r="A149" s="145"/>
      <c r="B149" s="176"/>
      <c r="C149" s="62"/>
      <c r="D149" s="62"/>
      <c r="E149" s="62"/>
      <c r="F149" s="62"/>
      <c r="G149" s="62"/>
      <c r="H149" s="62"/>
      <c r="I149" s="178"/>
      <c r="J149" s="145"/>
      <c r="K149" s="191" t="s">
        <v>191</v>
      </c>
      <c r="L149" s="62"/>
      <c r="M149" s="62"/>
      <c r="N149" s="62"/>
      <c r="O149" s="177"/>
      <c r="P149" s="85">
        <v>200.0</v>
      </c>
      <c r="Q149" s="177"/>
      <c r="R149" s="85" t="s">
        <v>169</v>
      </c>
      <c r="S149" s="178"/>
      <c r="T149" s="145"/>
    </row>
    <row r="150">
      <c r="A150" s="145"/>
      <c r="B150" s="176"/>
      <c r="C150" s="62"/>
      <c r="D150" s="62"/>
      <c r="E150" s="62"/>
      <c r="F150" s="62"/>
      <c r="G150" s="62"/>
      <c r="H150" s="62"/>
      <c r="I150" s="178"/>
      <c r="J150" s="145"/>
      <c r="K150" s="191" t="s">
        <v>192</v>
      </c>
      <c r="L150" s="62"/>
      <c r="M150" s="62"/>
      <c r="N150" s="62"/>
      <c r="O150" s="177"/>
      <c r="P150" s="85">
        <v>750.0</v>
      </c>
      <c r="Q150" s="177"/>
      <c r="R150" s="85" t="s">
        <v>169</v>
      </c>
      <c r="S150" s="178"/>
      <c r="T150" s="145"/>
    </row>
    <row r="151">
      <c r="A151" s="145"/>
      <c r="B151" s="176"/>
      <c r="C151" s="62"/>
      <c r="D151" s="62"/>
      <c r="E151" s="62"/>
      <c r="F151" s="62"/>
      <c r="G151" s="62"/>
      <c r="H151" s="62"/>
      <c r="I151" s="178"/>
      <c r="J151" s="145"/>
      <c r="K151" s="191" t="s">
        <v>185</v>
      </c>
      <c r="L151" s="62"/>
      <c r="M151" s="62"/>
      <c r="N151" s="62"/>
      <c r="O151" s="177"/>
      <c r="P151" s="85">
        <v>500.0</v>
      </c>
      <c r="Q151" s="177"/>
      <c r="R151" s="85" t="s">
        <v>176</v>
      </c>
      <c r="S151" s="178"/>
      <c r="T151" s="145"/>
    </row>
    <row r="152">
      <c r="A152" s="145"/>
      <c r="B152" s="176"/>
      <c r="C152" s="62"/>
      <c r="D152" s="62"/>
      <c r="E152" s="62"/>
      <c r="F152" s="62"/>
      <c r="G152" s="62"/>
      <c r="H152" s="62"/>
      <c r="I152" s="178"/>
      <c r="J152" s="145"/>
      <c r="K152" s="191" t="s">
        <v>193</v>
      </c>
      <c r="L152" s="62"/>
      <c r="M152" s="62"/>
      <c r="N152" s="62"/>
      <c r="O152" s="177"/>
      <c r="P152" s="85">
        <v>200.0</v>
      </c>
      <c r="Q152" s="177"/>
      <c r="R152" s="85" t="s">
        <v>176</v>
      </c>
      <c r="S152" s="178"/>
      <c r="T152" s="145"/>
    </row>
    <row r="153">
      <c r="A153" s="145"/>
      <c r="B153" s="176"/>
      <c r="C153" s="62"/>
      <c r="D153" s="62"/>
      <c r="E153" s="62"/>
      <c r="F153" s="62"/>
      <c r="G153" s="62"/>
      <c r="H153" s="62"/>
      <c r="I153" s="178"/>
      <c r="J153" s="145"/>
      <c r="K153" s="191" t="s">
        <v>194</v>
      </c>
      <c r="L153" s="62"/>
      <c r="M153" s="62"/>
      <c r="N153" s="62"/>
      <c r="O153" s="177"/>
      <c r="P153" s="85">
        <v>200.0</v>
      </c>
      <c r="Q153" s="177"/>
      <c r="R153" s="85" t="s">
        <v>169</v>
      </c>
      <c r="S153" s="178"/>
      <c r="T153" s="145"/>
    </row>
    <row r="154">
      <c r="A154" s="145"/>
      <c r="B154" s="176"/>
      <c r="C154" s="62"/>
      <c r="D154" s="62"/>
      <c r="E154" s="62"/>
      <c r="F154" s="62"/>
      <c r="G154" s="62"/>
      <c r="H154" s="62"/>
      <c r="I154" s="178"/>
      <c r="J154" s="145"/>
      <c r="K154" s="176"/>
      <c r="L154" s="62"/>
      <c r="M154" s="62"/>
      <c r="N154" s="62"/>
      <c r="O154" s="177"/>
      <c r="P154" s="123"/>
      <c r="Q154" s="177"/>
      <c r="R154" s="123"/>
      <c r="S154" s="178"/>
      <c r="T154" s="145"/>
    </row>
    <row r="155">
      <c r="A155" s="145"/>
      <c r="B155" s="176"/>
      <c r="C155" s="62"/>
      <c r="D155" s="62"/>
      <c r="E155" s="62"/>
      <c r="F155" s="62"/>
      <c r="G155" s="62"/>
      <c r="H155" s="62"/>
      <c r="I155" s="178"/>
      <c r="J155" s="145"/>
      <c r="K155" s="176"/>
      <c r="L155" s="62"/>
      <c r="M155" s="62"/>
      <c r="N155" s="62"/>
      <c r="O155" s="177"/>
      <c r="P155" s="123"/>
      <c r="Q155" s="177"/>
      <c r="R155" s="123"/>
      <c r="S155" s="178"/>
      <c r="T155" s="145"/>
    </row>
    <row r="156">
      <c r="A156" s="145"/>
      <c r="B156" s="176"/>
      <c r="C156" s="62"/>
      <c r="D156" s="62"/>
      <c r="E156" s="62"/>
      <c r="F156" s="62"/>
      <c r="G156" s="62"/>
      <c r="H156" s="62"/>
      <c r="I156" s="178"/>
      <c r="J156" s="145"/>
      <c r="K156" s="176"/>
      <c r="L156" s="62"/>
      <c r="M156" s="62"/>
      <c r="N156" s="62"/>
      <c r="O156" s="177"/>
      <c r="P156" s="123"/>
      <c r="Q156" s="177"/>
      <c r="R156" s="123"/>
      <c r="S156" s="178"/>
      <c r="T156" s="145"/>
    </row>
    <row r="157">
      <c r="A157" s="145"/>
      <c r="B157" s="176"/>
      <c r="C157" s="62"/>
      <c r="D157" s="62"/>
      <c r="E157" s="62"/>
      <c r="F157" s="62"/>
      <c r="G157" s="62"/>
      <c r="H157" s="62"/>
      <c r="I157" s="178"/>
      <c r="J157" s="145"/>
      <c r="K157" s="176"/>
      <c r="L157" s="62"/>
      <c r="M157" s="62"/>
      <c r="N157" s="62"/>
      <c r="O157" s="177"/>
      <c r="P157" s="123"/>
      <c r="Q157" s="177"/>
      <c r="R157" s="123"/>
      <c r="S157" s="178"/>
      <c r="T157" s="145"/>
    </row>
    <row r="158">
      <c r="A158" s="145"/>
      <c r="B158" s="176"/>
      <c r="C158" s="62"/>
      <c r="D158" s="62"/>
      <c r="E158" s="62"/>
      <c r="F158" s="62"/>
      <c r="G158" s="62"/>
      <c r="H158" s="62"/>
      <c r="I158" s="178"/>
      <c r="J158" s="145"/>
      <c r="K158" s="176"/>
      <c r="L158" s="62"/>
      <c r="M158" s="62"/>
      <c r="N158" s="62"/>
      <c r="O158" s="177"/>
      <c r="P158" s="123"/>
      <c r="Q158" s="177"/>
      <c r="R158" s="123"/>
      <c r="S158" s="178"/>
      <c r="T158" s="145"/>
    </row>
    <row r="159">
      <c r="A159" s="145"/>
      <c r="B159" s="176"/>
      <c r="C159" s="62"/>
      <c r="D159" s="62"/>
      <c r="E159" s="62"/>
      <c r="F159" s="62"/>
      <c r="G159" s="62"/>
      <c r="H159" s="62"/>
      <c r="I159" s="178"/>
      <c r="J159" s="145"/>
      <c r="K159" s="176"/>
      <c r="L159" s="62"/>
      <c r="M159" s="62"/>
      <c r="N159" s="62"/>
      <c r="O159" s="177"/>
      <c r="P159" s="123"/>
      <c r="Q159" s="177"/>
      <c r="R159" s="123"/>
      <c r="S159" s="178"/>
      <c r="T159" s="145"/>
    </row>
    <row r="160">
      <c r="A160" s="145"/>
      <c r="B160" s="176"/>
      <c r="C160" s="62"/>
      <c r="D160" s="62"/>
      <c r="E160" s="62"/>
      <c r="F160" s="62"/>
      <c r="G160" s="62"/>
      <c r="H160" s="62"/>
      <c r="I160" s="178"/>
      <c r="J160" s="145"/>
      <c r="K160" s="176"/>
      <c r="L160" s="62"/>
      <c r="M160" s="62"/>
      <c r="N160" s="62"/>
      <c r="O160" s="177"/>
      <c r="P160" s="123"/>
      <c r="Q160" s="177"/>
      <c r="R160" s="123"/>
      <c r="S160" s="178"/>
      <c r="T160" s="145"/>
    </row>
    <row r="161">
      <c r="A161" s="145"/>
      <c r="B161" s="176"/>
      <c r="C161" s="62"/>
      <c r="D161" s="62"/>
      <c r="E161" s="62"/>
      <c r="F161" s="62"/>
      <c r="G161" s="62"/>
      <c r="H161" s="62"/>
      <c r="I161" s="178"/>
      <c r="J161" s="145"/>
      <c r="K161" s="176"/>
      <c r="L161" s="62"/>
      <c r="M161" s="62"/>
      <c r="N161" s="62"/>
      <c r="O161" s="177"/>
      <c r="P161" s="123"/>
      <c r="Q161" s="177"/>
      <c r="R161" s="123"/>
      <c r="S161" s="178"/>
      <c r="T161" s="145"/>
    </row>
    <row r="162">
      <c r="A162" s="145"/>
      <c r="B162" s="176"/>
      <c r="C162" s="62"/>
      <c r="D162" s="62"/>
      <c r="E162" s="62"/>
      <c r="F162" s="62"/>
      <c r="G162" s="62"/>
      <c r="H162" s="62"/>
      <c r="I162" s="178"/>
      <c r="J162" s="145"/>
      <c r="K162" s="176"/>
      <c r="L162" s="62"/>
      <c r="M162" s="62"/>
      <c r="N162" s="62"/>
      <c r="O162" s="177"/>
      <c r="P162" s="123"/>
      <c r="Q162" s="177"/>
      <c r="R162" s="123"/>
      <c r="S162" s="178"/>
      <c r="T162" s="145"/>
    </row>
    <row r="163">
      <c r="A163" s="145"/>
      <c r="B163" s="176"/>
      <c r="C163" s="62"/>
      <c r="D163" s="62"/>
      <c r="E163" s="62"/>
      <c r="F163" s="62"/>
      <c r="G163" s="62"/>
      <c r="H163" s="62"/>
      <c r="I163" s="178"/>
      <c r="J163" s="145"/>
      <c r="K163" s="176"/>
      <c r="L163" s="62"/>
      <c r="M163" s="62"/>
      <c r="N163" s="62"/>
      <c r="O163" s="177"/>
      <c r="P163" s="123"/>
      <c r="Q163" s="177"/>
      <c r="R163" s="123"/>
      <c r="S163" s="178"/>
      <c r="T163" s="145"/>
    </row>
    <row r="164">
      <c r="A164" s="145"/>
      <c r="B164" s="176"/>
      <c r="C164" s="62"/>
      <c r="D164" s="62"/>
      <c r="E164" s="62"/>
      <c r="F164" s="62"/>
      <c r="G164" s="62"/>
      <c r="H164" s="62"/>
      <c r="I164" s="178"/>
      <c r="J164" s="145"/>
      <c r="K164" s="176"/>
      <c r="L164" s="62"/>
      <c r="M164" s="62"/>
      <c r="N164" s="62"/>
      <c r="O164" s="177"/>
      <c r="P164" s="123"/>
      <c r="Q164" s="177"/>
      <c r="R164" s="123"/>
      <c r="S164" s="178"/>
      <c r="T164" s="145"/>
    </row>
    <row r="165">
      <c r="A165" s="145"/>
      <c r="B165" s="176"/>
      <c r="C165" s="62"/>
      <c r="D165" s="62"/>
      <c r="E165" s="62"/>
      <c r="F165" s="62"/>
      <c r="G165" s="62"/>
      <c r="H165" s="62"/>
      <c r="I165" s="178"/>
      <c r="J165" s="145"/>
      <c r="K165" s="176"/>
      <c r="L165" s="62"/>
      <c r="M165" s="62"/>
      <c r="N165" s="62"/>
      <c r="O165" s="177"/>
      <c r="P165" s="123"/>
      <c r="Q165" s="177"/>
      <c r="R165" s="123"/>
      <c r="S165" s="178"/>
      <c r="T165" s="145"/>
    </row>
    <row r="166">
      <c r="A166" s="145"/>
      <c r="B166" s="176"/>
      <c r="C166" s="62"/>
      <c r="D166" s="62"/>
      <c r="E166" s="62"/>
      <c r="F166" s="62"/>
      <c r="G166" s="62"/>
      <c r="H166" s="62"/>
      <c r="I166" s="178"/>
      <c r="J166" s="145"/>
      <c r="K166" s="176"/>
      <c r="L166" s="62"/>
      <c r="M166" s="62"/>
      <c r="N166" s="62"/>
      <c r="O166" s="177"/>
      <c r="P166" s="123"/>
      <c r="Q166" s="177"/>
      <c r="R166" s="123"/>
      <c r="S166" s="178"/>
      <c r="T166" s="145"/>
    </row>
    <row r="167">
      <c r="A167" s="145"/>
      <c r="B167" s="176"/>
      <c r="C167" s="62"/>
      <c r="D167" s="62"/>
      <c r="E167" s="62"/>
      <c r="F167" s="62"/>
      <c r="G167" s="62"/>
      <c r="H167" s="62"/>
      <c r="I167" s="178"/>
      <c r="J167" s="145"/>
      <c r="K167" s="176"/>
      <c r="L167" s="62"/>
      <c r="M167" s="62"/>
      <c r="N167" s="62"/>
      <c r="O167" s="177"/>
      <c r="P167" s="123"/>
      <c r="Q167" s="177"/>
      <c r="R167" s="123"/>
      <c r="S167" s="178"/>
      <c r="T167" s="145"/>
    </row>
    <row r="168">
      <c r="A168" s="145"/>
      <c r="B168" s="176"/>
      <c r="C168" s="62"/>
      <c r="D168" s="62"/>
      <c r="E168" s="62"/>
      <c r="F168" s="62"/>
      <c r="G168" s="62"/>
      <c r="H168" s="62"/>
      <c r="I168" s="178"/>
      <c r="J168" s="145"/>
      <c r="K168" s="176"/>
      <c r="L168" s="62"/>
      <c r="M168" s="62"/>
      <c r="N168" s="62"/>
      <c r="O168" s="177"/>
      <c r="P168" s="123"/>
      <c r="Q168" s="177"/>
      <c r="R168" s="123"/>
      <c r="S168" s="178"/>
      <c r="T168" s="145"/>
    </row>
    <row r="169">
      <c r="A169" s="145"/>
      <c r="B169" s="176"/>
      <c r="C169" s="62"/>
      <c r="D169" s="62"/>
      <c r="E169" s="62"/>
      <c r="F169" s="62"/>
      <c r="G169" s="62"/>
      <c r="H169" s="62"/>
      <c r="I169" s="178"/>
      <c r="J169" s="145"/>
      <c r="K169" s="176"/>
      <c r="L169" s="62"/>
      <c r="M169" s="62"/>
      <c r="N169" s="62"/>
      <c r="O169" s="177"/>
      <c r="P169" s="123"/>
      <c r="Q169" s="177"/>
      <c r="R169" s="123"/>
      <c r="S169" s="178"/>
      <c r="T169" s="145"/>
    </row>
    <row r="170">
      <c r="A170" s="145"/>
      <c r="B170" s="176"/>
      <c r="C170" s="62"/>
      <c r="D170" s="62"/>
      <c r="E170" s="62"/>
      <c r="F170" s="62"/>
      <c r="G170" s="62"/>
      <c r="H170" s="62"/>
      <c r="I170" s="178"/>
      <c r="J170" s="145"/>
      <c r="K170" s="176"/>
      <c r="L170" s="62"/>
      <c r="M170" s="62"/>
      <c r="N170" s="62"/>
      <c r="O170" s="177"/>
      <c r="P170" s="123"/>
      <c r="Q170" s="177"/>
      <c r="R170" s="123"/>
      <c r="S170" s="178"/>
      <c r="T170" s="145"/>
    </row>
    <row r="171">
      <c r="A171" s="145"/>
      <c r="B171" s="192"/>
      <c r="C171" s="192"/>
      <c r="D171" s="192"/>
      <c r="E171" s="192"/>
      <c r="F171" s="180"/>
      <c r="G171" s="180"/>
      <c r="H171" s="181"/>
      <c r="I171" s="181"/>
      <c r="J171" s="145"/>
      <c r="K171" s="180"/>
      <c r="L171" s="180"/>
      <c r="M171" s="180"/>
      <c r="N171" s="180"/>
      <c r="O171" s="192"/>
      <c r="P171" s="192"/>
      <c r="Q171" s="192"/>
      <c r="R171" s="192"/>
      <c r="S171" s="192"/>
      <c r="T171" s="145"/>
    </row>
    <row r="172">
      <c r="A172" s="193"/>
      <c r="B172" s="1"/>
      <c r="C172" s="1"/>
      <c r="D172" s="1"/>
      <c r="E172" s="1"/>
      <c r="F172" s="194"/>
      <c r="G172" s="145"/>
      <c r="H172" s="146"/>
      <c r="I172" s="146"/>
      <c r="J172" s="145"/>
      <c r="K172" s="145"/>
      <c r="L172" s="145"/>
      <c r="M172" s="145"/>
      <c r="N172" s="193"/>
      <c r="O172" s="1"/>
      <c r="P172" s="1"/>
      <c r="Q172" s="1"/>
      <c r="R172" s="1"/>
      <c r="S172" s="1"/>
      <c r="T172" s="194"/>
    </row>
    <row r="173">
      <c r="A173" s="193"/>
      <c r="B173" s="1"/>
      <c r="C173" s="1"/>
      <c r="D173" s="1"/>
      <c r="E173" s="1"/>
      <c r="F173" s="194"/>
      <c r="G173" s="145"/>
      <c r="H173" s="183" t="s">
        <v>167</v>
      </c>
      <c r="I173" s="149"/>
      <c r="J173" s="149"/>
      <c r="K173" s="149"/>
      <c r="L173" s="149"/>
      <c r="M173" s="150"/>
      <c r="N173" s="193"/>
      <c r="O173" s="1"/>
      <c r="P173" s="1"/>
      <c r="Q173" s="1"/>
      <c r="R173" s="1"/>
      <c r="S173" s="1"/>
      <c r="T173" s="194"/>
    </row>
    <row r="174">
      <c r="A174" s="145"/>
      <c r="B174" s="195"/>
      <c r="C174" s="195"/>
      <c r="D174" s="195"/>
      <c r="E174" s="195"/>
      <c r="F174" s="145"/>
      <c r="G174" s="145"/>
      <c r="H174" s="156"/>
      <c r="I174" s="157"/>
      <c r="J174" s="157"/>
      <c r="K174" s="157"/>
      <c r="L174" s="157"/>
      <c r="M174" s="158"/>
      <c r="N174" s="145"/>
      <c r="O174" s="195"/>
      <c r="P174" s="195"/>
      <c r="Q174" s="195"/>
      <c r="R174" s="195"/>
      <c r="S174" s="195"/>
      <c r="T174" s="145"/>
    </row>
    <row r="175">
      <c r="A175" s="145"/>
      <c r="B175" s="145"/>
      <c r="C175" s="145"/>
      <c r="D175" s="145"/>
      <c r="E175" s="145"/>
      <c r="F175" s="145"/>
      <c r="G175" s="155"/>
      <c r="H175" s="163"/>
      <c r="I175" s="163"/>
      <c r="J175" s="155"/>
      <c r="K175" s="155"/>
      <c r="L175" s="155"/>
      <c r="M175" s="155"/>
      <c r="N175" s="145"/>
      <c r="O175" s="145"/>
      <c r="P175" s="145"/>
      <c r="Q175" s="145"/>
      <c r="R175" s="145"/>
      <c r="S175" s="145"/>
      <c r="T175" s="145"/>
    </row>
    <row r="176">
      <c r="A176" s="145"/>
      <c r="B176" s="145"/>
      <c r="C176" s="145"/>
      <c r="D176" s="145"/>
      <c r="E176" s="145"/>
      <c r="F176" s="193"/>
      <c r="G176" s="10" t="s">
        <v>195</v>
      </c>
      <c r="H176" s="67"/>
      <c r="I176" s="196">
        <f>countif($R$128:$R$170,"Khorne")</f>
        <v>0</v>
      </c>
      <c r="J176" s="29"/>
      <c r="K176" s="197" t="s">
        <v>176</v>
      </c>
      <c r="L176" s="67"/>
      <c r="M176" s="196">
        <f>countif(R128:R170,"Slaanesh")</f>
        <v>10</v>
      </c>
      <c r="N176" s="194"/>
      <c r="O176" s="145"/>
      <c r="P176" s="145"/>
      <c r="Q176" s="145"/>
      <c r="R176" s="145"/>
      <c r="S176" s="145"/>
      <c r="T176" s="145"/>
    </row>
    <row r="177">
      <c r="A177" s="145"/>
      <c r="B177" s="145"/>
      <c r="C177" s="145"/>
      <c r="D177" s="145"/>
      <c r="E177" s="145"/>
      <c r="F177" s="193"/>
      <c r="G177" s="1"/>
      <c r="H177" s="20"/>
      <c r="I177" s="198"/>
      <c r="J177" s="29"/>
      <c r="K177" s="29"/>
      <c r="L177" s="29"/>
      <c r="M177" s="29"/>
      <c r="N177" s="194"/>
      <c r="O177" s="145"/>
      <c r="P177" s="145"/>
      <c r="Q177" s="145"/>
      <c r="R177" s="145"/>
      <c r="S177" s="145"/>
      <c r="T177" s="145"/>
    </row>
    <row r="178">
      <c r="A178" s="145"/>
      <c r="B178" s="145"/>
      <c r="C178" s="145"/>
      <c r="D178" s="145"/>
      <c r="E178" s="145"/>
      <c r="F178" s="193"/>
      <c r="G178" s="1"/>
      <c r="H178" s="20"/>
      <c r="I178" s="197" t="s">
        <v>169</v>
      </c>
      <c r="J178" s="67"/>
      <c r="K178" s="196">
        <f>countif($R$128:$R$170,"Unaligned")</f>
        <v>15</v>
      </c>
      <c r="L178" s="29"/>
      <c r="M178" s="29"/>
      <c r="N178" s="194"/>
      <c r="O178" s="145"/>
      <c r="P178" s="145"/>
      <c r="Q178" s="145"/>
      <c r="R178" s="145"/>
      <c r="S178" s="145"/>
      <c r="T178" s="145"/>
    </row>
    <row r="179">
      <c r="A179" s="145"/>
      <c r="B179" s="145"/>
      <c r="C179" s="145"/>
      <c r="D179" s="145"/>
      <c r="E179" s="145"/>
      <c r="F179" s="193"/>
      <c r="G179" s="1"/>
      <c r="H179" s="20"/>
      <c r="I179" s="198"/>
      <c r="J179" s="29"/>
      <c r="K179" s="29"/>
      <c r="L179" s="29"/>
      <c r="M179" s="29"/>
      <c r="N179" s="194"/>
      <c r="O179" s="145"/>
      <c r="P179" s="145"/>
      <c r="Q179" s="145"/>
      <c r="R179" s="145"/>
      <c r="S179" s="145"/>
      <c r="T179" s="145"/>
    </row>
    <row r="180">
      <c r="A180" s="145"/>
      <c r="B180" s="145"/>
      <c r="C180" s="145"/>
      <c r="D180" s="145"/>
      <c r="E180" s="145"/>
      <c r="F180" s="193"/>
      <c r="G180" s="10" t="s">
        <v>196</v>
      </c>
      <c r="H180" s="67"/>
      <c r="I180" s="196">
        <f>countif($R$128:$R$170,"Nurgle")</f>
        <v>0</v>
      </c>
      <c r="J180" s="29"/>
      <c r="K180" s="197" t="s">
        <v>181</v>
      </c>
      <c r="L180" s="67"/>
      <c r="M180" s="196">
        <f>countif($R$128:$R$170,"Tzeentch")</f>
        <v>1</v>
      </c>
      <c r="N180" s="194"/>
      <c r="O180" s="145"/>
      <c r="P180" s="145"/>
      <c r="Q180" s="145"/>
      <c r="R180" s="145"/>
      <c r="S180" s="145"/>
      <c r="T180" s="145"/>
    </row>
    <row r="181">
      <c r="A181" s="145"/>
      <c r="B181" s="145"/>
      <c r="C181" s="145"/>
      <c r="D181" s="145"/>
      <c r="E181" s="145"/>
      <c r="F181" s="145"/>
      <c r="G181" s="195"/>
      <c r="H181" s="199"/>
      <c r="I181" s="199"/>
      <c r="J181" s="195"/>
      <c r="K181" s="195"/>
      <c r="L181" s="195"/>
      <c r="M181" s="195"/>
      <c r="N181" s="145"/>
      <c r="O181" s="145"/>
      <c r="P181" s="145"/>
      <c r="Q181" s="145"/>
      <c r="R181" s="145"/>
      <c r="S181" s="145"/>
      <c r="T181" s="145"/>
    </row>
    <row r="182">
      <c r="A182" s="145"/>
      <c r="B182" s="145"/>
      <c r="C182" s="145"/>
      <c r="D182" s="145"/>
      <c r="E182" s="145"/>
      <c r="F182" s="145"/>
      <c r="G182" s="145"/>
      <c r="H182" s="146"/>
      <c r="I182" s="200" t="s">
        <v>197</v>
      </c>
      <c r="J182" s="171"/>
      <c r="K182" s="171"/>
      <c r="L182" s="152"/>
      <c r="M182" s="145"/>
      <c r="N182" s="145"/>
      <c r="O182" s="145"/>
      <c r="P182" s="145"/>
      <c r="Q182" s="145"/>
      <c r="R182" s="145"/>
      <c r="S182" s="145"/>
      <c r="T182" s="145"/>
    </row>
    <row r="183">
      <c r="A183" s="145"/>
      <c r="B183" s="145"/>
      <c r="C183" s="145"/>
      <c r="D183" s="145"/>
      <c r="E183" s="145"/>
      <c r="F183" s="145"/>
      <c r="G183" s="145"/>
      <c r="H183" s="146"/>
      <c r="I183" s="201"/>
      <c r="J183" s="173"/>
      <c r="K183" s="173"/>
      <c r="L183" s="162"/>
      <c r="M183" s="145"/>
      <c r="N183" s="145"/>
      <c r="O183" s="145"/>
      <c r="P183" s="145"/>
      <c r="Q183" s="145"/>
      <c r="R183" s="145"/>
      <c r="S183" s="145"/>
      <c r="T183" s="145"/>
    </row>
    <row r="184">
      <c r="A184" s="145"/>
      <c r="B184" s="145"/>
      <c r="C184" s="145"/>
      <c r="D184" s="145"/>
      <c r="E184" s="145"/>
      <c r="F184" s="145"/>
      <c r="G184" s="145"/>
      <c r="H184" s="146"/>
      <c r="I184" s="181"/>
      <c r="J184" s="180"/>
      <c r="K184" s="180"/>
      <c r="L184" s="180"/>
      <c r="M184" s="145"/>
      <c r="N184" s="145"/>
      <c r="O184" s="145"/>
      <c r="P184" s="145"/>
      <c r="Q184" s="145"/>
      <c r="R184" s="145"/>
      <c r="S184" s="145"/>
      <c r="T184" s="145"/>
    </row>
    <row r="185">
      <c r="A185" s="145"/>
      <c r="B185" s="145"/>
      <c r="C185" s="145"/>
      <c r="D185" s="145"/>
      <c r="E185" s="145"/>
      <c r="F185" s="145"/>
      <c r="G185" s="145"/>
      <c r="H185" s="146"/>
      <c r="I185" s="146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</row>
    <row r="186">
      <c r="A186" s="145"/>
      <c r="B186" s="145"/>
      <c r="C186" s="145"/>
      <c r="D186" s="145"/>
      <c r="E186" s="145"/>
      <c r="F186" s="145"/>
      <c r="G186" s="145"/>
      <c r="H186" s="146"/>
      <c r="I186" s="146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</row>
    <row r="187">
      <c r="A187" s="145"/>
      <c r="B187" s="145"/>
      <c r="C187" s="145"/>
      <c r="D187" s="145"/>
      <c r="E187" s="145"/>
      <c r="F187" s="145"/>
      <c r="G187" s="145"/>
      <c r="H187" s="146"/>
      <c r="I187" s="146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</row>
    <row r="188">
      <c r="A188" s="145"/>
      <c r="B188" s="145"/>
      <c r="C188" s="145"/>
      <c r="D188" s="145"/>
      <c r="E188" s="145"/>
      <c r="F188" s="145"/>
      <c r="G188" s="145"/>
      <c r="H188" s="146"/>
      <c r="I188" s="146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</row>
    <row r="189">
      <c r="A189" s="145"/>
      <c r="B189" s="145"/>
      <c r="C189" s="145"/>
      <c r="D189" s="145"/>
      <c r="E189" s="145"/>
      <c r="F189" s="145"/>
      <c r="G189" s="145"/>
      <c r="H189" s="146"/>
      <c r="I189" s="146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</row>
    <row r="190">
      <c r="A190" s="145"/>
      <c r="B190" s="202" t="s">
        <v>198</v>
      </c>
      <c r="C190" s="171"/>
      <c r="D190" s="171"/>
      <c r="E190" s="171"/>
      <c r="F190" s="152"/>
      <c r="G190" s="145"/>
      <c r="H190" s="146"/>
      <c r="I190" s="203" t="s">
        <v>199</v>
      </c>
      <c r="J190" s="171"/>
      <c r="K190" s="171"/>
      <c r="L190" s="171"/>
      <c r="M190" s="152"/>
      <c r="N190" s="145"/>
      <c r="O190" s="145"/>
      <c r="P190" s="145"/>
      <c r="Q190" s="145"/>
      <c r="R190" s="145"/>
      <c r="S190" s="145"/>
      <c r="T190" s="145"/>
    </row>
    <row r="191">
      <c r="A191" s="145"/>
      <c r="B191" s="145"/>
      <c r="C191" s="145"/>
      <c r="D191" s="145"/>
      <c r="E191" s="145"/>
      <c r="F191" s="145"/>
      <c r="G191" s="145"/>
      <c r="H191" s="146"/>
      <c r="I191" s="146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</row>
  </sheetData>
  <mergeCells count="476">
    <mergeCell ref="L30:L32"/>
    <mergeCell ref="M30:M32"/>
    <mergeCell ref="O27:T29"/>
    <mergeCell ref="O30:T30"/>
    <mergeCell ref="O31:T31"/>
    <mergeCell ref="O32:T32"/>
    <mergeCell ref="K23:L24"/>
    <mergeCell ref="M23:N24"/>
    <mergeCell ref="O23:P24"/>
    <mergeCell ref="Q23:R24"/>
    <mergeCell ref="S23:T24"/>
    <mergeCell ref="K30:K32"/>
    <mergeCell ref="N30:N32"/>
    <mergeCell ref="K21:L21"/>
    <mergeCell ref="M21:N21"/>
    <mergeCell ref="A23:B24"/>
    <mergeCell ref="E23:F24"/>
    <mergeCell ref="G23:H24"/>
    <mergeCell ref="I23:J24"/>
    <mergeCell ref="A27:N29"/>
    <mergeCell ref="C23:D24"/>
    <mergeCell ref="D30:D32"/>
    <mergeCell ref="E30:E32"/>
    <mergeCell ref="F30:F32"/>
    <mergeCell ref="G30:G32"/>
    <mergeCell ref="A33:B33"/>
    <mergeCell ref="A34:B34"/>
    <mergeCell ref="H40:I40"/>
    <mergeCell ref="H41:I41"/>
    <mergeCell ref="H33:I33"/>
    <mergeCell ref="H34:I34"/>
    <mergeCell ref="H35:I35"/>
    <mergeCell ref="H36:I36"/>
    <mergeCell ref="H37:I37"/>
    <mergeCell ref="H38:I38"/>
    <mergeCell ref="H39:I39"/>
    <mergeCell ref="H43:I43"/>
    <mergeCell ref="H44:I44"/>
    <mergeCell ref="O38:T38"/>
    <mergeCell ref="O39:T39"/>
    <mergeCell ref="O40:T40"/>
    <mergeCell ref="O41:T41"/>
    <mergeCell ref="H42:I42"/>
    <mergeCell ref="O42:T42"/>
    <mergeCell ref="O43:T43"/>
    <mergeCell ref="O44:T44"/>
    <mergeCell ref="A46:B46"/>
    <mergeCell ref="A47:B47"/>
    <mergeCell ref="H47:I47"/>
    <mergeCell ref="A42:B42"/>
    <mergeCell ref="A43:B43"/>
    <mergeCell ref="A44:B44"/>
    <mergeCell ref="A45:B45"/>
    <mergeCell ref="H45:I45"/>
    <mergeCell ref="O45:T45"/>
    <mergeCell ref="H46:I46"/>
    <mergeCell ref="H50:I50"/>
    <mergeCell ref="H51:I51"/>
    <mergeCell ref="O46:T46"/>
    <mergeCell ref="O47:T47"/>
    <mergeCell ref="H48:I48"/>
    <mergeCell ref="O48:T48"/>
    <mergeCell ref="H49:I49"/>
    <mergeCell ref="O49:T49"/>
    <mergeCell ref="O50:T50"/>
    <mergeCell ref="O51:T51"/>
    <mergeCell ref="H52:I52"/>
    <mergeCell ref="H53:I53"/>
    <mergeCell ref="A48:B48"/>
    <mergeCell ref="A49:B49"/>
    <mergeCell ref="A50:B50"/>
    <mergeCell ref="A51:B51"/>
    <mergeCell ref="A52:B52"/>
    <mergeCell ref="O52:T52"/>
    <mergeCell ref="O53:T53"/>
    <mergeCell ref="A53:B53"/>
    <mergeCell ref="A54:B54"/>
    <mergeCell ref="H54:I54"/>
    <mergeCell ref="O54:T54"/>
    <mergeCell ref="A55:B55"/>
    <mergeCell ref="O55:T55"/>
    <mergeCell ref="A56:B56"/>
    <mergeCell ref="O56:T56"/>
    <mergeCell ref="H55:I55"/>
    <mergeCell ref="H56:I56"/>
    <mergeCell ref="A60:L61"/>
    <mergeCell ref="N61:S62"/>
    <mergeCell ref="B62:L62"/>
    <mergeCell ref="B63:C63"/>
    <mergeCell ref="E63:F63"/>
    <mergeCell ref="H63:I63"/>
    <mergeCell ref="K63:L63"/>
    <mergeCell ref="B64:C64"/>
    <mergeCell ref="E64:F64"/>
    <mergeCell ref="H64:I64"/>
    <mergeCell ref="K64:L64"/>
    <mergeCell ref="P64:Q64"/>
    <mergeCell ref="A65:B65"/>
    <mergeCell ref="C65:L65"/>
    <mergeCell ref="P65:Q65"/>
    <mergeCell ref="A66:B67"/>
    <mergeCell ref="C66:L67"/>
    <mergeCell ref="P66:Q66"/>
    <mergeCell ref="N67:O67"/>
    <mergeCell ref="R69:S69"/>
    <mergeCell ref="R70:S71"/>
    <mergeCell ref="P67:Q68"/>
    <mergeCell ref="R67:S67"/>
    <mergeCell ref="N68:O68"/>
    <mergeCell ref="R68:S68"/>
    <mergeCell ref="A69:L70"/>
    <mergeCell ref="N69:O69"/>
    <mergeCell ref="N70:O71"/>
    <mergeCell ref="K7:L7"/>
    <mergeCell ref="M7:T7"/>
    <mergeCell ref="B1:S4"/>
    <mergeCell ref="A5:C5"/>
    <mergeCell ref="D5:J5"/>
    <mergeCell ref="K5:L5"/>
    <mergeCell ref="M5:T5"/>
    <mergeCell ref="A7:B7"/>
    <mergeCell ref="C7:H7"/>
    <mergeCell ref="A9:B9"/>
    <mergeCell ref="C9:G9"/>
    <mergeCell ref="H9:I9"/>
    <mergeCell ref="J9:M9"/>
    <mergeCell ref="N9:O9"/>
    <mergeCell ref="P9:T9"/>
    <mergeCell ref="A12:B17"/>
    <mergeCell ref="C12:R17"/>
    <mergeCell ref="A18:T20"/>
    <mergeCell ref="A21:B21"/>
    <mergeCell ref="C21:D21"/>
    <mergeCell ref="E21:F21"/>
    <mergeCell ref="G21:H21"/>
    <mergeCell ref="I21:J21"/>
    <mergeCell ref="S21:T21"/>
    <mergeCell ref="O21:P21"/>
    <mergeCell ref="Q21:R21"/>
    <mergeCell ref="O33:T33"/>
    <mergeCell ref="O34:T34"/>
    <mergeCell ref="O35:T35"/>
    <mergeCell ref="O36:T36"/>
    <mergeCell ref="O37:T37"/>
    <mergeCell ref="A35:B35"/>
    <mergeCell ref="A36:B36"/>
    <mergeCell ref="A37:B37"/>
    <mergeCell ref="A38:B38"/>
    <mergeCell ref="A39:B39"/>
    <mergeCell ref="A40:B40"/>
    <mergeCell ref="A41:B41"/>
    <mergeCell ref="P72:Q72"/>
    <mergeCell ref="P73:Q73"/>
    <mergeCell ref="P74:Q74"/>
    <mergeCell ref="E90:F90"/>
    <mergeCell ref="H90:I90"/>
    <mergeCell ref="A83:B83"/>
    <mergeCell ref="C83:L83"/>
    <mergeCell ref="A84:B85"/>
    <mergeCell ref="C84:L85"/>
    <mergeCell ref="A87:L88"/>
    <mergeCell ref="B89:L89"/>
    <mergeCell ref="B90:C90"/>
    <mergeCell ref="K90:L90"/>
    <mergeCell ref="N77:O77"/>
    <mergeCell ref="N78:O78"/>
    <mergeCell ref="N79:O80"/>
    <mergeCell ref="N83:O85"/>
    <mergeCell ref="N86:O88"/>
    <mergeCell ref="R76:S76"/>
    <mergeCell ref="R77:S77"/>
    <mergeCell ref="R78:S78"/>
    <mergeCell ref="R79:S80"/>
    <mergeCell ref="P83:S85"/>
    <mergeCell ref="P86:S88"/>
    <mergeCell ref="N90:S91"/>
    <mergeCell ref="N95:P95"/>
    <mergeCell ref="N96:P96"/>
    <mergeCell ref="Q96:S96"/>
    <mergeCell ref="Q97:S97"/>
    <mergeCell ref="Q98:S98"/>
    <mergeCell ref="Q99:S99"/>
    <mergeCell ref="Q100:S100"/>
    <mergeCell ref="Q101:S101"/>
    <mergeCell ref="Q102:S102"/>
    <mergeCell ref="Q103:S103"/>
    <mergeCell ref="N92:P92"/>
    <mergeCell ref="Q92:S92"/>
    <mergeCell ref="N93:P93"/>
    <mergeCell ref="Q93:S93"/>
    <mergeCell ref="N94:P94"/>
    <mergeCell ref="Q94:S94"/>
    <mergeCell ref="Q95:S95"/>
    <mergeCell ref="B91:C91"/>
    <mergeCell ref="E91:F91"/>
    <mergeCell ref="H91:I91"/>
    <mergeCell ref="K91:L91"/>
    <mergeCell ref="A92:B92"/>
    <mergeCell ref="C92:L92"/>
    <mergeCell ref="A93:B94"/>
    <mergeCell ref="C93:L94"/>
    <mergeCell ref="A96:L97"/>
    <mergeCell ref="N97:P97"/>
    <mergeCell ref="B98:L98"/>
    <mergeCell ref="N98:P98"/>
    <mergeCell ref="E99:F99"/>
    <mergeCell ref="N99:P99"/>
    <mergeCell ref="H72:I72"/>
    <mergeCell ref="H73:I73"/>
    <mergeCell ref="B71:L71"/>
    <mergeCell ref="B72:C72"/>
    <mergeCell ref="E72:F72"/>
    <mergeCell ref="K72:L72"/>
    <mergeCell ref="B73:C73"/>
    <mergeCell ref="E73:F73"/>
    <mergeCell ref="K73:L73"/>
    <mergeCell ref="A74:B74"/>
    <mergeCell ref="C74:L74"/>
    <mergeCell ref="A75:B76"/>
    <mergeCell ref="C75:L76"/>
    <mergeCell ref="P75:Q76"/>
    <mergeCell ref="N76:O76"/>
    <mergeCell ref="A78:L79"/>
    <mergeCell ref="K81:L81"/>
    <mergeCell ref="K82:L82"/>
    <mergeCell ref="B80:L80"/>
    <mergeCell ref="B81:C81"/>
    <mergeCell ref="E81:F81"/>
    <mergeCell ref="H81:I81"/>
    <mergeCell ref="B82:C82"/>
    <mergeCell ref="E82:F82"/>
    <mergeCell ref="H82:I82"/>
    <mergeCell ref="H99:I99"/>
    <mergeCell ref="K99:L99"/>
    <mergeCell ref="H100:I100"/>
    <mergeCell ref="K100:L100"/>
    <mergeCell ref="N100:P100"/>
    <mergeCell ref="N101:P101"/>
    <mergeCell ref="N102:P102"/>
    <mergeCell ref="N103:P103"/>
    <mergeCell ref="B99:C99"/>
    <mergeCell ref="B100:C100"/>
    <mergeCell ref="E100:F100"/>
    <mergeCell ref="A101:B101"/>
    <mergeCell ref="C101:L101"/>
    <mergeCell ref="A102:B103"/>
    <mergeCell ref="C102:L103"/>
    <mergeCell ref="P108:Q108"/>
    <mergeCell ref="P109:Q109"/>
    <mergeCell ref="N111:O114"/>
    <mergeCell ref="P111:S114"/>
    <mergeCell ref="N116:O119"/>
    <mergeCell ref="P116:S119"/>
    <mergeCell ref="D106:E106"/>
    <mergeCell ref="D107:E107"/>
    <mergeCell ref="N107:O109"/>
    <mergeCell ref="P107:Q107"/>
    <mergeCell ref="R107:S107"/>
    <mergeCell ref="R108:S108"/>
    <mergeCell ref="R109:S109"/>
    <mergeCell ref="B106:C107"/>
    <mergeCell ref="B110:D111"/>
    <mergeCell ref="E110:F110"/>
    <mergeCell ref="G110:H110"/>
    <mergeCell ref="E111:F111"/>
    <mergeCell ref="G111:H111"/>
    <mergeCell ref="B113:D113"/>
    <mergeCell ref="E113:F113"/>
    <mergeCell ref="G113:H113"/>
    <mergeCell ref="B115:I115"/>
    <mergeCell ref="B116:E116"/>
    <mergeCell ref="F116:I116"/>
    <mergeCell ref="B117:E117"/>
    <mergeCell ref="F117:I117"/>
    <mergeCell ref="B118:E118"/>
    <mergeCell ref="F118:I118"/>
    <mergeCell ref="B119:E119"/>
    <mergeCell ref="F119:I119"/>
    <mergeCell ref="B120:E120"/>
    <mergeCell ref="F120:I120"/>
    <mergeCell ref="F121:I121"/>
    <mergeCell ref="F122:I122"/>
    <mergeCell ref="B121:E121"/>
    <mergeCell ref="B122:E122"/>
    <mergeCell ref="L123:S124"/>
    <mergeCell ref="B124:I125"/>
    <mergeCell ref="K125:L125"/>
    <mergeCell ref="N125:O125"/>
    <mergeCell ref="Q125:R125"/>
    <mergeCell ref="P128:Q128"/>
    <mergeCell ref="R128:S128"/>
    <mergeCell ref="B130:I130"/>
    <mergeCell ref="K130:O130"/>
    <mergeCell ref="P130:Q130"/>
    <mergeCell ref="R130:S130"/>
    <mergeCell ref="K131:O131"/>
    <mergeCell ref="P131:Q131"/>
    <mergeCell ref="R131:S131"/>
    <mergeCell ref="B131:I131"/>
    <mergeCell ref="B132:I132"/>
    <mergeCell ref="K132:O132"/>
    <mergeCell ref="P132:Q132"/>
    <mergeCell ref="R132:S132"/>
    <mergeCell ref="B133:I133"/>
    <mergeCell ref="B134:I134"/>
    <mergeCell ref="B135:I135"/>
    <mergeCell ref="K135:O135"/>
    <mergeCell ref="P135:Q135"/>
    <mergeCell ref="R135:S135"/>
    <mergeCell ref="K136:O136"/>
    <mergeCell ref="P136:Q136"/>
    <mergeCell ref="R136:S136"/>
    <mergeCell ref="B136:I136"/>
    <mergeCell ref="B137:I137"/>
    <mergeCell ref="K137:O137"/>
    <mergeCell ref="P137:Q137"/>
    <mergeCell ref="R137:S137"/>
    <mergeCell ref="B138:I138"/>
    <mergeCell ref="K138:O138"/>
    <mergeCell ref="K140:O140"/>
    <mergeCell ref="P140:Q140"/>
    <mergeCell ref="P138:Q138"/>
    <mergeCell ref="R138:S138"/>
    <mergeCell ref="B139:I139"/>
    <mergeCell ref="K139:O139"/>
    <mergeCell ref="P139:Q139"/>
    <mergeCell ref="R139:S139"/>
    <mergeCell ref="R140:S140"/>
    <mergeCell ref="K128:O128"/>
    <mergeCell ref="K129:O129"/>
    <mergeCell ref="P129:Q129"/>
    <mergeCell ref="R129:S129"/>
    <mergeCell ref="D127:E127"/>
    <mergeCell ref="F127:G127"/>
    <mergeCell ref="K127:O127"/>
    <mergeCell ref="P127:Q127"/>
    <mergeCell ref="R127:S127"/>
    <mergeCell ref="B128:I128"/>
    <mergeCell ref="B129:I129"/>
    <mergeCell ref="P133:Q133"/>
    <mergeCell ref="R133:S133"/>
    <mergeCell ref="K133:O133"/>
    <mergeCell ref="K134:O134"/>
    <mergeCell ref="P134:Q134"/>
    <mergeCell ref="R134:S134"/>
    <mergeCell ref="P142:Q142"/>
    <mergeCell ref="R142:S142"/>
    <mergeCell ref="B158:I158"/>
    <mergeCell ref="K158:O158"/>
    <mergeCell ref="P158:Q158"/>
    <mergeCell ref="R158:S158"/>
    <mergeCell ref="K159:O159"/>
    <mergeCell ref="P159:Q159"/>
    <mergeCell ref="R159:S159"/>
    <mergeCell ref="B159:I159"/>
    <mergeCell ref="B160:I160"/>
    <mergeCell ref="K160:O160"/>
    <mergeCell ref="P160:Q160"/>
    <mergeCell ref="R160:S160"/>
    <mergeCell ref="B161:I161"/>
    <mergeCell ref="B162:I162"/>
    <mergeCell ref="K156:O156"/>
    <mergeCell ref="K157:O157"/>
    <mergeCell ref="P157:Q157"/>
    <mergeCell ref="R157:S157"/>
    <mergeCell ref="B154:I154"/>
    <mergeCell ref="B155:I155"/>
    <mergeCell ref="K155:O155"/>
    <mergeCell ref="P155:Q155"/>
    <mergeCell ref="R155:S155"/>
    <mergeCell ref="B156:I156"/>
    <mergeCell ref="B157:I157"/>
    <mergeCell ref="P161:Q161"/>
    <mergeCell ref="R161:S161"/>
    <mergeCell ref="K161:O161"/>
    <mergeCell ref="K162:O162"/>
    <mergeCell ref="P162:Q162"/>
    <mergeCell ref="R162:S162"/>
    <mergeCell ref="B168:I168"/>
    <mergeCell ref="B169:I169"/>
    <mergeCell ref="K169:O169"/>
    <mergeCell ref="P169:Q169"/>
    <mergeCell ref="R169:S169"/>
    <mergeCell ref="B170:I170"/>
    <mergeCell ref="K170:O170"/>
    <mergeCell ref="B144:I144"/>
    <mergeCell ref="K144:O144"/>
    <mergeCell ref="P144:Q144"/>
    <mergeCell ref="R144:S144"/>
    <mergeCell ref="K145:O145"/>
    <mergeCell ref="P145:Q145"/>
    <mergeCell ref="R145:S145"/>
    <mergeCell ref="B145:I145"/>
    <mergeCell ref="B146:I146"/>
    <mergeCell ref="K146:O146"/>
    <mergeCell ref="P146:Q146"/>
    <mergeCell ref="R146:S146"/>
    <mergeCell ref="B147:I147"/>
    <mergeCell ref="B148:I148"/>
    <mergeCell ref="B149:I149"/>
    <mergeCell ref="K149:O149"/>
    <mergeCell ref="P149:Q149"/>
    <mergeCell ref="R149:S149"/>
    <mergeCell ref="K150:O150"/>
    <mergeCell ref="P150:Q150"/>
    <mergeCell ref="R150:S150"/>
    <mergeCell ref="B150:I150"/>
    <mergeCell ref="B151:I151"/>
    <mergeCell ref="K151:O151"/>
    <mergeCell ref="P151:Q151"/>
    <mergeCell ref="R151:S151"/>
    <mergeCell ref="B152:I152"/>
    <mergeCell ref="K152:O152"/>
    <mergeCell ref="K154:O154"/>
    <mergeCell ref="P154:Q154"/>
    <mergeCell ref="P152:Q152"/>
    <mergeCell ref="R152:S152"/>
    <mergeCell ref="B153:I153"/>
    <mergeCell ref="K153:O153"/>
    <mergeCell ref="P153:Q153"/>
    <mergeCell ref="R153:S153"/>
    <mergeCell ref="R154:S154"/>
    <mergeCell ref="K142:O142"/>
    <mergeCell ref="K143:O143"/>
    <mergeCell ref="P143:Q143"/>
    <mergeCell ref="R143:S143"/>
    <mergeCell ref="B140:I140"/>
    <mergeCell ref="B141:I141"/>
    <mergeCell ref="K141:O141"/>
    <mergeCell ref="P141:Q141"/>
    <mergeCell ref="R141:S141"/>
    <mergeCell ref="B142:I142"/>
    <mergeCell ref="B143:I143"/>
    <mergeCell ref="P147:Q147"/>
    <mergeCell ref="R147:S147"/>
    <mergeCell ref="K147:O147"/>
    <mergeCell ref="K148:O148"/>
    <mergeCell ref="P148:Q148"/>
    <mergeCell ref="R148:S148"/>
    <mergeCell ref="P156:Q156"/>
    <mergeCell ref="R156:S156"/>
    <mergeCell ref="B163:I163"/>
    <mergeCell ref="K163:O163"/>
    <mergeCell ref="P163:Q163"/>
    <mergeCell ref="R163:S163"/>
    <mergeCell ref="K164:O164"/>
    <mergeCell ref="P164:Q164"/>
    <mergeCell ref="R164:S164"/>
    <mergeCell ref="B164:I164"/>
    <mergeCell ref="B165:I165"/>
    <mergeCell ref="K165:O165"/>
    <mergeCell ref="P165:Q165"/>
    <mergeCell ref="R165:S165"/>
    <mergeCell ref="B166:I166"/>
    <mergeCell ref="K166:O166"/>
    <mergeCell ref="K168:O168"/>
    <mergeCell ref="P168:Q168"/>
    <mergeCell ref="P166:Q166"/>
    <mergeCell ref="R166:S166"/>
    <mergeCell ref="B167:I167"/>
    <mergeCell ref="K167:O167"/>
    <mergeCell ref="P167:Q167"/>
    <mergeCell ref="R167:S167"/>
    <mergeCell ref="R168:S168"/>
    <mergeCell ref="K180:L180"/>
    <mergeCell ref="I182:L182"/>
    <mergeCell ref="I183:L183"/>
    <mergeCell ref="B190:F190"/>
    <mergeCell ref="I190:M190"/>
    <mergeCell ref="P170:Q170"/>
    <mergeCell ref="R170:S170"/>
    <mergeCell ref="H173:M174"/>
    <mergeCell ref="G176:H176"/>
    <mergeCell ref="K176:L176"/>
    <mergeCell ref="I178:J178"/>
    <mergeCell ref="G180:H180"/>
  </mergeCells>
  <dataValidations>
    <dataValidation type="list" allowBlank="1" showInputMessage="1" showErrorMessage="1" prompt="Choose a Chaos God" sqref="R128:R170 I183">
      <formula1>Sheet2!$A$1:$A$5</formula1>
    </dataValidation>
    <dataValidation type="decimal" operator="equal" allowBlank="1" showDropDown="1" showInputMessage="1" showErrorMessage="1" prompt="use only lowercase x" sqref="D33:G56 K33:N56">
      <formula1>x</formula1>
    </dataValidation>
    <dataValidation type="decimal" operator="greaterThanOrEqual" allowBlank="1" showDropDown="1" showInputMessage="1" showErrorMessage="1" prompt="Number Only" sqref="P128:P170">
      <formula1>0.0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" width="6.38"/>
    <col customWidth="1" min="3" max="7" width="5.75"/>
    <col customWidth="1" min="8" max="9" width="6.38"/>
    <col customWidth="1" min="10" max="20" width="5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</row>
    <row r="2">
      <c r="A2" s="1"/>
      <c r="B2" s="5"/>
      <c r="S2" s="6"/>
      <c r="T2" s="1"/>
    </row>
    <row r="3">
      <c r="A3" s="1"/>
      <c r="B3" s="5"/>
      <c r="S3" s="6"/>
      <c r="T3" s="1"/>
    </row>
    <row r="4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"/>
    </row>
    <row r="5">
      <c r="A5" s="10" t="s">
        <v>1</v>
      </c>
      <c r="B5" s="11"/>
      <c r="C5" s="12"/>
      <c r="D5" s="13" t="s">
        <v>2</v>
      </c>
      <c r="E5" s="14"/>
      <c r="F5" s="14"/>
      <c r="G5" s="14"/>
      <c r="H5" s="14"/>
      <c r="I5" s="14"/>
      <c r="J5" s="15"/>
      <c r="K5" s="10" t="s">
        <v>3</v>
      </c>
      <c r="L5" s="12"/>
      <c r="M5" s="13" t="s">
        <v>4</v>
      </c>
      <c r="N5" s="14"/>
      <c r="O5" s="14"/>
      <c r="P5" s="14"/>
      <c r="Q5" s="14"/>
      <c r="R5" s="14"/>
      <c r="S5" s="14"/>
      <c r="T5" s="15"/>
    </row>
    <row r="6">
      <c r="A6" s="1"/>
      <c r="B6" s="1"/>
      <c r="C6" s="1"/>
      <c r="D6" s="16"/>
      <c r="E6" s="16"/>
      <c r="F6" s="16"/>
      <c r="G6" s="16"/>
      <c r="H6" s="17"/>
      <c r="I6" s="17"/>
      <c r="J6" s="16"/>
      <c r="K6" s="1"/>
      <c r="L6" s="1"/>
      <c r="M6" s="16"/>
      <c r="N6" s="16"/>
      <c r="O6" s="16"/>
      <c r="P6" s="16"/>
      <c r="Q6" s="16"/>
      <c r="R6" s="16"/>
      <c r="S6" s="16"/>
      <c r="T6" s="16"/>
    </row>
    <row r="7">
      <c r="A7" s="10" t="s">
        <v>5</v>
      </c>
      <c r="B7" s="12"/>
      <c r="C7" s="13" t="s">
        <v>6</v>
      </c>
      <c r="D7" s="14"/>
      <c r="E7" s="14"/>
      <c r="F7" s="14"/>
      <c r="G7" s="14"/>
      <c r="H7" s="15"/>
      <c r="I7" s="18" t="s">
        <v>7</v>
      </c>
      <c r="J7" s="19"/>
      <c r="K7" s="10" t="s">
        <v>8</v>
      </c>
      <c r="L7" s="12"/>
      <c r="M7" s="13" t="s">
        <v>9</v>
      </c>
      <c r="N7" s="14"/>
      <c r="O7" s="14"/>
      <c r="P7" s="14"/>
      <c r="Q7" s="14"/>
      <c r="R7" s="14"/>
      <c r="S7" s="14"/>
      <c r="T7" s="15"/>
    </row>
    <row r="8">
      <c r="A8" s="1"/>
      <c r="B8" s="1"/>
      <c r="C8" s="16"/>
      <c r="D8" s="16"/>
      <c r="E8" s="16"/>
      <c r="F8" s="16"/>
      <c r="G8" s="16"/>
      <c r="H8" s="17"/>
      <c r="I8" s="20"/>
      <c r="J8" s="16"/>
      <c r="K8" s="1"/>
      <c r="L8" s="1"/>
      <c r="M8" s="16"/>
      <c r="N8" s="16"/>
      <c r="O8" s="16"/>
      <c r="P8" s="16"/>
      <c r="Q8" s="16"/>
      <c r="R8" s="16"/>
      <c r="S8" s="16"/>
      <c r="T8" s="16"/>
    </row>
    <row r="9">
      <c r="A9" s="10" t="s">
        <v>10</v>
      </c>
      <c r="B9" s="12"/>
      <c r="C9" s="13" t="s">
        <v>11</v>
      </c>
      <c r="D9" s="14"/>
      <c r="E9" s="14"/>
      <c r="F9" s="14"/>
      <c r="G9" s="15"/>
      <c r="H9" s="10" t="s">
        <v>12</v>
      </c>
      <c r="I9" s="12"/>
      <c r="J9" s="13" t="s">
        <v>13</v>
      </c>
      <c r="K9" s="14"/>
      <c r="L9" s="14"/>
      <c r="M9" s="15"/>
      <c r="N9" s="10" t="s">
        <v>14</v>
      </c>
      <c r="O9" s="12"/>
      <c r="P9" s="13" t="s">
        <v>15</v>
      </c>
      <c r="Q9" s="14"/>
      <c r="R9" s="14"/>
      <c r="S9" s="14"/>
      <c r="T9" s="15"/>
    </row>
    <row r="10">
      <c r="A10" s="1"/>
      <c r="B10" s="1"/>
      <c r="C10" s="16"/>
      <c r="D10" s="16"/>
      <c r="E10" s="16"/>
      <c r="F10" s="16"/>
      <c r="G10" s="16"/>
      <c r="H10" s="20"/>
      <c r="I10" s="20"/>
      <c r="J10" s="16"/>
      <c r="K10" s="16"/>
      <c r="L10" s="16"/>
      <c r="M10" s="16"/>
      <c r="N10" s="1"/>
      <c r="O10" s="1"/>
      <c r="P10" s="16"/>
      <c r="Q10" s="16"/>
      <c r="R10" s="16"/>
      <c r="S10" s="16"/>
      <c r="T10" s="16"/>
    </row>
    <row r="11">
      <c r="A11" s="1"/>
      <c r="B11" s="1"/>
      <c r="C11" s="21"/>
      <c r="D11" s="21"/>
      <c r="E11" s="21"/>
      <c r="F11" s="21"/>
      <c r="G11" s="21"/>
      <c r="H11" s="22"/>
      <c r="I11" s="22"/>
      <c r="J11" s="21"/>
      <c r="K11" s="21"/>
      <c r="L11" s="21"/>
      <c r="M11" s="21"/>
      <c r="N11" s="21"/>
      <c r="O11" s="21"/>
      <c r="P11" s="21"/>
      <c r="Q11" s="21"/>
      <c r="R11" s="21"/>
      <c r="S11" s="1"/>
      <c r="T11" s="1"/>
    </row>
    <row r="12">
      <c r="A12" s="23" t="s">
        <v>16</v>
      </c>
      <c r="B12" s="24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/>
      <c r="S12" s="28"/>
      <c r="T12" s="29"/>
    </row>
    <row r="13">
      <c r="A13" s="5"/>
      <c r="B13" s="30"/>
      <c r="C13" s="31"/>
      <c r="R13" s="30"/>
      <c r="S13" s="28"/>
      <c r="T13" s="29"/>
    </row>
    <row r="14">
      <c r="A14" s="5"/>
      <c r="B14" s="30"/>
      <c r="C14" s="31"/>
      <c r="R14" s="30"/>
      <c r="S14" s="28"/>
      <c r="T14" s="29"/>
    </row>
    <row r="15">
      <c r="A15" s="5"/>
      <c r="B15" s="30"/>
      <c r="C15" s="31"/>
      <c r="R15" s="30"/>
      <c r="S15" s="28"/>
      <c r="T15" s="29"/>
    </row>
    <row r="16">
      <c r="A16" s="5"/>
      <c r="B16" s="30"/>
      <c r="C16" s="31"/>
      <c r="R16" s="30"/>
      <c r="S16" s="28"/>
      <c r="T16" s="29"/>
    </row>
    <row r="17">
      <c r="A17" s="7"/>
      <c r="B17" s="32"/>
      <c r="C17" s="33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5"/>
      <c r="S17" s="28"/>
      <c r="T17" s="29"/>
    </row>
    <row r="18">
      <c r="A18" s="36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</row>
    <row r="19">
      <c r="T19" s="6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</row>
    <row r="21">
      <c r="A21" s="37" t="s">
        <v>18</v>
      </c>
      <c r="B21" s="38"/>
      <c r="C21" s="37" t="s">
        <v>19</v>
      </c>
      <c r="D21" s="38"/>
      <c r="E21" s="37" t="s">
        <v>20</v>
      </c>
      <c r="F21" s="38"/>
      <c r="G21" s="37" t="s">
        <v>21</v>
      </c>
      <c r="H21" s="38"/>
      <c r="I21" s="37" t="s">
        <v>22</v>
      </c>
      <c r="J21" s="38"/>
      <c r="K21" s="37" t="s">
        <v>23</v>
      </c>
      <c r="L21" s="38"/>
      <c r="M21" s="37" t="s">
        <v>24</v>
      </c>
      <c r="N21" s="38"/>
      <c r="O21" s="37" t="s">
        <v>25</v>
      </c>
      <c r="P21" s="38"/>
      <c r="Q21" s="37" t="s">
        <v>26</v>
      </c>
      <c r="R21" s="38"/>
      <c r="S21" s="37" t="s">
        <v>27</v>
      </c>
      <c r="T21" s="38"/>
    </row>
    <row r="22">
      <c r="A22" s="39">
        <f>floor(WS/10,1)+B22</f>
        <v>3</v>
      </c>
      <c r="B22" s="40"/>
      <c r="C22" s="39">
        <f>floor(BS/10,1)+D22</f>
        <v>5</v>
      </c>
      <c r="D22" s="40"/>
      <c r="E22" s="39">
        <f>floor(ST/10,1)+F22</f>
        <v>4</v>
      </c>
      <c r="F22" s="40"/>
      <c r="G22" s="39">
        <f>floor(TUF/10,1)+H22</f>
        <v>4</v>
      </c>
      <c r="H22" s="40"/>
      <c r="I22" s="39">
        <f>floor(AG/10,1)+J22</f>
        <v>7</v>
      </c>
      <c r="J22" s="41">
        <v>2.0</v>
      </c>
      <c r="K22" s="39">
        <f>floor(INT/10,1)+L22</f>
        <v>4</v>
      </c>
      <c r="L22" s="40"/>
      <c r="M22" s="39">
        <f>floor(PER/10,1)+N22</f>
        <v>4</v>
      </c>
      <c r="N22" s="40"/>
      <c r="O22" s="39">
        <f>floor(WP/10,1)+P22</f>
        <v>3</v>
      </c>
      <c r="P22" s="40"/>
      <c r="Q22" s="39">
        <f>floor(FEL/10,1)+R22</f>
        <v>3</v>
      </c>
      <c r="R22" s="40"/>
      <c r="S22" s="39">
        <f>floor(INF/10,1)+T22</f>
        <v>2</v>
      </c>
      <c r="T22" s="42"/>
    </row>
    <row r="23">
      <c r="A23" s="43">
        <f>A25+B25</f>
        <v>38</v>
      </c>
      <c r="B23" s="44"/>
      <c r="C23" s="43">
        <f>C25+D25</f>
        <v>55</v>
      </c>
      <c r="D23" s="44"/>
      <c r="E23" s="43">
        <f>E25+F25</f>
        <v>40</v>
      </c>
      <c r="F23" s="44"/>
      <c r="G23" s="43">
        <f>G25+H25</f>
        <v>40</v>
      </c>
      <c r="H23" s="44"/>
      <c r="I23" s="43">
        <f>I25+J25</f>
        <v>58</v>
      </c>
      <c r="J23" s="44"/>
      <c r="K23" s="43">
        <f>K25+L25</f>
        <v>40</v>
      </c>
      <c r="L23" s="44"/>
      <c r="M23" s="43">
        <f>M25+N25</f>
        <v>47</v>
      </c>
      <c r="N23" s="44"/>
      <c r="O23" s="43">
        <f>O25+P25</f>
        <v>31</v>
      </c>
      <c r="P23" s="44"/>
      <c r="Q23" s="43">
        <f>Q25+R25</f>
        <v>32</v>
      </c>
      <c r="R23" s="44"/>
      <c r="S23" s="43">
        <f>S25+T25</f>
        <v>24</v>
      </c>
      <c r="T23" s="44"/>
    </row>
    <row r="24">
      <c r="A24" s="45"/>
      <c r="B24" s="46"/>
      <c r="C24" s="45"/>
      <c r="D24" s="46"/>
      <c r="E24" s="45"/>
      <c r="F24" s="46"/>
      <c r="G24" s="45"/>
      <c r="H24" s="46"/>
      <c r="I24" s="45"/>
      <c r="J24" s="46"/>
      <c r="K24" s="45"/>
      <c r="L24" s="46"/>
      <c r="M24" s="45"/>
      <c r="N24" s="46"/>
      <c r="O24" s="45"/>
      <c r="P24" s="46"/>
      <c r="Q24" s="45"/>
      <c r="R24" s="46"/>
      <c r="S24" s="45"/>
      <c r="T24" s="46"/>
    </row>
    <row r="25">
      <c r="A25" s="47">
        <v>38.0</v>
      </c>
      <c r="B25" s="48"/>
      <c r="C25" s="47">
        <v>45.0</v>
      </c>
      <c r="D25" s="47">
        <v>10.0</v>
      </c>
      <c r="E25" s="47">
        <v>40.0</v>
      </c>
      <c r="F25" s="48"/>
      <c r="G25" s="47">
        <v>40.0</v>
      </c>
      <c r="H25" s="49"/>
      <c r="I25" s="50">
        <v>53.0</v>
      </c>
      <c r="J25" s="47">
        <v>5.0</v>
      </c>
      <c r="K25" s="47">
        <v>40.0</v>
      </c>
      <c r="L25" s="48"/>
      <c r="M25" s="47">
        <v>47.0</v>
      </c>
      <c r="N25" s="48"/>
      <c r="O25" s="47">
        <v>35.0</v>
      </c>
      <c r="P25" s="47">
        <v>-4.0</v>
      </c>
      <c r="Q25" s="47">
        <v>22.0</v>
      </c>
      <c r="R25" s="47">
        <v>10.0</v>
      </c>
      <c r="S25" s="47">
        <v>22.0</v>
      </c>
      <c r="T25" s="47">
        <v>2.0</v>
      </c>
    </row>
    <row r="26">
      <c r="A26" s="51"/>
      <c r="B26" s="51"/>
      <c r="C26" s="51"/>
      <c r="D26" s="51"/>
      <c r="E26" s="51"/>
      <c r="F26" s="51"/>
      <c r="G26" s="51"/>
      <c r="H26" s="52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</row>
    <row r="27">
      <c r="A27" s="53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  <c r="O27" s="53" t="s">
        <v>29</v>
      </c>
      <c r="P27" s="3"/>
      <c r="Q27" s="3"/>
      <c r="R27" s="3"/>
      <c r="S27" s="3"/>
      <c r="T27" s="4"/>
    </row>
    <row r="28">
      <c r="A28" s="5"/>
      <c r="N28" s="6"/>
      <c r="O28" s="5"/>
      <c r="T28" s="6"/>
    </row>
    <row r="29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9"/>
      <c r="O29" s="7"/>
      <c r="P29" s="8"/>
      <c r="Q29" s="8"/>
      <c r="R29" s="8"/>
      <c r="S29" s="8"/>
      <c r="T29" s="9"/>
    </row>
    <row r="30">
      <c r="A30" s="20"/>
      <c r="B30" s="20"/>
      <c r="C30" s="54"/>
      <c r="D30" s="55" t="s">
        <v>30</v>
      </c>
      <c r="E30" s="56" t="s">
        <v>31</v>
      </c>
      <c r="F30" s="56" t="s">
        <v>32</v>
      </c>
      <c r="G30" s="57" t="s">
        <v>33</v>
      </c>
      <c r="H30" s="20"/>
      <c r="I30" s="20"/>
      <c r="J30" s="54"/>
      <c r="K30" s="55" t="s">
        <v>30</v>
      </c>
      <c r="L30" s="56" t="s">
        <v>31</v>
      </c>
      <c r="M30" s="56" t="s">
        <v>32</v>
      </c>
      <c r="N30" s="57" t="s">
        <v>33</v>
      </c>
      <c r="O30" s="58" t="s">
        <v>34</v>
      </c>
      <c r="P30" s="14"/>
      <c r="Q30" s="14"/>
      <c r="R30" s="14"/>
      <c r="S30" s="14"/>
      <c r="T30" s="14"/>
    </row>
    <row r="31">
      <c r="A31" s="20"/>
      <c r="B31" s="20"/>
      <c r="C31" s="54"/>
      <c r="D31" s="59"/>
      <c r="E31" s="59"/>
      <c r="F31" s="59"/>
      <c r="G31" s="60"/>
      <c r="H31" s="20"/>
      <c r="I31" s="20"/>
      <c r="J31" s="54"/>
      <c r="K31" s="59"/>
      <c r="L31" s="59"/>
      <c r="M31" s="59"/>
      <c r="N31" s="60"/>
      <c r="O31" s="61"/>
      <c r="P31" s="62"/>
      <c r="Q31" s="62"/>
      <c r="R31" s="62"/>
      <c r="S31" s="62"/>
      <c r="T31" s="62"/>
    </row>
    <row r="32">
      <c r="A32" s="20"/>
      <c r="B32" s="20"/>
      <c r="C32" s="54"/>
      <c r="D32" s="63"/>
      <c r="E32" s="63"/>
      <c r="F32" s="63"/>
      <c r="G32" s="64"/>
      <c r="H32" s="20"/>
      <c r="I32" s="20"/>
      <c r="J32" s="54"/>
      <c r="K32" s="63"/>
      <c r="L32" s="63"/>
      <c r="M32" s="63"/>
      <c r="N32" s="64"/>
      <c r="O32" s="65" t="s">
        <v>35</v>
      </c>
      <c r="P32" s="62"/>
      <c r="Q32" s="62"/>
      <c r="R32" s="62"/>
      <c r="S32" s="62"/>
      <c r="T32" s="62"/>
    </row>
    <row r="33">
      <c r="A33" s="66" t="s">
        <v>36</v>
      </c>
      <c r="B33" s="67"/>
      <c r="C33" s="68">
        <f>(AG-10)+(istext(D33)*10)+(istext(E33)*10)+(istext(F33)*10)+(istext(G33)*10)</f>
        <v>58</v>
      </c>
      <c r="D33" s="69" t="s">
        <v>37</v>
      </c>
      <c r="E33" s="70"/>
      <c r="F33" s="70"/>
      <c r="G33" s="71"/>
      <c r="H33" s="66" t="s">
        <v>38</v>
      </c>
      <c r="I33" s="67"/>
      <c r="J33" s="68">
        <f>(INT-10)+(istext(K33)*10)+(istext(L33)*10)+(istext(M33)*10)+(istext(N33)*10)</f>
        <v>30</v>
      </c>
      <c r="K33" s="70"/>
      <c r="L33" s="70"/>
      <c r="M33" s="70"/>
      <c r="N33" s="71"/>
      <c r="O33" s="65" t="s">
        <v>39</v>
      </c>
      <c r="P33" s="62"/>
      <c r="Q33" s="62"/>
      <c r="R33" s="62"/>
      <c r="S33" s="62"/>
      <c r="T33" s="62"/>
    </row>
    <row r="34">
      <c r="A34" s="66" t="s">
        <v>40</v>
      </c>
      <c r="B34" s="67"/>
      <c r="C34" s="68">
        <f>(ST-10)+(istext(D34)*10)+(istext(E34)*10)+(istext(F34)*10)+(istext(G34)*10)</f>
        <v>40</v>
      </c>
      <c r="D34" s="69" t="s">
        <v>37</v>
      </c>
      <c r="E34" s="70"/>
      <c r="F34" s="70"/>
      <c r="G34" s="71"/>
      <c r="H34" s="66" t="s">
        <v>41</v>
      </c>
      <c r="I34" s="67"/>
      <c r="J34" s="68">
        <f>(INT-10)+(istext(K34)*10)+(istext(L34)*10)+(istext(M34)*10)+(istext(N34)*10)</f>
        <v>30</v>
      </c>
      <c r="K34" s="70"/>
      <c r="L34" s="70"/>
      <c r="M34" s="70"/>
      <c r="N34" s="71"/>
      <c r="O34" s="65" t="s">
        <v>42</v>
      </c>
      <c r="P34" s="62"/>
      <c r="Q34" s="62"/>
      <c r="R34" s="62"/>
      <c r="S34" s="62"/>
      <c r="T34" s="62"/>
    </row>
    <row r="35">
      <c r="A35" s="66" t="s">
        <v>43</v>
      </c>
      <c r="B35" s="67"/>
      <c r="C35" s="68">
        <f>(PER-10)+(istext(D35)*10)+(istext(E35)*10)+(istext(F35)*10)+(istext(G35)*10)</f>
        <v>57</v>
      </c>
      <c r="D35" s="69" t="s">
        <v>37</v>
      </c>
      <c r="E35" s="69" t="s">
        <v>37</v>
      </c>
      <c r="F35" s="70"/>
      <c r="G35" s="71"/>
      <c r="H35" s="66" t="s">
        <v>44</v>
      </c>
      <c r="I35" s="67"/>
      <c r="J35" s="68">
        <f>(INT-10)+(istext(K35)*10)+(istext(L35)*10)+(istext(M35)*10)+(istext(N35)*10)</f>
        <v>30</v>
      </c>
      <c r="K35" s="70"/>
      <c r="L35" s="70"/>
      <c r="M35" s="70"/>
      <c r="N35" s="71"/>
      <c r="O35" s="65" t="s">
        <v>45</v>
      </c>
      <c r="P35" s="62"/>
      <c r="Q35" s="62"/>
      <c r="R35" s="62"/>
      <c r="S35" s="62"/>
      <c r="T35" s="62"/>
    </row>
    <row r="36">
      <c r="A36" s="66" t="s">
        <v>46</v>
      </c>
      <c r="B36" s="67"/>
      <c r="C36" s="68">
        <f>(FEL-10)+(istext(D36)*10)+(istext(E36)*10)+(istext(F36)*10)+(istext(G36)*10)</f>
        <v>42</v>
      </c>
      <c r="D36" s="69" t="s">
        <v>37</v>
      </c>
      <c r="E36" s="69" t="s">
        <v>37</v>
      </c>
      <c r="F36" s="70"/>
      <c r="G36" s="71"/>
      <c r="H36" s="66" t="s">
        <v>47</v>
      </c>
      <c r="I36" s="67"/>
      <c r="J36" s="68">
        <f>(INT-10)+(istext(K36)*10)+(istext(L36)*10)+(istext(M36)*10)+(istext(N36)*10)</f>
        <v>30</v>
      </c>
      <c r="K36" s="70"/>
      <c r="L36" s="70"/>
      <c r="M36" s="70"/>
      <c r="N36" s="71"/>
      <c r="O36" s="65" t="s">
        <v>48</v>
      </c>
      <c r="P36" s="62"/>
      <c r="Q36" s="62"/>
      <c r="R36" s="62"/>
      <c r="S36" s="62"/>
      <c r="T36" s="62"/>
    </row>
    <row r="37">
      <c r="A37" s="66" t="s">
        <v>49</v>
      </c>
      <c r="B37" s="67"/>
      <c r="C37" s="68">
        <f>(INT-10)+(istext(D37)*10)+(istext(E37)*10)+(istext(F37)*10)+(istext(G37)*10)</f>
        <v>30</v>
      </c>
      <c r="D37" s="70"/>
      <c r="E37" s="70"/>
      <c r="F37" s="70"/>
      <c r="G37" s="71"/>
      <c r="H37" s="66" t="s">
        <v>50</v>
      </c>
      <c r="I37" s="67"/>
      <c r="J37" s="68">
        <f>(AG-10)+(istext(K37)*10)+(istext(L37)*10)+(istext(M37)*10)+(istext(N37)*10)</f>
        <v>48</v>
      </c>
      <c r="K37" s="70"/>
      <c r="L37" s="70"/>
      <c r="M37" s="70"/>
      <c r="N37" s="71"/>
      <c r="O37" s="65" t="s">
        <v>51</v>
      </c>
      <c r="P37" s="62"/>
      <c r="Q37" s="62"/>
      <c r="R37" s="62"/>
      <c r="S37" s="62"/>
      <c r="T37" s="62"/>
    </row>
    <row r="38">
      <c r="A38" s="66" t="s">
        <v>52</v>
      </c>
      <c r="B38" s="67"/>
      <c r="C38" s="68"/>
      <c r="D38" s="70"/>
      <c r="E38" s="70"/>
      <c r="F38" s="70"/>
      <c r="G38" s="71"/>
      <c r="H38" s="66" t="s">
        <v>53</v>
      </c>
      <c r="I38" s="67"/>
      <c r="J38" s="68">
        <f>(AG-10)+(istext(K38)*10)+(istext(L38)*10)+(istext(M38)*10)+(istext(N38)*10)</f>
        <v>68</v>
      </c>
      <c r="K38" s="69" t="s">
        <v>37</v>
      </c>
      <c r="L38" s="69" t="s">
        <v>37</v>
      </c>
      <c r="M38" s="70"/>
      <c r="N38" s="71"/>
      <c r="O38" s="65" t="s">
        <v>54</v>
      </c>
      <c r="P38" s="62"/>
      <c r="Q38" s="62"/>
      <c r="R38" s="62"/>
      <c r="S38" s="62"/>
      <c r="T38" s="62"/>
    </row>
    <row r="39">
      <c r="A39" s="72" t="s">
        <v>55</v>
      </c>
      <c r="B39" s="15"/>
      <c r="C39" s="68">
        <f>(INT-10)+(istext(D39)*10)+(istext(E39)*10)+(istext(F39)*10)+(istext(G39)*10)</f>
        <v>40</v>
      </c>
      <c r="D39" s="69" t="s">
        <v>37</v>
      </c>
      <c r="E39" s="70"/>
      <c r="F39" s="70"/>
      <c r="G39" s="71"/>
      <c r="H39" s="66" t="s">
        <v>56</v>
      </c>
      <c r="I39" s="67"/>
      <c r="J39" s="68">
        <f>(AG-10)+(istext(K39)*10)+(istext(L39)*10)+(istext(M39)*10)+(istext(N39)*10)</f>
        <v>48</v>
      </c>
      <c r="K39" s="70"/>
      <c r="L39" s="70"/>
      <c r="M39" s="70"/>
      <c r="N39" s="71"/>
      <c r="O39" s="65" t="s">
        <v>57</v>
      </c>
      <c r="P39" s="62"/>
      <c r="Q39" s="62"/>
      <c r="R39" s="62"/>
      <c r="S39" s="62"/>
      <c r="T39" s="62"/>
    </row>
    <row r="40">
      <c r="A40" s="73"/>
      <c r="B40" s="74"/>
      <c r="C40" s="68"/>
      <c r="D40" s="70"/>
      <c r="E40" s="70"/>
      <c r="F40" s="70"/>
      <c r="G40" s="71"/>
      <c r="H40" s="66" t="s">
        <v>58</v>
      </c>
      <c r="I40" s="67"/>
      <c r="J40" s="68">
        <f>(WS-10)+(istext(K40)*10)+(istext(L40)*10)+(istext(M40)*10)+(istext(N40)*10)</f>
        <v>38</v>
      </c>
      <c r="K40" s="69" t="s">
        <v>37</v>
      </c>
      <c r="L40" s="70"/>
      <c r="M40" s="70"/>
      <c r="N40" s="71"/>
      <c r="O40" s="65" t="s">
        <v>59</v>
      </c>
      <c r="P40" s="62"/>
      <c r="Q40" s="62"/>
      <c r="R40" s="62"/>
      <c r="S40" s="62"/>
      <c r="T40" s="62"/>
    </row>
    <row r="41">
      <c r="A41" s="73"/>
      <c r="B41" s="74"/>
      <c r="C41" s="68"/>
      <c r="D41" s="70"/>
      <c r="E41" s="70"/>
      <c r="F41" s="70"/>
      <c r="G41" s="71"/>
      <c r="H41" s="66" t="s">
        <v>60</v>
      </c>
      <c r="I41" s="67"/>
      <c r="J41" s="68">
        <f>(PER-10)+(istext(K41)*10)+(istext(L41)*10)+(istext(M41)*10)+(istext(N41)*10)</f>
        <v>37</v>
      </c>
      <c r="K41" s="70"/>
      <c r="L41" s="70"/>
      <c r="M41" s="70"/>
      <c r="N41" s="71"/>
      <c r="O41" s="65" t="s">
        <v>61</v>
      </c>
      <c r="P41" s="62"/>
      <c r="Q41" s="62"/>
      <c r="R41" s="62"/>
      <c r="S41" s="62"/>
      <c r="T41" s="62"/>
    </row>
    <row r="42">
      <c r="A42" s="73"/>
      <c r="B42" s="74"/>
      <c r="C42" s="68"/>
      <c r="D42" s="70"/>
      <c r="E42" s="70"/>
      <c r="F42" s="70"/>
      <c r="G42" s="71"/>
      <c r="H42" s="66" t="s">
        <v>62</v>
      </c>
      <c r="I42" s="67"/>
      <c r="J42" s="68">
        <f>(INT-10)+(istext(K42)*10)+(istext(L42)*10)+(istext(M42)*10)+(istext(N42)*10)</f>
        <v>30</v>
      </c>
      <c r="K42" s="70"/>
      <c r="L42" s="70"/>
      <c r="M42" s="70"/>
      <c r="N42" s="71"/>
      <c r="O42" s="61"/>
      <c r="P42" s="62"/>
      <c r="Q42" s="62"/>
      <c r="R42" s="62"/>
      <c r="S42" s="62"/>
      <c r="T42" s="62"/>
    </row>
    <row r="43">
      <c r="A43" s="73"/>
      <c r="B43" s="74"/>
      <c r="C43" s="68"/>
      <c r="D43" s="70"/>
      <c r="E43" s="70"/>
      <c r="F43" s="70"/>
      <c r="G43" s="71"/>
      <c r="H43" s="72" t="s">
        <v>63</v>
      </c>
      <c r="I43" s="15"/>
      <c r="J43" s="68">
        <f>(INT-10)+(istext(K43)*10)+(istext(L43)*10)+(istext(M43)*10)+(istext(N43)*10)</f>
        <v>40</v>
      </c>
      <c r="K43" s="69" t="s">
        <v>37</v>
      </c>
      <c r="L43" s="70"/>
      <c r="M43" s="70"/>
      <c r="N43" s="71"/>
      <c r="O43" s="65" t="s">
        <v>64</v>
      </c>
      <c r="P43" s="62"/>
      <c r="Q43" s="62"/>
      <c r="R43" s="62"/>
      <c r="S43" s="62"/>
      <c r="T43" s="62"/>
    </row>
    <row r="44">
      <c r="A44" s="75" t="s">
        <v>65</v>
      </c>
      <c r="B44" s="76"/>
      <c r="C44" s="68">
        <f>(FEL-10)+(istext(D44)*10)+(istext(E44)*10)+(istext(F44)*10)+(istext(G44)*10)</f>
        <v>22</v>
      </c>
      <c r="D44" s="70"/>
      <c r="E44" s="70"/>
      <c r="F44" s="70"/>
      <c r="G44" s="71"/>
      <c r="H44" s="73"/>
      <c r="I44" s="74"/>
      <c r="J44" s="68">
        <f>(INT-10)+(istext(K44)*10)+(istext(L44)*10)+(istext(M44)*10)+(istext(N44)*10)</f>
        <v>30</v>
      </c>
      <c r="K44" s="70"/>
      <c r="L44" s="70"/>
      <c r="M44" s="70"/>
      <c r="N44" s="71"/>
      <c r="O44" s="61"/>
      <c r="P44" s="62"/>
      <c r="Q44" s="62"/>
      <c r="R44" s="62"/>
      <c r="S44" s="62"/>
      <c r="T44" s="62"/>
    </row>
    <row r="45">
      <c r="A45" s="66" t="s">
        <v>66</v>
      </c>
      <c r="B45" s="67"/>
      <c r="C45" s="68">
        <f>(AG-10)+(istext(D45)*10)+(istext(E45)*10)+(istext(F45)*10)+(istext(G45)*10)</f>
        <v>68</v>
      </c>
      <c r="D45" s="69" t="s">
        <v>37</v>
      </c>
      <c r="E45" s="69" t="s">
        <v>37</v>
      </c>
      <c r="F45" s="70"/>
      <c r="G45" s="71"/>
      <c r="H45" s="73"/>
      <c r="I45" s="74"/>
      <c r="J45" s="68">
        <f>(INT-10)+(istext(K45)*10)+(istext(L45)*10)+(istext(M45)*10)+(istext(N45)*10)</f>
        <v>30</v>
      </c>
      <c r="K45" s="70"/>
      <c r="L45" s="70"/>
      <c r="M45" s="70"/>
      <c r="N45" s="71"/>
      <c r="O45" s="65" t="s">
        <v>67</v>
      </c>
      <c r="P45" s="62"/>
      <c r="Q45" s="62"/>
      <c r="R45" s="62"/>
      <c r="S45" s="62"/>
      <c r="T45" s="62"/>
    </row>
    <row r="46">
      <c r="A46" s="66" t="s">
        <v>68</v>
      </c>
      <c r="B46" s="67"/>
      <c r="C46" s="68">
        <f>(INT-10)+(istext(D46)*10)+(istext(E46)*10)+(istext(F46)*10)+(istext(G46)*10)</f>
        <v>30</v>
      </c>
      <c r="D46" s="70"/>
      <c r="E46" s="70"/>
      <c r="F46" s="70"/>
      <c r="G46" s="71"/>
      <c r="H46" s="73"/>
      <c r="I46" s="74"/>
      <c r="J46" s="68">
        <f>(INT-10)+(istext(K46)*10)+(istext(L46)*10)+(istext(M46)*10)+(istext(N46)*10)</f>
        <v>30</v>
      </c>
      <c r="K46" s="70"/>
      <c r="L46" s="70"/>
      <c r="M46" s="70"/>
      <c r="N46" s="71"/>
      <c r="O46" s="65" t="s">
        <v>69</v>
      </c>
      <c r="P46" s="62"/>
      <c r="Q46" s="62"/>
      <c r="R46" s="62"/>
      <c r="S46" s="62"/>
      <c r="T46" s="62"/>
    </row>
    <row r="47">
      <c r="A47" s="77"/>
      <c r="B47" s="15"/>
      <c r="C47" s="68">
        <f>(INT-10)+(istext(D47)*10)+(istext(E47)*10)+(istext(F47)*10)+(istext(G47)*10)</f>
        <v>30</v>
      </c>
      <c r="D47" s="70"/>
      <c r="E47" s="70"/>
      <c r="F47" s="70"/>
      <c r="G47" s="71"/>
      <c r="H47" s="75" t="s">
        <v>70</v>
      </c>
      <c r="I47" s="76"/>
      <c r="J47" s="68">
        <f>(PER-10)+(istext(K47)*10)+(istext(L47)*10)+(istext(M47)*10)+(istext(N47)*10)</f>
        <v>37</v>
      </c>
      <c r="K47" s="70"/>
      <c r="L47" s="70"/>
      <c r="M47" s="70"/>
      <c r="N47" s="71"/>
      <c r="O47" s="65" t="s">
        <v>71</v>
      </c>
      <c r="P47" s="62"/>
      <c r="Q47" s="62"/>
      <c r="R47" s="62"/>
      <c r="S47" s="62"/>
      <c r="T47" s="62"/>
    </row>
    <row r="48">
      <c r="A48" s="73"/>
      <c r="B48" s="74"/>
      <c r="C48" s="68">
        <f>(INT-10)+(istext(D48)*10)+(istext(E48)*10)+(istext(F48)*10)+(istext(G48)*10)</f>
        <v>30</v>
      </c>
      <c r="D48" s="70"/>
      <c r="E48" s="70"/>
      <c r="F48" s="70"/>
      <c r="G48" s="71"/>
      <c r="H48" s="66" t="s">
        <v>72</v>
      </c>
      <c r="I48" s="67"/>
      <c r="J48" s="68">
        <f>(INT-10)+(istext(K48)*10)+(istext(L48)*10)+(istext(M48)*10)+(istext(N48)*10)</f>
        <v>40</v>
      </c>
      <c r="K48" s="69" t="s">
        <v>37</v>
      </c>
      <c r="L48" s="70"/>
      <c r="M48" s="70"/>
      <c r="N48" s="71"/>
      <c r="O48" s="65" t="s">
        <v>73</v>
      </c>
      <c r="P48" s="62"/>
      <c r="Q48" s="62"/>
      <c r="R48" s="62"/>
      <c r="S48" s="62"/>
      <c r="T48" s="62"/>
    </row>
    <row r="49">
      <c r="A49" s="73"/>
      <c r="B49" s="74"/>
      <c r="C49" s="68">
        <f>(INT-10)+(istext(D49)*10)+(istext(E49)*10)+(istext(F49)*10)+(istext(G49)*10)</f>
        <v>30</v>
      </c>
      <c r="D49" s="70"/>
      <c r="E49" s="70"/>
      <c r="F49" s="70"/>
      <c r="G49" s="71"/>
      <c r="H49" s="66" t="s">
        <v>74</v>
      </c>
      <c r="I49" s="67"/>
      <c r="J49" s="68">
        <f>(AG-10)+(istext(K49)*10)+(istext(L49)*10)+(istext(M49)*10)+(istext(N49)*10)</f>
        <v>68</v>
      </c>
      <c r="K49" s="69" t="s">
        <v>37</v>
      </c>
      <c r="L49" s="69" t="s">
        <v>37</v>
      </c>
      <c r="M49" s="70"/>
      <c r="N49" s="71"/>
      <c r="O49" s="65" t="s">
        <v>75</v>
      </c>
      <c r="P49" s="62"/>
      <c r="Q49" s="62"/>
      <c r="R49" s="62"/>
      <c r="S49" s="62"/>
      <c r="T49" s="62"/>
    </row>
    <row r="50">
      <c r="A50" s="73"/>
      <c r="B50" s="74"/>
      <c r="C50" s="68">
        <f>(INT-10)+(istext(D50)*10)+(istext(E50)*10)+(istext(F50)*10)+(istext(G50)*10)</f>
        <v>30</v>
      </c>
      <c r="D50" s="70"/>
      <c r="E50" s="70"/>
      <c r="F50" s="70"/>
      <c r="G50" s="71"/>
      <c r="H50" s="66" t="s">
        <v>76</v>
      </c>
      <c r="I50" s="67"/>
      <c r="J50" s="68">
        <f>(AG-10)+(istext(K50)*10)+(istext(L50)*10)+(istext(M50)*10)+(istext(N50)*10)</f>
        <v>68</v>
      </c>
      <c r="K50" s="69" t="s">
        <v>37</v>
      </c>
      <c r="L50" s="69" t="s">
        <v>37</v>
      </c>
      <c r="M50" s="70"/>
      <c r="N50" s="71"/>
      <c r="O50" s="65" t="s">
        <v>77</v>
      </c>
      <c r="P50" s="62"/>
      <c r="Q50" s="62"/>
      <c r="R50" s="62"/>
      <c r="S50" s="62"/>
      <c r="T50" s="62"/>
    </row>
    <row r="51">
      <c r="A51" s="75" t="s">
        <v>78</v>
      </c>
      <c r="B51" s="76"/>
      <c r="C51" s="68">
        <f>(FEL-10)+(istext(D51)*10)+(istext(E51)*10)+(istext(F51)*10)+(istext(G51)*10)</f>
        <v>22</v>
      </c>
      <c r="D51" s="70"/>
      <c r="E51" s="70"/>
      <c r="F51" s="70"/>
      <c r="G51" s="71"/>
      <c r="H51" s="66" t="s">
        <v>79</v>
      </c>
      <c r="I51" s="67"/>
      <c r="J51" s="68">
        <f>(INT-10)+(istext(K51)*10)+(istext(L51)*10)+(istext(M51)*10)+(istext(N51)*10)</f>
        <v>40</v>
      </c>
      <c r="K51" s="69" t="s">
        <v>37</v>
      </c>
      <c r="L51" s="70"/>
      <c r="M51" s="70"/>
      <c r="N51" s="71"/>
      <c r="O51" s="65" t="s">
        <v>80</v>
      </c>
      <c r="P51" s="62"/>
      <c r="Q51" s="62"/>
      <c r="R51" s="62"/>
      <c r="S51" s="62"/>
      <c r="T51" s="62"/>
    </row>
    <row r="52">
      <c r="A52" s="66" t="s">
        <v>81</v>
      </c>
      <c r="B52" s="67"/>
      <c r="C52" s="68">
        <f>(WP-10)+(istext(D52)*10)+(istext(E52)*10)+(istext(F52)*10)+(istext(G52)*10)</f>
        <v>31</v>
      </c>
      <c r="D52" s="69" t="s">
        <v>37</v>
      </c>
      <c r="E52" s="70"/>
      <c r="F52" s="70"/>
      <c r="G52" s="71"/>
      <c r="H52" s="66" t="s">
        <v>82</v>
      </c>
      <c r="I52" s="67"/>
      <c r="J52" s="68">
        <f>(INT-10)+(istext(K52)*10)+(istext(L52)*10)+(istext(M52)*10)+(istext(N52)*10)</f>
        <v>30</v>
      </c>
      <c r="K52" s="70"/>
      <c r="L52" s="70"/>
      <c r="M52" s="70"/>
      <c r="N52" s="71"/>
      <c r="O52" s="65" t="s">
        <v>83</v>
      </c>
      <c r="P52" s="62"/>
      <c r="Q52" s="62"/>
      <c r="R52" s="62"/>
      <c r="S52" s="62"/>
      <c r="T52" s="62"/>
    </row>
    <row r="53">
      <c r="A53" s="66" t="s">
        <v>84</v>
      </c>
      <c r="B53" s="67"/>
      <c r="C53" s="68">
        <f>(INT-10)+(istext(D53)*10)+(istext(E53)*10)+(istext(F53)*10)+(istext(G53)*10)</f>
        <v>30</v>
      </c>
      <c r="D53" s="70"/>
      <c r="E53" s="70"/>
      <c r="F53" s="70"/>
      <c r="G53" s="71"/>
      <c r="H53" s="66" t="s">
        <v>85</v>
      </c>
      <c r="I53" s="67"/>
      <c r="J53" s="68">
        <f>(INT-10)+(istext(K53)*10)+(istext(L53)*10)+(istext(M53)*10)+(istext(N53)*10)</f>
        <v>30</v>
      </c>
      <c r="K53" s="70"/>
      <c r="L53" s="70"/>
      <c r="M53" s="70"/>
      <c r="N53" s="71"/>
      <c r="O53" s="65" t="s">
        <v>86</v>
      </c>
      <c r="P53" s="62"/>
      <c r="Q53" s="62"/>
      <c r="R53" s="62"/>
      <c r="S53" s="62"/>
      <c r="T53" s="62"/>
    </row>
    <row r="54">
      <c r="A54" s="77"/>
      <c r="B54" s="15"/>
      <c r="C54" s="68">
        <f>(INT-10)+(istext(D54)*10)+(istext(E54)*10)+(istext(F54)*10)+(istext(G54)*10)</f>
        <v>30</v>
      </c>
      <c r="D54" s="70"/>
      <c r="E54" s="70"/>
      <c r="F54" s="70"/>
      <c r="G54" s="71"/>
      <c r="H54" s="77"/>
      <c r="I54" s="15"/>
      <c r="J54" s="68"/>
      <c r="K54" s="70"/>
      <c r="L54" s="70"/>
      <c r="M54" s="70"/>
      <c r="N54" s="71"/>
      <c r="O54" s="65" t="s">
        <v>87</v>
      </c>
      <c r="P54" s="62"/>
      <c r="Q54" s="62"/>
      <c r="R54" s="62"/>
      <c r="S54" s="62"/>
      <c r="T54" s="62"/>
    </row>
    <row r="55">
      <c r="A55" s="73"/>
      <c r="B55" s="74"/>
      <c r="C55" s="68">
        <f>(INT-10)+(istext(D55)*10)+(istext(E55)*10)+(istext(F55)*10)+(istext(G55)*10)</f>
        <v>30</v>
      </c>
      <c r="D55" s="70"/>
      <c r="E55" s="70"/>
      <c r="F55" s="70"/>
      <c r="G55" s="71"/>
      <c r="H55" s="73"/>
      <c r="I55" s="74"/>
      <c r="J55" s="68"/>
      <c r="K55" s="70"/>
      <c r="L55" s="70"/>
      <c r="M55" s="70"/>
      <c r="N55" s="71"/>
      <c r="O55" s="61"/>
      <c r="P55" s="62"/>
      <c r="Q55" s="62"/>
      <c r="R55" s="62"/>
      <c r="S55" s="62"/>
      <c r="T55" s="62"/>
    </row>
    <row r="56">
      <c r="A56" s="75" t="s">
        <v>88</v>
      </c>
      <c r="B56" s="76"/>
      <c r="C56" s="68">
        <f>(INT-10)+(istext(D56)*10)+(istext(E56)*10)+(istext(F56)*10)+(istext(G56)*10)</f>
        <v>30</v>
      </c>
      <c r="D56" s="70"/>
      <c r="E56" s="70"/>
      <c r="F56" s="70"/>
      <c r="G56" s="71"/>
      <c r="H56" s="73"/>
      <c r="I56" s="74"/>
      <c r="J56" s="68"/>
      <c r="K56" s="70"/>
      <c r="L56" s="70"/>
      <c r="M56" s="70"/>
      <c r="N56" s="71"/>
      <c r="O56" s="61"/>
      <c r="P56" s="62"/>
      <c r="Q56" s="62"/>
      <c r="R56" s="62"/>
      <c r="S56" s="62"/>
      <c r="T56" s="62"/>
    </row>
    <row r="57">
      <c r="A57" s="1"/>
      <c r="B57" s="1"/>
      <c r="C57" s="1"/>
      <c r="D57" s="78"/>
      <c r="E57" s="78"/>
      <c r="F57" s="78"/>
      <c r="G57" s="78"/>
      <c r="H57" s="17"/>
      <c r="I57" s="17"/>
      <c r="J57" s="1"/>
      <c r="K57" s="78"/>
      <c r="L57" s="78"/>
      <c r="M57" s="78"/>
      <c r="N57" s="78"/>
      <c r="O57" s="16"/>
      <c r="P57" s="16"/>
      <c r="Q57" s="16"/>
      <c r="R57" s="16"/>
      <c r="S57" s="16"/>
      <c r="T57" s="16"/>
    </row>
    <row r="58">
      <c r="A58" s="1"/>
      <c r="B58" s="1"/>
      <c r="C58" s="1"/>
      <c r="D58" s="1"/>
      <c r="E58" s="1"/>
      <c r="F58" s="1"/>
      <c r="G58" s="1"/>
      <c r="H58" s="20"/>
      <c r="I58" s="2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20"/>
      <c r="I59" s="2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79" t="s">
        <v>89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4"/>
      <c r="M60" s="1"/>
      <c r="N60" s="1"/>
      <c r="O60" s="1"/>
      <c r="P60" s="1"/>
      <c r="Q60" s="1"/>
      <c r="R60" s="1"/>
      <c r="S60" s="1"/>
      <c r="T60" s="1"/>
    </row>
    <row r="61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9"/>
      <c r="M61" s="1"/>
      <c r="N61" s="80" t="s">
        <v>90</v>
      </c>
      <c r="O61" s="3"/>
      <c r="P61" s="3"/>
      <c r="Q61" s="3"/>
      <c r="R61" s="3"/>
      <c r="S61" s="4"/>
      <c r="T61" s="1"/>
    </row>
    <row r="62">
      <c r="A62" s="81" t="s">
        <v>91</v>
      </c>
      <c r="B62" s="82" t="s">
        <v>92</v>
      </c>
      <c r="C62" s="14"/>
      <c r="D62" s="14"/>
      <c r="E62" s="14"/>
      <c r="F62" s="14"/>
      <c r="G62" s="14"/>
      <c r="H62" s="14"/>
      <c r="I62" s="14"/>
      <c r="J62" s="14"/>
      <c r="K62" s="14"/>
      <c r="L62" s="83"/>
      <c r="M62" s="84"/>
      <c r="N62" s="7"/>
      <c r="O62" s="8"/>
      <c r="P62" s="8"/>
      <c r="Q62" s="8"/>
      <c r="R62" s="8"/>
      <c r="S62" s="9"/>
      <c r="T62" s="1"/>
    </row>
    <row r="63">
      <c r="A63" s="81" t="s">
        <v>93</v>
      </c>
      <c r="B63" s="85" t="s">
        <v>94</v>
      </c>
      <c r="C63" s="74"/>
      <c r="D63" s="86" t="s">
        <v>95</v>
      </c>
      <c r="E63" s="85" t="s">
        <v>96</v>
      </c>
      <c r="F63" s="74"/>
      <c r="G63" s="86" t="s">
        <v>97</v>
      </c>
      <c r="H63" s="85" t="s">
        <v>98</v>
      </c>
      <c r="I63" s="74"/>
      <c r="J63" s="86" t="s">
        <v>99</v>
      </c>
      <c r="K63" s="85">
        <v>3.0</v>
      </c>
      <c r="L63" s="87"/>
      <c r="M63" s="84"/>
      <c r="N63" s="1"/>
      <c r="O63" s="1"/>
      <c r="P63" s="88"/>
      <c r="Q63" s="88"/>
      <c r="R63" s="1"/>
      <c r="S63" s="1"/>
      <c r="T63" s="1"/>
    </row>
    <row r="64">
      <c r="A64" s="81" t="s">
        <v>100</v>
      </c>
      <c r="B64" s="89">
        <v>40.0</v>
      </c>
      <c r="C64" s="76"/>
      <c r="D64" s="18" t="s">
        <v>101</v>
      </c>
      <c r="E64" s="89" t="s">
        <v>102</v>
      </c>
      <c r="F64" s="76"/>
      <c r="G64" s="18" t="s">
        <v>103</v>
      </c>
      <c r="H64" s="89">
        <v>30.0</v>
      </c>
      <c r="I64" s="76"/>
      <c r="J64" s="18" t="s">
        <v>104</v>
      </c>
      <c r="K64" s="89" t="s">
        <v>105</v>
      </c>
      <c r="L64" s="90"/>
      <c r="M64" s="84"/>
      <c r="N64" s="1"/>
      <c r="O64" s="91"/>
      <c r="P64" s="92" t="s">
        <v>106</v>
      </c>
      <c r="Q64" s="93"/>
      <c r="R64" s="84"/>
      <c r="S64" s="1"/>
      <c r="T64" s="1"/>
    </row>
    <row r="65">
      <c r="A65" s="94" t="s">
        <v>107</v>
      </c>
      <c r="B65" s="12"/>
      <c r="C65" s="95"/>
      <c r="D65" s="14"/>
      <c r="E65" s="14"/>
      <c r="F65" s="14"/>
      <c r="G65" s="14"/>
      <c r="H65" s="14"/>
      <c r="I65" s="14"/>
      <c r="J65" s="14"/>
      <c r="K65" s="14"/>
      <c r="L65" s="83"/>
      <c r="M65" s="84"/>
      <c r="N65" s="1"/>
      <c r="O65" s="91"/>
      <c r="P65" s="96" t="s">
        <v>108</v>
      </c>
      <c r="Q65" s="97"/>
      <c r="R65" s="84"/>
      <c r="S65" s="1"/>
      <c r="T65" s="1"/>
    </row>
    <row r="66">
      <c r="A66" s="98" t="s">
        <v>109</v>
      </c>
      <c r="B66" s="24"/>
      <c r="C66" s="99" t="s">
        <v>110</v>
      </c>
      <c r="D66" s="26"/>
      <c r="E66" s="26"/>
      <c r="F66" s="26"/>
      <c r="G66" s="26"/>
      <c r="H66" s="26"/>
      <c r="I66" s="26"/>
      <c r="J66" s="26"/>
      <c r="K66" s="26"/>
      <c r="L66" s="100"/>
      <c r="M66" s="84"/>
      <c r="N66" s="88"/>
      <c r="O66" s="101"/>
      <c r="P66" s="102" t="s">
        <v>97</v>
      </c>
      <c r="Q66" s="97"/>
      <c r="R66" s="103"/>
      <c r="S66" s="88"/>
      <c r="T66" s="1"/>
    </row>
    <row r="67">
      <c r="A67" s="104"/>
      <c r="B67" s="32"/>
      <c r="C67" s="33"/>
      <c r="D67" s="34"/>
      <c r="E67" s="34"/>
      <c r="F67" s="34"/>
      <c r="G67" s="34"/>
      <c r="H67" s="34"/>
      <c r="I67" s="34"/>
      <c r="J67" s="34"/>
      <c r="K67" s="34"/>
      <c r="L67" s="105"/>
      <c r="M67" s="106"/>
      <c r="N67" s="92" t="s">
        <v>111</v>
      </c>
      <c r="O67" s="93"/>
      <c r="P67" s="107"/>
      <c r="Q67" s="108"/>
      <c r="R67" s="92" t="s">
        <v>112</v>
      </c>
      <c r="S67" s="93"/>
      <c r="T67" s="84"/>
    </row>
    <row r="68">
      <c r="A68" s="1"/>
      <c r="B68" s="1"/>
      <c r="C68" s="16"/>
      <c r="D68" s="16"/>
      <c r="E68" s="16"/>
      <c r="F68" s="16"/>
      <c r="G68" s="16"/>
      <c r="H68" s="17"/>
      <c r="I68" s="17"/>
      <c r="J68" s="16"/>
      <c r="K68" s="16"/>
      <c r="L68" s="16"/>
      <c r="M68" s="91"/>
      <c r="N68" s="96" t="s">
        <v>113</v>
      </c>
      <c r="O68" s="97"/>
      <c r="P68" s="104"/>
      <c r="Q68" s="109"/>
      <c r="R68" s="96" t="s">
        <v>114</v>
      </c>
      <c r="S68" s="97"/>
      <c r="T68" s="84"/>
    </row>
    <row r="69">
      <c r="A69" s="79" t="s">
        <v>89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4"/>
      <c r="M69" s="91"/>
      <c r="N69" s="102" t="s">
        <v>97</v>
      </c>
      <c r="O69" s="97"/>
      <c r="P69" s="110" t="s">
        <v>115</v>
      </c>
      <c r="Q69" s="111">
        <v>6.0</v>
      </c>
      <c r="R69" s="102" t="s">
        <v>97</v>
      </c>
      <c r="S69" s="97"/>
      <c r="T69" s="84"/>
    </row>
    <row r="70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1"/>
      <c r="N70" s="107"/>
      <c r="O70" s="108"/>
      <c r="P70" s="112"/>
      <c r="Q70" s="113"/>
      <c r="R70" s="107"/>
      <c r="S70" s="108"/>
      <c r="T70" s="84"/>
    </row>
    <row r="71">
      <c r="A71" s="81" t="s">
        <v>91</v>
      </c>
      <c r="B71" s="82" t="s">
        <v>116</v>
      </c>
      <c r="C71" s="14"/>
      <c r="D71" s="14"/>
      <c r="E71" s="14"/>
      <c r="F71" s="14"/>
      <c r="G71" s="14"/>
      <c r="H71" s="14"/>
      <c r="I71" s="14"/>
      <c r="J71" s="14"/>
      <c r="K71" s="14"/>
      <c r="L71" s="83"/>
      <c r="M71" s="106"/>
      <c r="N71" s="104"/>
      <c r="O71" s="109"/>
      <c r="P71" s="103"/>
      <c r="Q71" s="101"/>
      <c r="R71" s="104"/>
      <c r="S71" s="109"/>
      <c r="T71" s="84"/>
    </row>
    <row r="72">
      <c r="A72" s="81" t="s">
        <v>93</v>
      </c>
      <c r="B72" s="85" t="s">
        <v>117</v>
      </c>
      <c r="C72" s="74"/>
      <c r="D72" s="86" t="s">
        <v>95</v>
      </c>
      <c r="E72" s="85" t="s">
        <v>118</v>
      </c>
      <c r="F72" s="74"/>
      <c r="G72" s="86" t="s">
        <v>97</v>
      </c>
      <c r="H72" s="85" t="s">
        <v>37</v>
      </c>
      <c r="I72" s="74"/>
      <c r="J72" s="86" t="s">
        <v>99</v>
      </c>
      <c r="K72" s="85">
        <v>4.0</v>
      </c>
      <c r="L72" s="87"/>
      <c r="M72" s="106"/>
      <c r="N72" s="110" t="s">
        <v>115</v>
      </c>
      <c r="O72" s="111">
        <v>7.0</v>
      </c>
      <c r="P72" s="92" t="s">
        <v>119</v>
      </c>
      <c r="Q72" s="93"/>
      <c r="R72" s="110" t="s">
        <v>115</v>
      </c>
      <c r="S72" s="111">
        <v>7.0</v>
      </c>
      <c r="T72" s="84"/>
    </row>
    <row r="73">
      <c r="A73" s="81" t="s">
        <v>100</v>
      </c>
      <c r="B73" s="89">
        <v>30.0</v>
      </c>
      <c r="C73" s="76"/>
      <c r="D73" s="18" t="s">
        <v>101</v>
      </c>
      <c r="E73" s="89" t="s">
        <v>120</v>
      </c>
      <c r="F73" s="76"/>
      <c r="G73" s="18" t="s">
        <v>103</v>
      </c>
      <c r="H73" s="89">
        <v>8.0</v>
      </c>
      <c r="I73" s="76"/>
      <c r="J73" s="18" t="s">
        <v>104</v>
      </c>
      <c r="K73" s="89" t="s">
        <v>121</v>
      </c>
      <c r="L73" s="90"/>
      <c r="M73" s="84"/>
      <c r="N73" s="114"/>
      <c r="O73" s="113"/>
      <c r="P73" s="96" t="s">
        <v>122</v>
      </c>
      <c r="Q73" s="97"/>
      <c r="R73" s="112"/>
      <c r="S73" s="114"/>
      <c r="T73" s="1"/>
    </row>
    <row r="74">
      <c r="A74" s="94" t="s">
        <v>107</v>
      </c>
      <c r="B74" s="12"/>
      <c r="C74" s="95"/>
      <c r="D74" s="14"/>
      <c r="E74" s="14"/>
      <c r="F74" s="14"/>
      <c r="G74" s="14"/>
      <c r="H74" s="14"/>
      <c r="I74" s="14"/>
      <c r="J74" s="14"/>
      <c r="K74" s="14"/>
      <c r="L74" s="83"/>
      <c r="M74" s="84"/>
      <c r="N74" s="1"/>
      <c r="O74" s="91"/>
      <c r="P74" s="102" t="s">
        <v>97</v>
      </c>
      <c r="Q74" s="97"/>
      <c r="R74" s="84"/>
      <c r="S74" s="1"/>
      <c r="T74" s="1"/>
    </row>
    <row r="75">
      <c r="A75" s="98" t="s">
        <v>109</v>
      </c>
      <c r="B75" s="24"/>
      <c r="C75" s="99" t="s">
        <v>123</v>
      </c>
      <c r="D75" s="26"/>
      <c r="E75" s="26"/>
      <c r="F75" s="26"/>
      <c r="G75" s="26"/>
      <c r="H75" s="26"/>
      <c r="I75" s="26"/>
      <c r="J75" s="26"/>
      <c r="K75" s="26"/>
      <c r="L75" s="100"/>
      <c r="M75" s="84"/>
      <c r="N75" s="88"/>
      <c r="O75" s="101"/>
      <c r="P75" s="107"/>
      <c r="Q75" s="108"/>
      <c r="R75" s="103"/>
      <c r="S75" s="88"/>
      <c r="T75" s="1"/>
    </row>
    <row r="76">
      <c r="A76" s="104"/>
      <c r="B76" s="32"/>
      <c r="C76" s="33"/>
      <c r="D76" s="34"/>
      <c r="E76" s="34"/>
      <c r="F76" s="34"/>
      <c r="G76" s="34"/>
      <c r="H76" s="34"/>
      <c r="I76" s="34"/>
      <c r="J76" s="34"/>
      <c r="K76" s="34"/>
      <c r="L76" s="105"/>
      <c r="M76" s="106"/>
      <c r="N76" s="92" t="s">
        <v>124</v>
      </c>
      <c r="O76" s="93"/>
      <c r="P76" s="104"/>
      <c r="Q76" s="109"/>
      <c r="R76" s="92" t="s">
        <v>125</v>
      </c>
      <c r="S76" s="93"/>
      <c r="T76" s="84"/>
    </row>
    <row r="77">
      <c r="A77" s="1"/>
      <c r="B77" s="1"/>
      <c r="C77" s="16"/>
      <c r="D77" s="16"/>
      <c r="E77" s="16"/>
      <c r="F77" s="16"/>
      <c r="G77" s="16"/>
      <c r="H77" s="17"/>
      <c r="I77" s="17"/>
      <c r="J77" s="16"/>
      <c r="K77" s="16"/>
      <c r="L77" s="16"/>
      <c r="M77" s="91"/>
      <c r="N77" s="96" t="s">
        <v>126</v>
      </c>
      <c r="O77" s="97"/>
      <c r="P77" s="110" t="s">
        <v>115</v>
      </c>
      <c r="Q77" s="111">
        <v>7.0</v>
      </c>
      <c r="R77" s="96" t="s">
        <v>127</v>
      </c>
      <c r="S77" s="97"/>
      <c r="T77" s="84"/>
    </row>
    <row r="78">
      <c r="A78" s="79" t="s">
        <v>89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4"/>
      <c r="M78" s="91"/>
      <c r="N78" s="102" t="s">
        <v>97</v>
      </c>
      <c r="O78" s="97"/>
      <c r="P78" s="112"/>
      <c r="Q78" s="113"/>
      <c r="R78" s="102" t="s">
        <v>97</v>
      </c>
      <c r="S78" s="97"/>
      <c r="T78" s="84"/>
    </row>
    <row r="79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9"/>
      <c r="M79" s="91"/>
      <c r="N79" s="107"/>
      <c r="O79" s="108"/>
      <c r="P79" s="84"/>
      <c r="Q79" s="91"/>
      <c r="R79" s="107"/>
      <c r="S79" s="108"/>
      <c r="T79" s="84"/>
    </row>
    <row r="80">
      <c r="A80" s="81" t="s">
        <v>91</v>
      </c>
      <c r="B80" s="82" t="s">
        <v>128</v>
      </c>
      <c r="C80" s="14"/>
      <c r="D80" s="14"/>
      <c r="E80" s="14"/>
      <c r="F80" s="14"/>
      <c r="G80" s="14"/>
      <c r="H80" s="14"/>
      <c r="I80" s="14"/>
      <c r="J80" s="14"/>
      <c r="K80" s="14"/>
      <c r="L80" s="83"/>
      <c r="M80" s="106"/>
      <c r="N80" s="104"/>
      <c r="O80" s="109"/>
      <c r="P80" s="84"/>
      <c r="Q80" s="91"/>
      <c r="R80" s="104"/>
      <c r="S80" s="109"/>
      <c r="T80" s="84"/>
    </row>
    <row r="81">
      <c r="A81" s="81" t="s">
        <v>93</v>
      </c>
      <c r="B81" s="85" t="s">
        <v>129</v>
      </c>
      <c r="C81" s="74"/>
      <c r="D81" s="86" t="s">
        <v>95</v>
      </c>
      <c r="E81" s="85" t="s">
        <v>130</v>
      </c>
      <c r="F81" s="74"/>
      <c r="G81" s="86" t="s">
        <v>97</v>
      </c>
      <c r="H81" s="85" t="s">
        <v>131</v>
      </c>
      <c r="I81" s="74"/>
      <c r="J81" s="86" t="s">
        <v>99</v>
      </c>
      <c r="K81" s="85">
        <v>2.0</v>
      </c>
      <c r="L81" s="87"/>
      <c r="M81" s="106"/>
      <c r="N81" s="110" t="s">
        <v>115</v>
      </c>
      <c r="O81" s="111">
        <v>7.0</v>
      </c>
      <c r="P81" s="84"/>
      <c r="Q81" s="91"/>
      <c r="R81" s="110" t="s">
        <v>115</v>
      </c>
      <c r="S81" s="111">
        <v>7.0</v>
      </c>
      <c r="T81" s="84"/>
    </row>
    <row r="82">
      <c r="A82" s="81" t="s">
        <v>100</v>
      </c>
      <c r="B82" s="115"/>
      <c r="C82" s="76"/>
      <c r="D82" s="18" t="s">
        <v>101</v>
      </c>
      <c r="E82" s="115"/>
      <c r="F82" s="76"/>
      <c r="G82" s="18" t="s">
        <v>103</v>
      </c>
      <c r="H82" s="115"/>
      <c r="I82" s="76"/>
      <c r="J82" s="18" t="s">
        <v>104</v>
      </c>
      <c r="K82" s="115"/>
      <c r="L82" s="90"/>
      <c r="M82" s="84"/>
      <c r="N82" s="114"/>
      <c r="O82" s="114"/>
      <c r="P82" s="21"/>
      <c r="Q82" s="21"/>
      <c r="R82" s="116"/>
      <c r="S82" s="116"/>
      <c r="T82" s="1"/>
    </row>
    <row r="83">
      <c r="A83" s="94" t="s">
        <v>107</v>
      </c>
      <c r="B83" s="12"/>
      <c r="C83" s="95"/>
      <c r="D83" s="14"/>
      <c r="E83" s="14"/>
      <c r="F83" s="14"/>
      <c r="G83" s="14"/>
      <c r="H83" s="14"/>
      <c r="I83" s="14"/>
      <c r="J83" s="14"/>
      <c r="K83" s="14"/>
      <c r="L83" s="83"/>
      <c r="M83" s="84"/>
      <c r="N83" s="117" t="s">
        <v>132</v>
      </c>
      <c r="O83" s="24"/>
      <c r="P83" s="118"/>
      <c r="Q83" s="26"/>
      <c r="R83" s="26"/>
      <c r="S83" s="27"/>
      <c r="T83" s="119"/>
    </row>
    <row r="84">
      <c r="A84" s="98" t="s">
        <v>109</v>
      </c>
      <c r="B84" s="24"/>
      <c r="C84" s="120" t="s">
        <v>133</v>
      </c>
      <c r="D84" s="26"/>
      <c r="E84" s="26"/>
      <c r="F84" s="26"/>
      <c r="G84" s="26"/>
      <c r="H84" s="26"/>
      <c r="I84" s="26"/>
      <c r="J84" s="26"/>
      <c r="K84" s="26"/>
      <c r="L84" s="100"/>
      <c r="M84" s="84"/>
      <c r="N84" s="5"/>
      <c r="O84" s="30"/>
      <c r="P84" s="31"/>
      <c r="S84" s="30"/>
      <c r="T84" s="119"/>
    </row>
    <row r="85">
      <c r="A85" s="104"/>
      <c r="B85" s="32"/>
      <c r="C85" s="33"/>
      <c r="D85" s="34"/>
      <c r="E85" s="34"/>
      <c r="F85" s="34"/>
      <c r="G85" s="34"/>
      <c r="H85" s="34"/>
      <c r="I85" s="34"/>
      <c r="J85" s="34"/>
      <c r="K85" s="34"/>
      <c r="L85" s="105"/>
      <c r="M85" s="84"/>
      <c r="N85" s="7"/>
      <c r="O85" s="32"/>
      <c r="P85" s="33"/>
      <c r="Q85" s="34"/>
      <c r="R85" s="34"/>
      <c r="S85" s="35"/>
      <c r="T85" s="119"/>
    </row>
    <row r="86">
      <c r="A86" s="1"/>
      <c r="B86" s="1"/>
      <c r="C86" s="16"/>
      <c r="D86" s="16"/>
      <c r="E86" s="16"/>
      <c r="F86" s="16"/>
      <c r="G86" s="16"/>
      <c r="H86" s="17"/>
      <c r="I86" s="17"/>
      <c r="J86" s="16"/>
      <c r="K86" s="16"/>
      <c r="L86" s="16"/>
      <c r="M86" s="1"/>
      <c r="N86" s="117" t="s">
        <v>134</v>
      </c>
      <c r="O86" s="24"/>
      <c r="P86" s="121" t="s">
        <v>135</v>
      </c>
      <c r="Q86" s="26"/>
      <c r="R86" s="26"/>
      <c r="S86" s="27"/>
      <c r="T86" s="122"/>
    </row>
    <row r="87">
      <c r="A87" s="79" t="s">
        <v>89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4"/>
      <c r="M87" s="1"/>
      <c r="N87" s="5"/>
      <c r="O87" s="30"/>
      <c r="P87" s="31"/>
      <c r="S87" s="30"/>
      <c r="T87" s="122"/>
    </row>
    <row r="8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9"/>
      <c r="M88" s="1"/>
      <c r="N88" s="7"/>
      <c r="O88" s="32"/>
      <c r="P88" s="33"/>
      <c r="Q88" s="34"/>
      <c r="R88" s="34"/>
      <c r="S88" s="35"/>
      <c r="T88" s="122"/>
    </row>
    <row r="89">
      <c r="A89" s="81" t="s">
        <v>91</v>
      </c>
      <c r="B89" s="82" t="s">
        <v>136</v>
      </c>
      <c r="C89" s="14"/>
      <c r="D89" s="14"/>
      <c r="E89" s="14"/>
      <c r="F89" s="14"/>
      <c r="G89" s="14"/>
      <c r="H89" s="14"/>
      <c r="I89" s="14"/>
      <c r="J89" s="14"/>
      <c r="K89" s="14"/>
      <c r="L89" s="83"/>
      <c r="M89" s="84"/>
      <c r="N89" s="1"/>
      <c r="O89" s="1"/>
      <c r="P89" s="16"/>
      <c r="Q89" s="16"/>
      <c r="R89" s="16"/>
      <c r="S89" s="16"/>
      <c r="T89" s="1"/>
    </row>
    <row r="90">
      <c r="A90" s="81" t="s">
        <v>93</v>
      </c>
      <c r="B90" s="123"/>
      <c r="C90" s="74"/>
      <c r="D90" s="86" t="s">
        <v>95</v>
      </c>
      <c r="E90" s="123"/>
      <c r="F90" s="74"/>
      <c r="G90" s="86" t="s">
        <v>97</v>
      </c>
      <c r="H90" s="123"/>
      <c r="I90" s="74"/>
      <c r="J90" s="86" t="s">
        <v>99</v>
      </c>
      <c r="K90" s="123"/>
      <c r="L90" s="87"/>
      <c r="M90" s="84"/>
      <c r="N90" s="80" t="s">
        <v>137</v>
      </c>
      <c r="O90" s="3"/>
      <c r="P90" s="3"/>
      <c r="Q90" s="3"/>
      <c r="R90" s="3"/>
      <c r="S90" s="4"/>
      <c r="T90" s="1"/>
    </row>
    <row r="91">
      <c r="A91" s="81" t="s">
        <v>100</v>
      </c>
      <c r="B91" s="115"/>
      <c r="C91" s="76"/>
      <c r="D91" s="18" t="s">
        <v>101</v>
      </c>
      <c r="E91" s="115"/>
      <c r="F91" s="76"/>
      <c r="G91" s="18" t="s">
        <v>103</v>
      </c>
      <c r="H91" s="115"/>
      <c r="I91" s="76"/>
      <c r="J91" s="18" t="s">
        <v>104</v>
      </c>
      <c r="K91" s="115"/>
      <c r="L91" s="90"/>
      <c r="M91" s="84"/>
      <c r="N91" s="7"/>
      <c r="O91" s="8"/>
      <c r="P91" s="8"/>
      <c r="Q91" s="8"/>
      <c r="R91" s="8"/>
      <c r="S91" s="9"/>
      <c r="T91" s="1"/>
    </row>
    <row r="92">
      <c r="A92" s="94" t="s">
        <v>107</v>
      </c>
      <c r="B92" s="12"/>
      <c r="C92" s="95"/>
      <c r="D92" s="14"/>
      <c r="E92" s="14"/>
      <c r="F92" s="14"/>
      <c r="G92" s="14"/>
      <c r="H92" s="14"/>
      <c r="I92" s="14"/>
      <c r="J92" s="14"/>
      <c r="K92" s="14"/>
      <c r="L92" s="83"/>
      <c r="M92" s="84"/>
      <c r="N92" s="124" t="s">
        <v>138</v>
      </c>
      <c r="O92" s="125"/>
      <c r="P92" s="126"/>
      <c r="Q92" s="127"/>
      <c r="R92" s="125"/>
      <c r="S92" s="128"/>
      <c r="T92" s="1"/>
    </row>
    <row r="93">
      <c r="A93" s="98" t="s">
        <v>109</v>
      </c>
      <c r="B93" s="24"/>
      <c r="C93" s="25"/>
      <c r="D93" s="26"/>
      <c r="E93" s="26"/>
      <c r="F93" s="26"/>
      <c r="G93" s="26"/>
      <c r="H93" s="26"/>
      <c r="I93" s="26"/>
      <c r="J93" s="26"/>
      <c r="K93" s="26"/>
      <c r="L93" s="100"/>
      <c r="M93" s="84"/>
      <c r="N93" s="129" t="s">
        <v>139</v>
      </c>
      <c r="O93" s="130"/>
      <c r="P93" s="131"/>
      <c r="Q93" s="132"/>
      <c r="R93" s="130"/>
      <c r="S93" s="133"/>
      <c r="T93" s="1"/>
    </row>
    <row r="94">
      <c r="A94" s="104"/>
      <c r="B94" s="32"/>
      <c r="C94" s="33"/>
      <c r="D94" s="34"/>
      <c r="E94" s="34"/>
      <c r="F94" s="34"/>
      <c r="G94" s="34"/>
      <c r="H94" s="34"/>
      <c r="I94" s="34"/>
      <c r="J94" s="34"/>
      <c r="K94" s="34"/>
      <c r="L94" s="105"/>
      <c r="M94" s="84"/>
      <c r="N94" s="129" t="s">
        <v>140</v>
      </c>
      <c r="O94" s="130"/>
      <c r="P94" s="131"/>
      <c r="Q94" s="134" t="s">
        <v>141</v>
      </c>
      <c r="R94" s="130"/>
      <c r="S94" s="133"/>
      <c r="T94" s="1"/>
    </row>
    <row r="95">
      <c r="A95" s="1"/>
      <c r="B95" s="1"/>
      <c r="C95" s="16"/>
      <c r="D95" s="16"/>
      <c r="E95" s="16"/>
      <c r="F95" s="16"/>
      <c r="G95" s="16"/>
      <c r="H95" s="17"/>
      <c r="I95" s="17"/>
      <c r="J95" s="16"/>
      <c r="K95" s="16"/>
      <c r="L95" s="16"/>
      <c r="M95" s="1"/>
      <c r="N95" s="129" t="s">
        <v>142</v>
      </c>
      <c r="O95" s="130"/>
      <c r="P95" s="131"/>
      <c r="Q95" s="132"/>
      <c r="R95" s="130"/>
      <c r="S95" s="133"/>
      <c r="T95" s="1"/>
    </row>
    <row r="96">
      <c r="A96" s="79" t="s">
        <v>89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4"/>
      <c r="M96" s="1"/>
      <c r="N96" s="129" t="s">
        <v>143</v>
      </c>
      <c r="O96" s="130"/>
      <c r="P96" s="131"/>
      <c r="Q96" s="132"/>
      <c r="R96" s="130"/>
      <c r="S96" s="133"/>
      <c r="T96" s="1"/>
    </row>
    <row r="97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9"/>
      <c r="M97" s="1"/>
      <c r="N97" s="135"/>
      <c r="O97" s="130"/>
      <c r="P97" s="131"/>
      <c r="Q97" s="132"/>
      <c r="R97" s="130"/>
      <c r="S97" s="133"/>
      <c r="T97" s="1"/>
    </row>
    <row r="98">
      <c r="A98" s="81" t="s">
        <v>91</v>
      </c>
      <c r="B98" s="136"/>
      <c r="C98" s="14"/>
      <c r="D98" s="14"/>
      <c r="E98" s="14"/>
      <c r="F98" s="14"/>
      <c r="G98" s="14"/>
      <c r="H98" s="14"/>
      <c r="I98" s="14"/>
      <c r="J98" s="14"/>
      <c r="K98" s="14"/>
      <c r="L98" s="83"/>
      <c r="M98" s="84"/>
      <c r="N98" s="135"/>
      <c r="O98" s="130"/>
      <c r="P98" s="131"/>
      <c r="Q98" s="132"/>
      <c r="R98" s="130"/>
      <c r="S98" s="133"/>
      <c r="T98" s="1"/>
    </row>
    <row r="99">
      <c r="A99" s="81" t="s">
        <v>93</v>
      </c>
      <c r="B99" s="123"/>
      <c r="C99" s="74"/>
      <c r="D99" s="86" t="s">
        <v>95</v>
      </c>
      <c r="E99" s="123"/>
      <c r="F99" s="74"/>
      <c r="G99" s="86" t="s">
        <v>97</v>
      </c>
      <c r="H99" s="123"/>
      <c r="I99" s="74"/>
      <c r="J99" s="86" t="s">
        <v>99</v>
      </c>
      <c r="K99" s="123"/>
      <c r="L99" s="87"/>
      <c r="M99" s="84"/>
      <c r="N99" s="135"/>
      <c r="O99" s="130"/>
      <c r="P99" s="131"/>
      <c r="Q99" s="132"/>
      <c r="R99" s="130"/>
      <c r="S99" s="133"/>
      <c r="T99" s="1"/>
    </row>
    <row r="100">
      <c r="A100" s="81" t="s">
        <v>100</v>
      </c>
      <c r="B100" s="115"/>
      <c r="C100" s="76"/>
      <c r="D100" s="18" t="s">
        <v>101</v>
      </c>
      <c r="E100" s="115"/>
      <c r="F100" s="76"/>
      <c r="G100" s="18" t="s">
        <v>103</v>
      </c>
      <c r="H100" s="115"/>
      <c r="I100" s="76"/>
      <c r="J100" s="18" t="s">
        <v>104</v>
      </c>
      <c r="K100" s="115"/>
      <c r="L100" s="90"/>
      <c r="M100" s="84"/>
      <c r="N100" s="135"/>
      <c r="O100" s="130"/>
      <c r="P100" s="131"/>
      <c r="Q100" s="132"/>
      <c r="R100" s="130"/>
      <c r="S100" s="133"/>
      <c r="T100" s="1"/>
    </row>
    <row r="101">
      <c r="A101" s="94" t="s">
        <v>107</v>
      </c>
      <c r="B101" s="12"/>
      <c r="C101" s="95"/>
      <c r="D101" s="14"/>
      <c r="E101" s="14"/>
      <c r="F101" s="14"/>
      <c r="G101" s="14"/>
      <c r="H101" s="14"/>
      <c r="I101" s="14"/>
      <c r="J101" s="14"/>
      <c r="K101" s="14"/>
      <c r="L101" s="83"/>
      <c r="M101" s="84"/>
      <c r="N101" s="135"/>
      <c r="O101" s="130"/>
      <c r="P101" s="131"/>
      <c r="Q101" s="132"/>
      <c r="R101" s="130"/>
      <c r="S101" s="133"/>
      <c r="T101" s="1"/>
    </row>
    <row r="102">
      <c r="A102" s="98" t="s">
        <v>109</v>
      </c>
      <c r="B102" s="24"/>
      <c r="C102" s="25"/>
      <c r="D102" s="26"/>
      <c r="E102" s="26"/>
      <c r="F102" s="26"/>
      <c r="G102" s="26"/>
      <c r="H102" s="26"/>
      <c r="I102" s="26"/>
      <c r="J102" s="26"/>
      <c r="K102" s="26"/>
      <c r="L102" s="100"/>
      <c r="M102" s="84"/>
      <c r="N102" s="135"/>
      <c r="O102" s="130"/>
      <c r="P102" s="131"/>
      <c r="Q102" s="132"/>
      <c r="R102" s="130"/>
      <c r="S102" s="133"/>
      <c r="T102" s="1"/>
    </row>
    <row r="103">
      <c r="A103" s="104"/>
      <c r="B103" s="32"/>
      <c r="C103" s="33"/>
      <c r="D103" s="34"/>
      <c r="E103" s="34"/>
      <c r="F103" s="34"/>
      <c r="G103" s="34"/>
      <c r="H103" s="34"/>
      <c r="I103" s="34"/>
      <c r="J103" s="34"/>
      <c r="K103" s="34"/>
      <c r="L103" s="105"/>
      <c r="M103" s="84"/>
      <c r="N103" s="135"/>
      <c r="O103" s="130"/>
      <c r="P103" s="131"/>
      <c r="Q103" s="132"/>
      <c r="R103" s="130"/>
      <c r="S103" s="133"/>
      <c r="T103" s="1"/>
    </row>
    <row r="104">
      <c r="A104" s="67"/>
      <c r="B104" s="1"/>
      <c r="C104" s="16"/>
      <c r="D104" s="16"/>
      <c r="E104" s="16"/>
      <c r="F104" s="16"/>
      <c r="G104" s="16"/>
      <c r="H104" s="17"/>
      <c r="I104" s="17"/>
      <c r="J104" s="16"/>
      <c r="K104" s="16"/>
      <c r="L104" s="16"/>
      <c r="M104" s="1"/>
      <c r="N104" s="137"/>
      <c r="O104" s="137"/>
      <c r="P104" s="137"/>
      <c r="Q104" s="137"/>
      <c r="R104" s="137"/>
      <c r="S104" s="137"/>
      <c r="T104" s="1"/>
    </row>
    <row r="105">
      <c r="A105" s="1"/>
      <c r="B105" s="1"/>
      <c r="C105" s="1"/>
      <c r="D105" s="1"/>
      <c r="E105" s="1"/>
      <c r="F105" s="1"/>
      <c r="G105" s="1"/>
      <c r="H105" s="20"/>
      <c r="I105" s="2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79" t="s">
        <v>144</v>
      </c>
      <c r="C106" s="4"/>
      <c r="D106" s="10" t="s">
        <v>145</v>
      </c>
      <c r="E106" s="67"/>
      <c r="F106" s="138">
        <f>AGB</f>
        <v>7</v>
      </c>
      <c r="G106" s="1"/>
      <c r="H106" s="139" t="s">
        <v>146</v>
      </c>
      <c r="I106" s="138">
        <f>F106+F107</f>
        <v>9</v>
      </c>
      <c r="J106" s="139" t="s">
        <v>147</v>
      </c>
      <c r="K106" s="138">
        <f>I106*3</f>
        <v>27</v>
      </c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7"/>
      <c r="C107" s="9"/>
      <c r="D107" s="10" t="s">
        <v>148</v>
      </c>
      <c r="E107" s="12"/>
      <c r="F107" s="140">
        <v>2.0</v>
      </c>
      <c r="G107" s="1"/>
      <c r="H107" s="139" t="s">
        <v>149</v>
      </c>
      <c r="I107" s="138">
        <f>I106*2</f>
        <v>18</v>
      </c>
      <c r="J107" s="139" t="s">
        <v>150</v>
      </c>
      <c r="K107" s="138">
        <f>K106*2</f>
        <v>54</v>
      </c>
      <c r="L107" s="1"/>
      <c r="M107" s="1"/>
      <c r="N107" s="79" t="s">
        <v>151</v>
      </c>
      <c r="O107" s="4"/>
      <c r="P107" s="10" t="s">
        <v>152</v>
      </c>
      <c r="Q107" s="12"/>
      <c r="R107" s="13">
        <v>16.0</v>
      </c>
      <c r="S107" s="15"/>
      <c r="T107" s="1"/>
    </row>
    <row r="108">
      <c r="A108" s="141"/>
      <c r="B108" s="141"/>
      <c r="C108" s="141"/>
      <c r="D108" s="141"/>
      <c r="E108" s="141"/>
      <c r="F108" s="142"/>
      <c r="G108" s="141"/>
      <c r="H108" s="143"/>
      <c r="I108" s="143"/>
      <c r="J108" s="141"/>
      <c r="K108" s="141"/>
      <c r="L108" s="141"/>
      <c r="M108" s="1"/>
      <c r="N108" s="5"/>
      <c r="O108" s="6"/>
      <c r="P108" s="10" t="s">
        <v>153</v>
      </c>
      <c r="Q108" s="12"/>
      <c r="R108" s="144"/>
      <c r="S108" s="74"/>
      <c r="T108" s="1"/>
    </row>
    <row r="109">
      <c r="A109" s="145"/>
      <c r="B109" s="145"/>
      <c r="C109" s="145"/>
      <c r="D109" s="145"/>
      <c r="E109" s="145"/>
      <c r="F109" s="145"/>
      <c r="G109" s="145"/>
      <c r="H109" s="146"/>
      <c r="I109" s="146"/>
      <c r="J109" s="145"/>
      <c r="K109" s="145"/>
      <c r="L109" s="145"/>
      <c r="M109" s="147"/>
      <c r="N109" s="7"/>
      <c r="O109" s="9"/>
      <c r="P109" s="10" t="s">
        <v>154</v>
      </c>
      <c r="Q109" s="12"/>
      <c r="R109" s="144"/>
      <c r="S109" s="74"/>
      <c r="T109" s="1"/>
    </row>
    <row r="110">
      <c r="A110" s="145"/>
      <c r="B110" s="148" t="s">
        <v>155</v>
      </c>
      <c r="C110" s="149"/>
      <c r="D110" s="150"/>
      <c r="E110" s="151" t="s">
        <v>152</v>
      </c>
      <c r="F110" s="152"/>
      <c r="G110" s="153">
        <f>INFB</f>
        <v>2</v>
      </c>
      <c r="H110" s="152"/>
      <c r="I110" s="146"/>
      <c r="J110" s="145"/>
      <c r="K110" s="145"/>
      <c r="L110" s="145"/>
      <c r="M110" s="147"/>
      <c r="N110" s="1"/>
      <c r="O110" s="1"/>
      <c r="P110" s="21"/>
      <c r="Q110" s="21"/>
      <c r="R110" s="154"/>
      <c r="S110" s="154"/>
      <c r="T110" s="1"/>
    </row>
    <row r="111">
      <c r="A111" s="155"/>
      <c r="B111" s="156"/>
      <c r="C111" s="157"/>
      <c r="D111" s="158"/>
      <c r="E111" s="159" t="s">
        <v>153</v>
      </c>
      <c r="F111" s="160"/>
      <c r="G111" s="161"/>
      <c r="H111" s="162"/>
      <c r="I111" s="163"/>
      <c r="J111" s="145"/>
      <c r="K111" s="145"/>
      <c r="L111" s="145"/>
      <c r="M111" s="147"/>
      <c r="N111" s="117" t="s">
        <v>156</v>
      </c>
      <c r="O111" s="24"/>
      <c r="P111" s="118"/>
      <c r="Q111" s="26"/>
      <c r="R111" s="26"/>
      <c r="S111" s="27"/>
      <c r="T111" s="122"/>
    </row>
    <row r="112">
      <c r="A112" s="1"/>
      <c r="B112" s="164"/>
      <c r="C112" s="164"/>
      <c r="D112" s="164"/>
      <c r="E112" s="1"/>
      <c r="F112" s="1"/>
      <c r="G112" s="16"/>
      <c r="H112" s="17"/>
      <c r="I112" s="165"/>
      <c r="J112" s="145"/>
      <c r="K112" s="145"/>
      <c r="L112" s="145"/>
      <c r="M112" s="147"/>
      <c r="N112" s="5"/>
      <c r="O112" s="30"/>
      <c r="P112" s="31"/>
      <c r="S112" s="30"/>
      <c r="T112" s="122"/>
    </row>
    <row r="113">
      <c r="A113" s="1"/>
      <c r="B113" s="166" t="s">
        <v>157</v>
      </c>
      <c r="C113" s="11"/>
      <c r="D113" s="67"/>
      <c r="E113" s="10" t="s">
        <v>152</v>
      </c>
      <c r="F113" s="12"/>
      <c r="G113" s="167">
        <v>5.0</v>
      </c>
      <c r="H113" s="15"/>
      <c r="I113" s="165"/>
      <c r="J113" s="145"/>
      <c r="K113" s="145"/>
      <c r="L113" s="145"/>
      <c r="M113" s="147"/>
      <c r="N113" s="5"/>
      <c r="O113" s="30"/>
      <c r="P113" s="31"/>
      <c r="S113" s="30"/>
      <c r="T113" s="122"/>
    </row>
    <row r="114">
      <c r="A114" s="141"/>
      <c r="B114" s="141"/>
      <c r="C114" s="141"/>
      <c r="D114" s="141"/>
      <c r="E114" s="141"/>
      <c r="F114" s="141"/>
      <c r="G114" s="142"/>
      <c r="H114" s="168"/>
      <c r="I114" s="169"/>
      <c r="J114" s="145"/>
      <c r="K114" s="145"/>
      <c r="L114" s="145"/>
      <c r="M114" s="147"/>
      <c r="N114" s="7"/>
      <c r="O114" s="32"/>
      <c r="P114" s="33"/>
      <c r="Q114" s="34"/>
      <c r="R114" s="34"/>
      <c r="S114" s="35"/>
      <c r="T114" s="122"/>
    </row>
    <row r="115">
      <c r="A115" s="145"/>
      <c r="B115" s="170" t="s">
        <v>158</v>
      </c>
      <c r="C115" s="171"/>
      <c r="D115" s="171"/>
      <c r="E115" s="171"/>
      <c r="F115" s="171"/>
      <c r="G115" s="171"/>
      <c r="H115" s="171"/>
      <c r="I115" s="152"/>
      <c r="J115" s="145"/>
      <c r="K115" s="145"/>
      <c r="L115" s="145"/>
      <c r="M115" s="147"/>
      <c r="N115" s="1"/>
      <c r="O115" s="1"/>
      <c r="P115" s="154"/>
      <c r="Q115" s="154"/>
      <c r="R115" s="154"/>
      <c r="S115" s="154"/>
      <c r="T115" s="1"/>
    </row>
    <row r="116">
      <c r="A116" s="145"/>
      <c r="B116" s="172"/>
      <c r="C116" s="173"/>
      <c r="D116" s="173"/>
      <c r="E116" s="174"/>
      <c r="F116" s="175"/>
      <c r="G116" s="173"/>
      <c r="H116" s="173"/>
      <c r="I116" s="162"/>
      <c r="J116" s="145"/>
      <c r="K116" s="145"/>
      <c r="L116" s="145"/>
      <c r="M116" s="147"/>
      <c r="N116" s="117" t="s">
        <v>159</v>
      </c>
      <c r="O116" s="24"/>
      <c r="P116" s="118"/>
      <c r="Q116" s="26"/>
      <c r="R116" s="26"/>
      <c r="S116" s="27"/>
      <c r="T116" s="122"/>
    </row>
    <row r="117">
      <c r="A117" s="145"/>
      <c r="B117" s="176"/>
      <c r="C117" s="62"/>
      <c r="D117" s="62"/>
      <c r="E117" s="177"/>
      <c r="F117" s="144"/>
      <c r="G117" s="62"/>
      <c r="H117" s="62"/>
      <c r="I117" s="178"/>
      <c r="J117" s="145"/>
      <c r="K117" s="145"/>
      <c r="L117" s="145"/>
      <c r="M117" s="147"/>
      <c r="N117" s="5"/>
      <c r="O117" s="30"/>
      <c r="P117" s="31"/>
      <c r="S117" s="30"/>
      <c r="T117" s="122"/>
    </row>
    <row r="118">
      <c r="A118" s="145"/>
      <c r="B118" s="176"/>
      <c r="C118" s="62"/>
      <c r="D118" s="62"/>
      <c r="E118" s="177"/>
      <c r="F118" s="144"/>
      <c r="G118" s="62"/>
      <c r="H118" s="62"/>
      <c r="I118" s="178"/>
      <c r="J118" s="145"/>
      <c r="K118" s="145"/>
      <c r="L118" s="145"/>
      <c r="M118" s="147"/>
      <c r="N118" s="5"/>
      <c r="O118" s="30"/>
      <c r="P118" s="31"/>
      <c r="S118" s="30"/>
      <c r="T118" s="122"/>
    </row>
    <row r="119">
      <c r="A119" s="145"/>
      <c r="B119" s="176"/>
      <c r="C119" s="62"/>
      <c r="D119" s="62"/>
      <c r="E119" s="177"/>
      <c r="F119" s="144"/>
      <c r="G119" s="62"/>
      <c r="H119" s="62"/>
      <c r="I119" s="178"/>
      <c r="J119" s="145"/>
      <c r="K119" s="145"/>
      <c r="L119" s="145"/>
      <c r="M119" s="147"/>
      <c r="N119" s="7"/>
      <c r="O119" s="32"/>
      <c r="P119" s="33"/>
      <c r="Q119" s="34"/>
      <c r="R119" s="34"/>
      <c r="S119" s="35"/>
      <c r="T119" s="122"/>
    </row>
    <row r="120">
      <c r="A120" s="145"/>
      <c r="B120" s="176"/>
      <c r="C120" s="62"/>
      <c r="D120" s="62"/>
      <c r="E120" s="177"/>
      <c r="F120" s="144"/>
      <c r="G120" s="62"/>
      <c r="H120" s="62"/>
      <c r="I120" s="178"/>
      <c r="J120" s="145"/>
      <c r="K120" s="145"/>
      <c r="L120" s="145"/>
      <c r="M120" s="147"/>
      <c r="N120" s="1"/>
      <c r="O120" s="1"/>
      <c r="P120" s="16"/>
      <c r="Q120" s="16"/>
      <c r="R120" s="16"/>
      <c r="S120" s="16"/>
      <c r="T120" s="1"/>
    </row>
    <row r="121">
      <c r="A121" s="145"/>
      <c r="B121" s="176"/>
      <c r="C121" s="62"/>
      <c r="D121" s="62"/>
      <c r="E121" s="177"/>
      <c r="F121" s="144"/>
      <c r="G121" s="62"/>
      <c r="H121" s="62"/>
      <c r="I121" s="178"/>
      <c r="J121" s="145"/>
      <c r="K121" s="145"/>
      <c r="L121" s="145"/>
      <c r="M121" s="179"/>
      <c r="N121" s="141"/>
      <c r="O121" s="141"/>
      <c r="P121" s="141"/>
      <c r="Q121" s="141"/>
      <c r="R121" s="141"/>
      <c r="S121" s="141"/>
      <c r="T121" s="141"/>
    </row>
    <row r="122">
      <c r="A122" s="145"/>
      <c r="B122" s="176"/>
      <c r="C122" s="62"/>
      <c r="D122" s="62"/>
      <c r="E122" s="177"/>
      <c r="F122" s="144"/>
      <c r="G122" s="62"/>
      <c r="H122" s="62"/>
      <c r="I122" s="178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</row>
    <row r="123">
      <c r="A123" s="145"/>
      <c r="B123" s="180"/>
      <c r="C123" s="180"/>
      <c r="D123" s="180"/>
      <c r="E123" s="180"/>
      <c r="F123" s="180"/>
      <c r="G123" s="180"/>
      <c r="H123" s="181"/>
      <c r="I123" s="181"/>
      <c r="J123" s="145"/>
      <c r="K123" s="145"/>
      <c r="L123" s="182" t="s">
        <v>160</v>
      </c>
      <c r="M123" s="149"/>
      <c r="N123" s="149"/>
      <c r="O123" s="149"/>
      <c r="P123" s="149"/>
      <c r="Q123" s="149"/>
      <c r="R123" s="149"/>
      <c r="S123" s="150"/>
      <c r="T123" s="145"/>
    </row>
    <row r="124">
      <c r="A124" s="145"/>
      <c r="B124" s="183" t="s">
        <v>161</v>
      </c>
      <c r="C124" s="149"/>
      <c r="D124" s="149"/>
      <c r="E124" s="149"/>
      <c r="F124" s="149"/>
      <c r="G124" s="149"/>
      <c r="H124" s="149"/>
      <c r="I124" s="150"/>
      <c r="J124" s="145"/>
      <c r="K124" s="145"/>
      <c r="L124" s="156"/>
      <c r="M124" s="157"/>
      <c r="N124" s="157"/>
      <c r="O124" s="157"/>
      <c r="P124" s="157"/>
      <c r="Q124" s="157"/>
      <c r="R124" s="157"/>
      <c r="S124" s="158"/>
      <c r="T124" s="145"/>
    </row>
    <row r="125">
      <c r="A125" s="145"/>
      <c r="B125" s="156"/>
      <c r="C125" s="157"/>
      <c r="D125" s="157"/>
      <c r="E125" s="157"/>
      <c r="F125" s="157"/>
      <c r="G125" s="157"/>
      <c r="H125" s="157"/>
      <c r="I125" s="158"/>
      <c r="J125" s="145"/>
      <c r="K125" s="151" t="s">
        <v>162</v>
      </c>
      <c r="L125" s="184"/>
      <c r="M125" s="185">
        <v>10050.0</v>
      </c>
      <c r="N125" s="151" t="s">
        <v>163</v>
      </c>
      <c r="O125" s="152"/>
      <c r="P125" s="146">
        <f>sum(P128:P248)</f>
        <v>8500</v>
      </c>
      <c r="Q125" s="151" t="s">
        <v>164</v>
      </c>
      <c r="R125" s="152"/>
      <c r="S125" s="146">
        <f>M125-P125</f>
        <v>1550</v>
      </c>
      <c r="T125" s="145"/>
    </row>
    <row r="126">
      <c r="A126" s="145"/>
      <c r="B126" s="186"/>
      <c r="C126" s="186"/>
      <c r="D126" s="186"/>
      <c r="E126" s="186"/>
      <c r="F126" s="186"/>
      <c r="G126" s="186"/>
      <c r="H126" s="186"/>
      <c r="I126" s="186"/>
      <c r="J126" s="145"/>
      <c r="K126" s="145"/>
      <c r="L126" s="145"/>
      <c r="M126" s="180"/>
      <c r="N126" s="145"/>
      <c r="O126" s="145"/>
      <c r="P126" s="145"/>
      <c r="Q126" s="145"/>
      <c r="R126" s="145"/>
      <c r="S126" s="145"/>
      <c r="T126" s="145"/>
    </row>
    <row r="127">
      <c r="A127" s="145"/>
      <c r="B127" s="145"/>
      <c r="C127" s="145"/>
      <c r="D127" s="151" t="s">
        <v>165</v>
      </c>
      <c r="E127" s="184"/>
      <c r="F127" s="187"/>
      <c r="G127" s="152"/>
      <c r="H127" s="146"/>
      <c r="I127" s="146"/>
      <c r="J127" s="145"/>
      <c r="K127" s="188" t="s">
        <v>160</v>
      </c>
      <c r="L127" s="173"/>
      <c r="M127" s="173"/>
      <c r="N127" s="173"/>
      <c r="O127" s="174"/>
      <c r="P127" s="189" t="s">
        <v>166</v>
      </c>
      <c r="Q127" s="174"/>
      <c r="R127" s="189" t="s">
        <v>167</v>
      </c>
      <c r="S127" s="162"/>
      <c r="T127" s="145"/>
    </row>
    <row r="128">
      <c r="A128" s="145"/>
      <c r="B128" s="190"/>
      <c r="C128" s="171"/>
      <c r="D128" s="171"/>
      <c r="E128" s="171"/>
      <c r="F128" s="171"/>
      <c r="G128" s="171"/>
      <c r="H128" s="171"/>
      <c r="I128" s="152"/>
      <c r="J128" s="145"/>
      <c r="K128" s="191" t="s">
        <v>168</v>
      </c>
      <c r="L128" s="62"/>
      <c r="M128" s="62"/>
      <c r="N128" s="62"/>
      <c r="O128" s="177"/>
      <c r="P128" s="85">
        <v>250.0</v>
      </c>
      <c r="Q128" s="177"/>
      <c r="R128" s="85" t="s">
        <v>169</v>
      </c>
      <c r="S128" s="178"/>
      <c r="T128" s="145"/>
    </row>
    <row r="129">
      <c r="A129" s="145"/>
      <c r="B129" s="172"/>
      <c r="C129" s="173"/>
      <c r="D129" s="173"/>
      <c r="E129" s="173"/>
      <c r="F129" s="173"/>
      <c r="G129" s="173"/>
      <c r="H129" s="173"/>
      <c r="I129" s="162"/>
      <c r="J129" s="145"/>
      <c r="K129" s="191" t="s">
        <v>170</v>
      </c>
      <c r="L129" s="62"/>
      <c r="M129" s="62"/>
      <c r="N129" s="62"/>
      <c r="O129" s="177"/>
      <c r="P129" s="85">
        <v>250.0</v>
      </c>
      <c r="Q129" s="177"/>
      <c r="R129" s="85" t="s">
        <v>169</v>
      </c>
      <c r="S129" s="178"/>
      <c r="T129" s="145"/>
    </row>
    <row r="130">
      <c r="A130" s="145"/>
      <c r="B130" s="176"/>
      <c r="C130" s="62"/>
      <c r="D130" s="62"/>
      <c r="E130" s="62"/>
      <c r="F130" s="62"/>
      <c r="G130" s="62"/>
      <c r="H130" s="62"/>
      <c r="I130" s="178"/>
      <c r="J130" s="145"/>
      <c r="K130" s="191" t="s">
        <v>171</v>
      </c>
      <c r="L130" s="62"/>
      <c r="M130" s="62"/>
      <c r="N130" s="62"/>
      <c r="O130" s="177"/>
      <c r="P130" s="85">
        <v>350.0</v>
      </c>
      <c r="Q130" s="177"/>
      <c r="R130" s="85" t="s">
        <v>169</v>
      </c>
      <c r="S130" s="178"/>
      <c r="T130" s="145"/>
    </row>
    <row r="131">
      <c r="A131" s="145"/>
      <c r="B131" s="176"/>
      <c r="C131" s="62"/>
      <c r="D131" s="62"/>
      <c r="E131" s="62"/>
      <c r="F131" s="62"/>
      <c r="G131" s="62"/>
      <c r="H131" s="62"/>
      <c r="I131" s="178"/>
      <c r="J131" s="145"/>
      <c r="K131" s="191" t="s">
        <v>172</v>
      </c>
      <c r="L131" s="62"/>
      <c r="M131" s="62"/>
      <c r="N131" s="62"/>
      <c r="O131" s="177"/>
      <c r="P131" s="85">
        <v>350.0</v>
      </c>
      <c r="Q131" s="177"/>
      <c r="R131" s="85" t="s">
        <v>169</v>
      </c>
      <c r="S131" s="178"/>
      <c r="T131" s="145"/>
    </row>
    <row r="132">
      <c r="A132" s="145"/>
      <c r="B132" s="176"/>
      <c r="C132" s="62"/>
      <c r="D132" s="62"/>
      <c r="E132" s="62"/>
      <c r="F132" s="62"/>
      <c r="G132" s="62"/>
      <c r="H132" s="62"/>
      <c r="I132" s="178"/>
      <c r="J132" s="145"/>
      <c r="K132" s="191" t="s">
        <v>173</v>
      </c>
      <c r="L132" s="62"/>
      <c r="M132" s="62"/>
      <c r="N132" s="62"/>
      <c r="O132" s="177"/>
      <c r="P132" s="85">
        <v>200.0</v>
      </c>
      <c r="Q132" s="177"/>
      <c r="R132" s="85" t="s">
        <v>169</v>
      </c>
      <c r="S132" s="178"/>
      <c r="T132" s="145"/>
    </row>
    <row r="133">
      <c r="A133" s="145"/>
      <c r="B133" s="176"/>
      <c r="C133" s="62"/>
      <c r="D133" s="62"/>
      <c r="E133" s="62"/>
      <c r="F133" s="62"/>
      <c r="G133" s="62"/>
      <c r="H133" s="62"/>
      <c r="I133" s="178"/>
      <c r="J133" s="145"/>
      <c r="K133" s="191" t="s">
        <v>174</v>
      </c>
      <c r="L133" s="62"/>
      <c r="M133" s="62"/>
      <c r="N133" s="62"/>
      <c r="O133" s="177"/>
      <c r="P133" s="85">
        <v>500.0</v>
      </c>
      <c r="Q133" s="177"/>
      <c r="R133" s="85" t="s">
        <v>169</v>
      </c>
      <c r="S133" s="178"/>
      <c r="T133" s="145"/>
    </row>
    <row r="134">
      <c r="A134" s="145"/>
      <c r="B134" s="176"/>
      <c r="C134" s="62"/>
      <c r="D134" s="62"/>
      <c r="E134" s="62"/>
      <c r="F134" s="62"/>
      <c r="G134" s="62"/>
      <c r="H134" s="62"/>
      <c r="I134" s="178"/>
      <c r="J134" s="145"/>
      <c r="K134" s="191" t="s">
        <v>175</v>
      </c>
      <c r="L134" s="62"/>
      <c r="M134" s="62"/>
      <c r="N134" s="62"/>
      <c r="O134" s="177"/>
      <c r="P134" s="85">
        <v>250.0</v>
      </c>
      <c r="Q134" s="177"/>
      <c r="R134" s="85" t="s">
        <v>176</v>
      </c>
      <c r="S134" s="178"/>
      <c r="T134" s="145"/>
    </row>
    <row r="135">
      <c r="A135" s="145"/>
      <c r="B135" s="176"/>
      <c r="C135" s="62"/>
      <c r="D135" s="62"/>
      <c r="E135" s="62"/>
      <c r="F135" s="62"/>
      <c r="G135" s="62"/>
      <c r="H135" s="62"/>
      <c r="I135" s="178"/>
      <c r="J135" s="145"/>
      <c r="K135" s="191" t="s">
        <v>177</v>
      </c>
      <c r="L135" s="62"/>
      <c r="M135" s="62"/>
      <c r="N135" s="62"/>
      <c r="O135" s="177"/>
      <c r="P135" s="85">
        <v>500.0</v>
      </c>
      <c r="Q135" s="177"/>
      <c r="R135" s="85" t="s">
        <v>169</v>
      </c>
      <c r="S135" s="178"/>
      <c r="T135" s="145"/>
    </row>
    <row r="136">
      <c r="A136" s="145"/>
      <c r="B136" s="176"/>
      <c r="C136" s="62"/>
      <c r="D136" s="62"/>
      <c r="E136" s="62"/>
      <c r="F136" s="62"/>
      <c r="G136" s="62"/>
      <c r="H136" s="62"/>
      <c r="I136" s="178"/>
      <c r="J136" s="145"/>
      <c r="K136" s="191" t="s">
        <v>178</v>
      </c>
      <c r="L136" s="62"/>
      <c r="M136" s="62"/>
      <c r="N136" s="62"/>
      <c r="O136" s="177"/>
      <c r="P136" s="85">
        <v>200.0</v>
      </c>
      <c r="Q136" s="177"/>
      <c r="R136" s="85" t="s">
        <v>169</v>
      </c>
      <c r="S136" s="178"/>
      <c r="T136" s="145"/>
    </row>
    <row r="137">
      <c r="A137" s="145"/>
      <c r="B137" s="176"/>
      <c r="C137" s="62"/>
      <c r="D137" s="62"/>
      <c r="E137" s="62"/>
      <c r="F137" s="62"/>
      <c r="G137" s="62"/>
      <c r="H137" s="62"/>
      <c r="I137" s="178"/>
      <c r="J137" s="145"/>
      <c r="K137" s="191" t="s">
        <v>179</v>
      </c>
      <c r="L137" s="62"/>
      <c r="M137" s="62"/>
      <c r="N137" s="62"/>
      <c r="O137" s="177"/>
      <c r="P137" s="85">
        <v>350.0</v>
      </c>
      <c r="Q137" s="177"/>
      <c r="R137" s="85" t="s">
        <v>169</v>
      </c>
      <c r="S137" s="178"/>
      <c r="T137" s="145"/>
    </row>
    <row r="138">
      <c r="A138" s="145"/>
      <c r="B138" s="176"/>
      <c r="C138" s="62"/>
      <c r="D138" s="62"/>
      <c r="E138" s="62"/>
      <c r="F138" s="62"/>
      <c r="G138" s="62"/>
      <c r="H138" s="62"/>
      <c r="I138" s="178"/>
      <c r="J138" s="145"/>
      <c r="K138" s="191" t="s">
        <v>180</v>
      </c>
      <c r="L138" s="62"/>
      <c r="M138" s="62"/>
      <c r="N138" s="62"/>
      <c r="O138" s="177"/>
      <c r="P138" s="85">
        <v>500.0</v>
      </c>
      <c r="Q138" s="177"/>
      <c r="R138" s="85" t="s">
        <v>181</v>
      </c>
      <c r="S138" s="178"/>
      <c r="T138" s="145"/>
    </row>
    <row r="139">
      <c r="A139" s="145"/>
      <c r="B139" s="176"/>
      <c r="C139" s="62"/>
      <c r="D139" s="62"/>
      <c r="E139" s="62"/>
      <c r="F139" s="62"/>
      <c r="G139" s="62"/>
      <c r="H139" s="62"/>
      <c r="I139" s="178"/>
      <c r="J139" s="145"/>
      <c r="K139" s="191" t="s">
        <v>182</v>
      </c>
      <c r="L139" s="62"/>
      <c r="M139" s="62"/>
      <c r="N139" s="62"/>
      <c r="O139" s="177"/>
      <c r="P139" s="85">
        <v>250.0</v>
      </c>
      <c r="Q139" s="177"/>
      <c r="R139" s="85" t="s">
        <v>176</v>
      </c>
      <c r="S139" s="178"/>
      <c r="T139" s="145"/>
    </row>
    <row r="140">
      <c r="A140" s="145"/>
      <c r="B140" s="176"/>
      <c r="C140" s="62"/>
      <c r="D140" s="62"/>
      <c r="E140" s="62"/>
      <c r="F140" s="62"/>
      <c r="G140" s="62"/>
      <c r="H140" s="62"/>
      <c r="I140" s="178"/>
      <c r="J140" s="145"/>
      <c r="K140" s="191" t="s">
        <v>168</v>
      </c>
      <c r="L140" s="62"/>
      <c r="M140" s="62"/>
      <c r="N140" s="62"/>
      <c r="O140" s="177"/>
      <c r="P140" s="85">
        <v>500.0</v>
      </c>
      <c r="Q140" s="177"/>
      <c r="R140" s="85" t="s">
        <v>169</v>
      </c>
      <c r="S140" s="178"/>
      <c r="T140" s="145"/>
    </row>
    <row r="141">
      <c r="A141" s="145"/>
      <c r="B141" s="176"/>
      <c r="C141" s="62"/>
      <c r="D141" s="62"/>
      <c r="E141" s="62"/>
      <c r="F141" s="62"/>
      <c r="G141" s="62"/>
      <c r="H141" s="62"/>
      <c r="I141" s="178"/>
      <c r="J141" s="145"/>
      <c r="K141" s="191" t="s">
        <v>183</v>
      </c>
      <c r="L141" s="62"/>
      <c r="M141" s="62"/>
      <c r="N141" s="62"/>
      <c r="O141" s="177"/>
      <c r="P141" s="85">
        <v>200.0</v>
      </c>
      <c r="Q141" s="177"/>
      <c r="R141" s="85" t="s">
        <v>176</v>
      </c>
      <c r="S141" s="178"/>
      <c r="T141" s="145"/>
    </row>
    <row r="142">
      <c r="A142" s="145"/>
      <c r="B142" s="176"/>
      <c r="C142" s="62"/>
      <c r="D142" s="62"/>
      <c r="E142" s="62"/>
      <c r="F142" s="62"/>
      <c r="G142" s="62"/>
      <c r="H142" s="62"/>
      <c r="I142" s="178"/>
      <c r="J142" s="145"/>
      <c r="K142" s="191" t="s">
        <v>184</v>
      </c>
      <c r="L142" s="62"/>
      <c r="M142" s="62"/>
      <c r="N142" s="62"/>
      <c r="O142" s="177"/>
      <c r="P142" s="85">
        <v>350.0</v>
      </c>
      <c r="Q142" s="177"/>
      <c r="R142" s="85" t="s">
        <v>169</v>
      </c>
      <c r="S142" s="178"/>
      <c r="T142" s="145"/>
    </row>
    <row r="143">
      <c r="A143" s="145"/>
      <c r="B143" s="176"/>
      <c r="C143" s="62"/>
      <c r="D143" s="62"/>
      <c r="E143" s="62"/>
      <c r="F143" s="62"/>
      <c r="G143" s="62"/>
      <c r="H143" s="62"/>
      <c r="I143" s="178"/>
      <c r="J143" s="145"/>
      <c r="K143" s="191" t="s">
        <v>185</v>
      </c>
      <c r="L143" s="62"/>
      <c r="M143" s="62"/>
      <c r="N143" s="62"/>
      <c r="O143" s="177"/>
      <c r="P143" s="85">
        <v>250.0</v>
      </c>
      <c r="Q143" s="177"/>
      <c r="R143" s="85" t="s">
        <v>176</v>
      </c>
      <c r="S143" s="178"/>
      <c r="T143" s="145"/>
    </row>
    <row r="144">
      <c r="A144" s="145"/>
      <c r="B144" s="176"/>
      <c r="C144" s="62"/>
      <c r="D144" s="62"/>
      <c r="E144" s="62"/>
      <c r="F144" s="62"/>
      <c r="G144" s="62"/>
      <c r="H144" s="62"/>
      <c r="I144" s="178"/>
      <c r="J144" s="145"/>
      <c r="K144" s="191" t="s">
        <v>186</v>
      </c>
      <c r="L144" s="62"/>
      <c r="M144" s="62"/>
      <c r="N144" s="62"/>
      <c r="O144" s="177"/>
      <c r="P144" s="85">
        <v>250.0</v>
      </c>
      <c r="Q144" s="177"/>
      <c r="R144" s="85" t="s">
        <v>169</v>
      </c>
      <c r="S144" s="178"/>
      <c r="T144" s="145"/>
    </row>
    <row r="145">
      <c r="A145" s="145"/>
      <c r="B145" s="176"/>
      <c r="C145" s="62"/>
      <c r="D145" s="62"/>
      <c r="E145" s="62"/>
      <c r="F145" s="62"/>
      <c r="G145" s="62"/>
      <c r="H145" s="62"/>
      <c r="I145" s="178"/>
      <c r="J145" s="145"/>
      <c r="K145" s="191" t="s">
        <v>187</v>
      </c>
      <c r="L145" s="62"/>
      <c r="M145" s="62"/>
      <c r="N145" s="62"/>
      <c r="O145" s="177"/>
      <c r="P145" s="85">
        <v>250.0</v>
      </c>
      <c r="Q145" s="177"/>
      <c r="R145" s="85" t="s">
        <v>176</v>
      </c>
      <c r="S145" s="178"/>
      <c r="T145" s="145"/>
    </row>
    <row r="146">
      <c r="A146" s="145"/>
      <c r="B146" s="176"/>
      <c r="C146" s="62"/>
      <c r="D146" s="62"/>
      <c r="E146" s="62"/>
      <c r="F146" s="62"/>
      <c r="G146" s="62"/>
      <c r="H146" s="62"/>
      <c r="I146" s="178"/>
      <c r="J146" s="145"/>
      <c r="K146" s="191" t="s">
        <v>188</v>
      </c>
      <c r="L146" s="62"/>
      <c r="M146" s="62"/>
      <c r="N146" s="62"/>
      <c r="O146" s="177"/>
      <c r="P146" s="85">
        <v>350.0</v>
      </c>
      <c r="Q146" s="177"/>
      <c r="R146" s="85" t="s">
        <v>176</v>
      </c>
      <c r="S146" s="178"/>
      <c r="T146" s="145"/>
    </row>
    <row r="147">
      <c r="A147" s="145"/>
      <c r="B147" s="176"/>
      <c r="C147" s="62"/>
      <c r="D147" s="62"/>
      <c r="E147" s="62"/>
      <c r="F147" s="62"/>
      <c r="G147" s="62"/>
      <c r="H147" s="62"/>
      <c r="I147" s="178"/>
      <c r="J147" s="145"/>
      <c r="K147" s="191" t="s">
        <v>189</v>
      </c>
      <c r="L147" s="62"/>
      <c r="M147" s="62"/>
      <c r="N147" s="62"/>
      <c r="O147" s="177"/>
      <c r="P147" s="85">
        <v>200.0</v>
      </c>
      <c r="Q147" s="177"/>
      <c r="R147" s="85" t="s">
        <v>176</v>
      </c>
      <c r="S147" s="178"/>
      <c r="T147" s="145"/>
    </row>
    <row r="148">
      <c r="A148" s="145"/>
      <c r="B148" s="176"/>
      <c r="C148" s="62"/>
      <c r="D148" s="62"/>
      <c r="E148" s="62"/>
      <c r="F148" s="62"/>
      <c r="G148" s="62"/>
      <c r="H148" s="62"/>
      <c r="I148" s="178"/>
      <c r="J148" s="145"/>
      <c r="K148" s="191" t="s">
        <v>190</v>
      </c>
      <c r="L148" s="62"/>
      <c r="M148" s="62"/>
      <c r="N148" s="62"/>
      <c r="O148" s="177"/>
      <c r="P148" s="85">
        <v>350.0</v>
      </c>
      <c r="Q148" s="177"/>
      <c r="R148" s="85" t="s">
        <v>176</v>
      </c>
      <c r="S148" s="178"/>
      <c r="T148" s="145"/>
    </row>
    <row r="149">
      <c r="A149" s="145"/>
      <c r="B149" s="176"/>
      <c r="C149" s="62"/>
      <c r="D149" s="62"/>
      <c r="E149" s="62"/>
      <c r="F149" s="62"/>
      <c r="G149" s="62"/>
      <c r="H149" s="62"/>
      <c r="I149" s="178"/>
      <c r="J149" s="145"/>
      <c r="K149" s="191" t="s">
        <v>191</v>
      </c>
      <c r="L149" s="62"/>
      <c r="M149" s="62"/>
      <c r="N149" s="62"/>
      <c r="O149" s="177"/>
      <c r="P149" s="85">
        <v>200.0</v>
      </c>
      <c r="Q149" s="177"/>
      <c r="R149" s="85" t="s">
        <v>169</v>
      </c>
      <c r="S149" s="178"/>
      <c r="T149" s="145"/>
    </row>
    <row r="150">
      <c r="A150" s="145"/>
      <c r="B150" s="176"/>
      <c r="C150" s="62"/>
      <c r="D150" s="62"/>
      <c r="E150" s="62"/>
      <c r="F150" s="62"/>
      <c r="G150" s="62"/>
      <c r="H150" s="62"/>
      <c r="I150" s="178"/>
      <c r="J150" s="145"/>
      <c r="K150" s="191" t="s">
        <v>192</v>
      </c>
      <c r="L150" s="62"/>
      <c r="M150" s="62"/>
      <c r="N150" s="62"/>
      <c r="O150" s="177"/>
      <c r="P150" s="85">
        <v>750.0</v>
      </c>
      <c r="Q150" s="177"/>
      <c r="R150" s="85" t="s">
        <v>169</v>
      </c>
      <c r="S150" s="178"/>
      <c r="T150" s="145"/>
    </row>
    <row r="151">
      <c r="A151" s="145"/>
      <c r="B151" s="176"/>
      <c r="C151" s="62"/>
      <c r="D151" s="62"/>
      <c r="E151" s="62"/>
      <c r="F151" s="62"/>
      <c r="G151" s="62"/>
      <c r="H151" s="62"/>
      <c r="I151" s="178"/>
      <c r="J151" s="145"/>
      <c r="K151" s="191" t="s">
        <v>185</v>
      </c>
      <c r="L151" s="62"/>
      <c r="M151" s="62"/>
      <c r="N151" s="62"/>
      <c r="O151" s="177"/>
      <c r="P151" s="85">
        <v>500.0</v>
      </c>
      <c r="Q151" s="177"/>
      <c r="R151" s="85" t="s">
        <v>176</v>
      </c>
      <c r="S151" s="178"/>
      <c r="T151" s="145"/>
    </row>
    <row r="152">
      <c r="A152" s="145"/>
      <c r="B152" s="176"/>
      <c r="C152" s="62"/>
      <c r="D152" s="62"/>
      <c r="E152" s="62"/>
      <c r="F152" s="62"/>
      <c r="G152" s="62"/>
      <c r="H152" s="62"/>
      <c r="I152" s="178"/>
      <c r="J152" s="145"/>
      <c r="K152" s="191" t="s">
        <v>193</v>
      </c>
      <c r="L152" s="62"/>
      <c r="M152" s="62"/>
      <c r="N152" s="62"/>
      <c r="O152" s="177"/>
      <c r="P152" s="85">
        <v>200.0</v>
      </c>
      <c r="Q152" s="177"/>
      <c r="R152" s="85" t="s">
        <v>176</v>
      </c>
      <c r="S152" s="178"/>
      <c r="T152" s="145"/>
    </row>
    <row r="153">
      <c r="A153" s="145"/>
      <c r="B153" s="176"/>
      <c r="C153" s="62"/>
      <c r="D153" s="62"/>
      <c r="E153" s="62"/>
      <c r="F153" s="62"/>
      <c r="G153" s="62"/>
      <c r="H153" s="62"/>
      <c r="I153" s="178"/>
      <c r="J153" s="145"/>
      <c r="K153" s="191" t="s">
        <v>194</v>
      </c>
      <c r="L153" s="62"/>
      <c r="M153" s="62"/>
      <c r="N153" s="62"/>
      <c r="O153" s="177"/>
      <c r="P153" s="85">
        <v>200.0</v>
      </c>
      <c r="Q153" s="177"/>
      <c r="R153" s="85" t="s">
        <v>169</v>
      </c>
      <c r="S153" s="178"/>
      <c r="T153" s="145"/>
    </row>
    <row r="154">
      <c r="A154" s="145"/>
      <c r="B154" s="176"/>
      <c r="C154" s="62"/>
      <c r="D154" s="62"/>
      <c r="E154" s="62"/>
      <c r="F154" s="62"/>
      <c r="G154" s="62"/>
      <c r="H154" s="62"/>
      <c r="I154" s="178"/>
      <c r="J154" s="145"/>
      <c r="K154" s="176"/>
      <c r="L154" s="62"/>
      <c r="M154" s="62"/>
      <c r="N154" s="62"/>
      <c r="O154" s="177"/>
      <c r="P154" s="123"/>
      <c r="Q154" s="177"/>
      <c r="R154" s="123"/>
      <c r="S154" s="178"/>
      <c r="T154" s="145"/>
    </row>
    <row r="155">
      <c r="A155" s="145"/>
      <c r="B155" s="176"/>
      <c r="C155" s="62"/>
      <c r="D155" s="62"/>
      <c r="E155" s="62"/>
      <c r="F155" s="62"/>
      <c r="G155" s="62"/>
      <c r="H155" s="62"/>
      <c r="I155" s="178"/>
      <c r="J155" s="145"/>
      <c r="K155" s="176"/>
      <c r="L155" s="62"/>
      <c r="M155" s="62"/>
      <c r="N155" s="62"/>
      <c r="O155" s="177"/>
      <c r="P155" s="123"/>
      <c r="Q155" s="177"/>
      <c r="R155" s="123"/>
      <c r="S155" s="178"/>
      <c r="T155" s="145"/>
    </row>
    <row r="156">
      <c r="A156" s="145"/>
      <c r="B156" s="176"/>
      <c r="C156" s="62"/>
      <c r="D156" s="62"/>
      <c r="E156" s="62"/>
      <c r="F156" s="62"/>
      <c r="G156" s="62"/>
      <c r="H156" s="62"/>
      <c r="I156" s="178"/>
      <c r="J156" s="145"/>
      <c r="K156" s="176"/>
      <c r="L156" s="62"/>
      <c r="M156" s="62"/>
      <c r="N156" s="62"/>
      <c r="O156" s="177"/>
      <c r="P156" s="123"/>
      <c r="Q156" s="177"/>
      <c r="R156" s="123"/>
      <c r="S156" s="178"/>
      <c r="T156" s="145"/>
    </row>
    <row r="157">
      <c r="A157" s="145"/>
      <c r="B157" s="176"/>
      <c r="C157" s="62"/>
      <c r="D157" s="62"/>
      <c r="E157" s="62"/>
      <c r="F157" s="62"/>
      <c r="G157" s="62"/>
      <c r="H157" s="62"/>
      <c r="I157" s="178"/>
      <c r="J157" s="145"/>
      <c r="K157" s="176"/>
      <c r="L157" s="62"/>
      <c r="M157" s="62"/>
      <c r="N157" s="62"/>
      <c r="O157" s="177"/>
      <c r="P157" s="123"/>
      <c r="Q157" s="177"/>
      <c r="R157" s="123"/>
      <c r="S157" s="178"/>
      <c r="T157" s="145"/>
    </row>
    <row r="158">
      <c r="A158" s="145"/>
      <c r="B158" s="176"/>
      <c r="C158" s="62"/>
      <c r="D158" s="62"/>
      <c r="E158" s="62"/>
      <c r="F158" s="62"/>
      <c r="G158" s="62"/>
      <c r="H158" s="62"/>
      <c r="I158" s="178"/>
      <c r="J158" s="145"/>
      <c r="K158" s="176"/>
      <c r="L158" s="62"/>
      <c r="M158" s="62"/>
      <c r="N158" s="62"/>
      <c r="O158" s="177"/>
      <c r="P158" s="123"/>
      <c r="Q158" s="177"/>
      <c r="R158" s="123"/>
      <c r="S158" s="178"/>
      <c r="T158" s="145"/>
    </row>
    <row r="159">
      <c r="A159" s="145"/>
      <c r="B159" s="176"/>
      <c r="C159" s="62"/>
      <c r="D159" s="62"/>
      <c r="E159" s="62"/>
      <c r="F159" s="62"/>
      <c r="G159" s="62"/>
      <c r="H159" s="62"/>
      <c r="I159" s="178"/>
      <c r="J159" s="145"/>
      <c r="K159" s="176"/>
      <c r="L159" s="62"/>
      <c r="M159" s="62"/>
      <c r="N159" s="62"/>
      <c r="O159" s="177"/>
      <c r="P159" s="123"/>
      <c r="Q159" s="177"/>
      <c r="R159" s="123"/>
      <c r="S159" s="178"/>
      <c r="T159" s="145"/>
    </row>
    <row r="160">
      <c r="A160" s="145"/>
      <c r="B160" s="176"/>
      <c r="C160" s="62"/>
      <c r="D160" s="62"/>
      <c r="E160" s="62"/>
      <c r="F160" s="62"/>
      <c r="G160" s="62"/>
      <c r="H160" s="62"/>
      <c r="I160" s="178"/>
      <c r="J160" s="145"/>
      <c r="K160" s="176"/>
      <c r="L160" s="62"/>
      <c r="M160" s="62"/>
      <c r="N160" s="62"/>
      <c r="O160" s="177"/>
      <c r="P160" s="123"/>
      <c r="Q160" s="177"/>
      <c r="R160" s="123"/>
      <c r="S160" s="178"/>
      <c r="T160" s="145"/>
    </row>
    <row r="161">
      <c r="A161" s="145"/>
      <c r="B161" s="176"/>
      <c r="C161" s="62"/>
      <c r="D161" s="62"/>
      <c r="E161" s="62"/>
      <c r="F161" s="62"/>
      <c r="G161" s="62"/>
      <c r="H161" s="62"/>
      <c r="I161" s="178"/>
      <c r="J161" s="145"/>
      <c r="K161" s="176"/>
      <c r="L161" s="62"/>
      <c r="M161" s="62"/>
      <c r="N161" s="62"/>
      <c r="O161" s="177"/>
      <c r="P161" s="123"/>
      <c r="Q161" s="177"/>
      <c r="R161" s="123"/>
      <c r="S161" s="178"/>
      <c r="T161" s="145"/>
    </row>
    <row r="162">
      <c r="A162" s="145"/>
      <c r="B162" s="176"/>
      <c r="C162" s="62"/>
      <c r="D162" s="62"/>
      <c r="E162" s="62"/>
      <c r="F162" s="62"/>
      <c r="G162" s="62"/>
      <c r="H162" s="62"/>
      <c r="I162" s="178"/>
      <c r="J162" s="145"/>
      <c r="K162" s="176"/>
      <c r="L162" s="62"/>
      <c r="M162" s="62"/>
      <c r="N162" s="62"/>
      <c r="O162" s="177"/>
      <c r="P162" s="123"/>
      <c r="Q162" s="177"/>
      <c r="R162" s="123"/>
      <c r="S162" s="178"/>
      <c r="T162" s="145"/>
    </row>
    <row r="163">
      <c r="A163" s="145"/>
      <c r="B163" s="176"/>
      <c r="C163" s="62"/>
      <c r="D163" s="62"/>
      <c r="E163" s="62"/>
      <c r="F163" s="62"/>
      <c r="G163" s="62"/>
      <c r="H163" s="62"/>
      <c r="I163" s="178"/>
      <c r="J163" s="145"/>
      <c r="K163" s="176"/>
      <c r="L163" s="62"/>
      <c r="M163" s="62"/>
      <c r="N163" s="62"/>
      <c r="O163" s="177"/>
      <c r="P163" s="123"/>
      <c r="Q163" s="177"/>
      <c r="R163" s="123"/>
      <c r="S163" s="178"/>
      <c r="T163" s="145"/>
    </row>
    <row r="164">
      <c r="A164" s="145"/>
      <c r="B164" s="176"/>
      <c r="C164" s="62"/>
      <c r="D164" s="62"/>
      <c r="E164" s="62"/>
      <c r="F164" s="62"/>
      <c r="G164" s="62"/>
      <c r="H164" s="62"/>
      <c r="I164" s="178"/>
      <c r="J164" s="145"/>
      <c r="K164" s="176"/>
      <c r="L164" s="62"/>
      <c r="M164" s="62"/>
      <c r="N164" s="62"/>
      <c r="O164" s="177"/>
      <c r="P164" s="123"/>
      <c r="Q164" s="177"/>
      <c r="R164" s="123"/>
      <c r="S164" s="178"/>
      <c r="T164" s="145"/>
    </row>
    <row r="165">
      <c r="A165" s="145"/>
      <c r="B165" s="176"/>
      <c r="C165" s="62"/>
      <c r="D165" s="62"/>
      <c r="E165" s="62"/>
      <c r="F165" s="62"/>
      <c r="G165" s="62"/>
      <c r="H165" s="62"/>
      <c r="I165" s="178"/>
      <c r="J165" s="145"/>
      <c r="K165" s="176"/>
      <c r="L165" s="62"/>
      <c r="M165" s="62"/>
      <c r="N165" s="62"/>
      <c r="O165" s="177"/>
      <c r="P165" s="123"/>
      <c r="Q165" s="177"/>
      <c r="R165" s="123"/>
      <c r="S165" s="178"/>
      <c r="T165" s="145"/>
    </row>
    <row r="166">
      <c r="A166" s="145"/>
      <c r="B166" s="176"/>
      <c r="C166" s="62"/>
      <c r="D166" s="62"/>
      <c r="E166" s="62"/>
      <c r="F166" s="62"/>
      <c r="G166" s="62"/>
      <c r="H166" s="62"/>
      <c r="I166" s="178"/>
      <c r="J166" s="145"/>
      <c r="K166" s="176"/>
      <c r="L166" s="62"/>
      <c r="M166" s="62"/>
      <c r="N166" s="62"/>
      <c r="O166" s="177"/>
      <c r="P166" s="123"/>
      <c r="Q166" s="177"/>
      <c r="R166" s="123"/>
      <c r="S166" s="178"/>
      <c r="T166" s="145"/>
    </row>
    <row r="167">
      <c r="A167" s="145"/>
      <c r="B167" s="176"/>
      <c r="C167" s="62"/>
      <c r="D167" s="62"/>
      <c r="E167" s="62"/>
      <c r="F167" s="62"/>
      <c r="G167" s="62"/>
      <c r="H167" s="62"/>
      <c r="I167" s="178"/>
      <c r="J167" s="145"/>
      <c r="K167" s="176"/>
      <c r="L167" s="62"/>
      <c r="M167" s="62"/>
      <c r="N167" s="62"/>
      <c r="O167" s="177"/>
      <c r="P167" s="123"/>
      <c r="Q167" s="177"/>
      <c r="R167" s="123"/>
      <c r="S167" s="178"/>
      <c r="T167" s="145"/>
    </row>
    <row r="168">
      <c r="A168" s="145"/>
      <c r="B168" s="176"/>
      <c r="C168" s="62"/>
      <c r="D168" s="62"/>
      <c r="E168" s="62"/>
      <c r="F168" s="62"/>
      <c r="G168" s="62"/>
      <c r="H168" s="62"/>
      <c r="I168" s="178"/>
      <c r="J168" s="145"/>
      <c r="K168" s="176"/>
      <c r="L168" s="62"/>
      <c r="M168" s="62"/>
      <c r="N168" s="62"/>
      <c r="O168" s="177"/>
      <c r="P168" s="123"/>
      <c r="Q168" s="177"/>
      <c r="R168" s="123"/>
      <c r="S168" s="178"/>
      <c r="T168" s="145"/>
    </row>
    <row r="169">
      <c r="A169" s="145"/>
      <c r="B169" s="176"/>
      <c r="C169" s="62"/>
      <c r="D169" s="62"/>
      <c r="E169" s="62"/>
      <c r="F169" s="62"/>
      <c r="G169" s="62"/>
      <c r="H169" s="62"/>
      <c r="I169" s="178"/>
      <c r="J169" s="145"/>
      <c r="K169" s="176"/>
      <c r="L169" s="62"/>
      <c r="M169" s="62"/>
      <c r="N169" s="62"/>
      <c r="O169" s="177"/>
      <c r="P169" s="123"/>
      <c r="Q169" s="177"/>
      <c r="R169" s="123"/>
      <c r="S169" s="178"/>
      <c r="T169" s="145"/>
    </row>
    <row r="170">
      <c r="A170" s="145"/>
      <c r="B170" s="176"/>
      <c r="C170" s="62"/>
      <c r="D170" s="62"/>
      <c r="E170" s="62"/>
      <c r="F170" s="62"/>
      <c r="G170" s="62"/>
      <c r="H170" s="62"/>
      <c r="I170" s="178"/>
      <c r="J170" s="145"/>
      <c r="K170" s="176"/>
      <c r="L170" s="62"/>
      <c r="M170" s="62"/>
      <c r="N170" s="62"/>
      <c r="O170" s="177"/>
      <c r="P170" s="123"/>
      <c r="Q170" s="177"/>
      <c r="R170" s="123"/>
      <c r="S170" s="178"/>
      <c r="T170" s="145"/>
    </row>
    <row r="171">
      <c r="A171" s="145"/>
      <c r="B171" s="192"/>
      <c r="C171" s="192"/>
      <c r="D171" s="192"/>
      <c r="E171" s="192"/>
      <c r="F171" s="180"/>
      <c r="G171" s="180"/>
      <c r="H171" s="181"/>
      <c r="I171" s="181"/>
      <c r="J171" s="145"/>
      <c r="K171" s="180"/>
      <c r="L171" s="180"/>
      <c r="M171" s="180"/>
      <c r="N171" s="180"/>
      <c r="O171" s="192"/>
      <c r="P171" s="192"/>
      <c r="Q171" s="192"/>
      <c r="R171" s="192"/>
      <c r="S171" s="192"/>
      <c r="T171" s="145"/>
    </row>
    <row r="172">
      <c r="A172" s="193"/>
      <c r="B172" s="1"/>
      <c r="C172" s="1"/>
      <c r="D172" s="1"/>
      <c r="E172" s="1"/>
      <c r="F172" s="194"/>
      <c r="G172" s="145"/>
      <c r="H172" s="146"/>
      <c r="I172" s="146"/>
      <c r="J172" s="145"/>
      <c r="K172" s="145"/>
      <c r="L172" s="145"/>
      <c r="M172" s="145"/>
      <c r="N172" s="193"/>
      <c r="O172" s="1"/>
      <c r="P172" s="1"/>
      <c r="Q172" s="1"/>
      <c r="R172" s="1"/>
      <c r="S172" s="1"/>
      <c r="T172" s="194"/>
    </row>
    <row r="173">
      <c r="A173" s="193"/>
      <c r="B173" s="1"/>
      <c r="C173" s="1"/>
      <c r="D173" s="1"/>
      <c r="E173" s="1"/>
      <c r="F173" s="194"/>
      <c r="G173" s="145"/>
      <c r="H173" s="183" t="s">
        <v>167</v>
      </c>
      <c r="I173" s="149"/>
      <c r="J173" s="149"/>
      <c r="K173" s="149"/>
      <c r="L173" s="149"/>
      <c r="M173" s="150"/>
      <c r="N173" s="193"/>
      <c r="O173" s="1"/>
      <c r="P173" s="1"/>
      <c r="Q173" s="1"/>
      <c r="R173" s="1"/>
      <c r="S173" s="1"/>
      <c r="T173" s="194"/>
    </row>
    <row r="174">
      <c r="A174" s="145"/>
      <c r="B174" s="195"/>
      <c r="C174" s="195"/>
      <c r="D174" s="195"/>
      <c r="E174" s="195"/>
      <c r="F174" s="145"/>
      <c r="G174" s="145"/>
      <c r="H174" s="156"/>
      <c r="I174" s="157"/>
      <c r="J174" s="157"/>
      <c r="K174" s="157"/>
      <c r="L174" s="157"/>
      <c r="M174" s="158"/>
      <c r="N174" s="145"/>
      <c r="O174" s="195"/>
      <c r="P174" s="195"/>
      <c r="Q174" s="195"/>
      <c r="R174" s="195"/>
      <c r="S174" s="195"/>
      <c r="T174" s="145"/>
    </row>
    <row r="175">
      <c r="A175" s="145"/>
      <c r="B175" s="145"/>
      <c r="C175" s="145"/>
      <c r="D175" s="145"/>
      <c r="E175" s="145"/>
      <c r="F175" s="145"/>
      <c r="G175" s="155"/>
      <c r="H175" s="163"/>
      <c r="I175" s="163"/>
      <c r="J175" s="155"/>
      <c r="K175" s="155"/>
      <c r="L175" s="155"/>
      <c r="M175" s="155"/>
      <c r="N175" s="145"/>
      <c r="O175" s="145"/>
      <c r="P175" s="145"/>
      <c r="Q175" s="145"/>
      <c r="R175" s="145"/>
      <c r="S175" s="145"/>
      <c r="T175" s="145"/>
    </row>
    <row r="176">
      <c r="A176" s="145"/>
      <c r="B176" s="145"/>
      <c r="C176" s="145"/>
      <c r="D176" s="145"/>
      <c r="E176" s="145"/>
      <c r="F176" s="193"/>
      <c r="G176" s="10" t="s">
        <v>195</v>
      </c>
      <c r="H176" s="67"/>
      <c r="I176" s="196">
        <f>countif($R$128:$R$170,"Khorne")</f>
        <v>0</v>
      </c>
      <c r="J176" s="29"/>
      <c r="K176" s="197" t="s">
        <v>176</v>
      </c>
      <c r="L176" s="67"/>
      <c r="M176" s="196">
        <f>countif(R128:R170,"Slaanesh")</f>
        <v>10</v>
      </c>
      <c r="N176" s="194"/>
      <c r="O176" s="145"/>
      <c r="P176" s="145"/>
      <c r="Q176" s="145"/>
      <c r="R176" s="145"/>
      <c r="S176" s="145"/>
      <c r="T176" s="145"/>
    </row>
    <row r="177">
      <c r="A177" s="145"/>
      <c r="B177" s="145"/>
      <c r="C177" s="145"/>
      <c r="D177" s="145"/>
      <c r="E177" s="145"/>
      <c r="F177" s="193"/>
      <c r="G177" s="1"/>
      <c r="H177" s="20"/>
      <c r="I177" s="198"/>
      <c r="J177" s="29"/>
      <c r="K177" s="29"/>
      <c r="L177" s="29"/>
      <c r="M177" s="29"/>
      <c r="N177" s="194"/>
      <c r="O177" s="145"/>
      <c r="P177" s="145"/>
      <c r="Q177" s="145"/>
      <c r="R177" s="145"/>
      <c r="S177" s="145"/>
      <c r="T177" s="145"/>
    </row>
    <row r="178">
      <c r="A178" s="145"/>
      <c r="B178" s="145"/>
      <c r="C178" s="145"/>
      <c r="D178" s="145"/>
      <c r="E178" s="145"/>
      <c r="F178" s="193"/>
      <c r="G178" s="1"/>
      <c r="H178" s="20"/>
      <c r="I178" s="197" t="s">
        <v>169</v>
      </c>
      <c r="J178" s="67"/>
      <c r="K178" s="196">
        <f>countif($R$128:$R$170,"Unaligned")</f>
        <v>15</v>
      </c>
      <c r="L178" s="29"/>
      <c r="M178" s="29"/>
      <c r="N178" s="194"/>
      <c r="O178" s="145"/>
      <c r="P178" s="145"/>
      <c r="Q178" s="145"/>
      <c r="R178" s="145"/>
      <c r="S178" s="145"/>
      <c r="T178" s="145"/>
    </row>
    <row r="179">
      <c r="A179" s="145"/>
      <c r="B179" s="145"/>
      <c r="C179" s="145"/>
      <c r="D179" s="145"/>
      <c r="E179" s="145"/>
      <c r="F179" s="193"/>
      <c r="G179" s="1"/>
      <c r="H179" s="20"/>
      <c r="I179" s="198"/>
      <c r="J179" s="29"/>
      <c r="K179" s="29"/>
      <c r="L179" s="29"/>
      <c r="M179" s="29"/>
      <c r="N179" s="194"/>
      <c r="O179" s="145"/>
      <c r="P179" s="145"/>
      <c r="Q179" s="145"/>
      <c r="R179" s="145"/>
      <c r="S179" s="145"/>
      <c r="T179" s="145"/>
    </row>
    <row r="180">
      <c r="A180" s="145"/>
      <c r="B180" s="145"/>
      <c r="C180" s="145"/>
      <c r="D180" s="145"/>
      <c r="E180" s="145"/>
      <c r="F180" s="193"/>
      <c r="G180" s="10" t="s">
        <v>196</v>
      </c>
      <c r="H180" s="67"/>
      <c r="I180" s="196">
        <f>countif($R$128:$R$170,"Nurgle")</f>
        <v>0</v>
      </c>
      <c r="J180" s="29"/>
      <c r="K180" s="197" t="s">
        <v>181</v>
      </c>
      <c r="L180" s="67"/>
      <c r="M180" s="196">
        <f>countif($R$128:$R$170,"Tzeentch")</f>
        <v>1</v>
      </c>
      <c r="N180" s="194"/>
      <c r="O180" s="145"/>
      <c r="P180" s="145"/>
      <c r="Q180" s="145"/>
      <c r="R180" s="145"/>
      <c r="S180" s="145"/>
      <c r="T180" s="145"/>
    </row>
    <row r="181">
      <c r="A181" s="145"/>
      <c r="B181" s="145"/>
      <c r="C181" s="145"/>
      <c r="D181" s="145"/>
      <c r="E181" s="145"/>
      <c r="F181" s="145"/>
      <c r="G181" s="195"/>
      <c r="H181" s="199"/>
      <c r="I181" s="199"/>
      <c r="J181" s="195"/>
      <c r="K181" s="195"/>
      <c r="L181" s="195"/>
      <c r="M181" s="195"/>
      <c r="N181" s="145"/>
      <c r="O181" s="145"/>
      <c r="P181" s="145"/>
      <c r="Q181" s="145"/>
      <c r="R181" s="145"/>
      <c r="S181" s="145"/>
      <c r="T181" s="145"/>
    </row>
    <row r="182">
      <c r="A182" s="145"/>
      <c r="B182" s="145"/>
      <c r="C182" s="145"/>
      <c r="D182" s="145"/>
      <c r="E182" s="145"/>
      <c r="F182" s="145"/>
      <c r="G182" s="145"/>
      <c r="H182" s="146"/>
      <c r="I182" s="200" t="s">
        <v>197</v>
      </c>
      <c r="J182" s="171"/>
      <c r="K182" s="171"/>
      <c r="L182" s="152"/>
      <c r="M182" s="145"/>
      <c r="N182" s="145"/>
      <c r="O182" s="145"/>
      <c r="P182" s="145"/>
      <c r="Q182" s="145"/>
      <c r="R182" s="145"/>
      <c r="S182" s="145"/>
      <c r="T182" s="145"/>
    </row>
    <row r="183">
      <c r="A183" s="145"/>
      <c r="B183" s="145"/>
      <c r="C183" s="145"/>
      <c r="D183" s="145"/>
      <c r="E183" s="145"/>
      <c r="F183" s="145"/>
      <c r="G183" s="145"/>
      <c r="H183" s="146"/>
      <c r="I183" s="201"/>
      <c r="J183" s="173"/>
      <c r="K183" s="173"/>
      <c r="L183" s="162"/>
      <c r="M183" s="145"/>
      <c r="N183" s="145"/>
      <c r="O183" s="145"/>
      <c r="P183" s="145"/>
      <c r="Q183" s="145"/>
      <c r="R183" s="145"/>
      <c r="S183" s="145"/>
      <c r="T183" s="145"/>
    </row>
    <row r="184">
      <c r="A184" s="145"/>
      <c r="B184" s="145"/>
      <c r="C184" s="145"/>
      <c r="D184" s="145"/>
      <c r="E184" s="145"/>
      <c r="F184" s="145"/>
      <c r="G184" s="145"/>
      <c r="H184" s="146"/>
      <c r="I184" s="181"/>
      <c r="J184" s="180"/>
      <c r="K184" s="180"/>
      <c r="L184" s="180"/>
      <c r="M184" s="145"/>
      <c r="N184" s="145"/>
      <c r="O184" s="145"/>
      <c r="P184" s="145"/>
      <c r="Q184" s="145"/>
      <c r="R184" s="145"/>
      <c r="S184" s="145"/>
      <c r="T184" s="145"/>
    </row>
    <row r="185">
      <c r="A185" s="145"/>
      <c r="B185" s="145"/>
      <c r="C185" s="145"/>
      <c r="D185" s="145"/>
      <c r="E185" s="145"/>
      <c r="F185" s="145"/>
      <c r="G185" s="145"/>
      <c r="H185" s="146"/>
      <c r="I185" s="146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</row>
    <row r="186">
      <c r="A186" s="145"/>
      <c r="B186" s="145"/>
      <c r="C186" s="145"/>
      <c r="D186" s="145"/>
      <c r="E186" s="145"/>
      <c r="F186" s="145"/>
      <c r="G186" s="145"/>
      <c r="H186" s="146"/>
      <c r="I186" s="146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</row>
    <row r="187">
      <c r="A187" s="145"/>
      <c r="B187" s="145"/>
      <c r="C187" s="145"/>
      <c r="D187" s="145"/>
      <c r="E187" s="145"/>
      <c r="F187" s="145"/>
      <c r="G187" s="145"/>
      <c r="H187" s="146"/>
      <c r="I187" s="146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</row>
    <row r="188">
      <c r="A188" s="145"/>
      <c r="B188" s="145"/>
      <c r="C188" s="145"/>
      <c r="D188" s="145"/>
      <c r="E188" s="145"/>
      <c r="F188" s="145"/>
      <c r="G188" s="145"/>
      <c r="H188" s="146"/>
      <c r="I188" s="146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</row>
    <row r="189">
      <c r="A189" s="145"/>
      <c r="B189" s="145"/>
      <c r="C189" s="145"/>
      <c r="D189" s="145"/>
      <c r="E189" s="145"/>
      <c r="F189" s="145"/>
      <c r="G189" s="145"/>
      <c r="H189" s="146"/>
      <c r="I189" s="146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</row>
    <row r="190">
      <c r="A190" s="145"/>
      <c r="B190" s="202" t="s">
        <v>198</v>
      </c>
      <c r="C190" s="171"/>
      <c r="D190" s="171"/>
      <c r="E190" s="171"/>
      <c r="F190" s="152"/>
      <c r="G190" s="145"/>
      <c r="H190" s="146"/>
      <c r="I190" s="203" t="s">
        <v>199</v>
      </c>
      <c r="J190" s="171"/>
      <c r="K190" s="171"/>
      <c r="L190" s="171"/>
      <c r="M190" s="152"/>
      <c r="N190" s="145"/>
      <c r="O190" s="145"/>
      <c r="P190" s="145"/>
      <c r="Q190" s="145"/>
      <c r="R190" s="145"/>
      <c r="S190" s="145"/>
      <c r="T190" s="145"/>
    </row>
    <row r="191">
      <c r="A191" s="145"/>
      <c r="B191" s="145"/>
      <c r="C191" s="145"/>
      <c r="D191" s="145"/>
      <c r="E191" s="145"/>
      <c r="F191" s="145"/>
      <c r="G191" s="145"/>
      <c r="H191" s="146"/>
      <c r="I191" s="146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</row>
  </sheetData>
  <mergeCells count="476">
    <mergeCell ref="L30:L32"/>
    <mergeCell ref="M30:M32"/>
    <mergeCell ref="O27:T29"/>
    <mergeCell ref="O30:T30"/>
    <mergeCell ref="O31:T31"/>
    <mergeCell ref="O32:T32"/>
    <mergeCell ref="K23:L24"/>
    <mergeCell ref="M23:N24"/>
    <mergeCell ref="O23:P24"/>
    <mergeCell ref="Q23:R24"/>
    <mergeCell ref="S23:T24"/>
    <mergeCell ref="K30:K32"/>
    <mergeCell ref="N30:N32"/>
    <mergeCell ref="K21:L21"/>
    <mergeCell ref="M21:N21"/>
    <mergeCell ref="A23:B24"/>
    <mergeCell ref="E23:F24"/>
    <mergeCell ref="G23:H24"/>
    <mergeCell ref="I23:J24"/>
    <mergeCell ref="A27:N29"/>
    <mergeCell ref="C23:D24"/>
    <mergeCell ref="D30:D32"/>
    <mergeCell ref="E30:E32"/>
    <mergeCell ref="F30:F32"/>
    <mergeCell ref="G30:G32"/>
    <mergeCell ref="A33:B33"/>
    <mergeCell ref="A34:B34"/>
    <mergeCell ref="H40:I40"/>
    <mergeCell ref="H41:I41"/>
    <mergeCell ref="H33:I33"/>
    <mergeCell ref="H34:I34"/>
    <mergeCell ref="H35:I35"/>
    <mergeCell ref="H36:I36"/>
    <mergeCell ref="H37:I37"/>
    <mergeCell ref="H38:I38"/>
    <mergeCell ref="H39:I39"/>
    <mergeCell ref="H43:I43"/>
    <mergeCell ref="H44:I44"/>
    <mergeCell ref="O38:T38"/>
    <mergeCell ref="O39:T39"/>
    <mergeCell ref="O40:T40"/>
    <mergeCell ref="O41:T41"/>
    <mergeCell ref="H42:I42"/>
    <mergeCell ref="O42:T42"/>
    <mergeCell ref="O43:T43"/>
    <mergeCell ref="O44:T44"/>
    <mergeCell ref="A46:B46"/>
    <mergeCell ref="A47:B47"/>
    <mergeCell ref="H47:I47"/>
    <mergeCell ref="A42:B42"/>
    <mergeCell ref="A43:B43"/>
    <mergeCell ref="A44:B44"/>
    <mergeCell ref="A45:B45"/>
    <mergeCell ref="H45:I45"/>
    <mergeCell ref="O45:T45"/>
    <mergeCell ref="H46:I46"/>
    <mergeCell ref="H50:I50"/>
    <mergeCell ref="H51:I51"/>
    <mergeCell ref="O46:T46"/>
    <mergeCell ref="O47:T47"/>
    <mergeCell ref="H48:I48"/>
    <mergeCell ref="O48:T48"/>
    <mergeCell ref="H49:I49"/>
    <mergeCell ref="O49:T49"/>
    <mergeCell ref="O50:T50"/>
    <mergeCell ref="O51:T51"/>
    <mergeCell ref="H52:I52"/>
    <mergeCell ref="H53:I53"/>
    <mergeCell ref="A48:B48"/>
    <mergeCell ref="A49:B49"/>
    <mergeCell ref="A50:B50"/>
    <mergeCell ref="A51:B51"/>
    <mergeCell ref="A52:B52"/>
    <mergeCell ref="O52:T52"/>
    <mergeCell ref="O53:T53"/>
    <mergeCell ref="A53:B53"/>
    <mergeCell ref="A54:B54"/>
    <mergeCell ref="H54:I54"/>
    <mergeCell ref="O54:T54"/>
    <mergeCell ref="A55:B55"/>
    <mergeCell ref="O55:T55"/>
    <mergeCell ref="A56:B56"/>
    <mergeCell ref="O56:T56"/>
    <mergeCell ref="H55:I55"/>
    <mergeCell ref="H56:I56"/>
    <mergeCell ref="A60:L61"/>
    <mergeCell ref="N61:S62"/>
    <mergeCell ref="B62:L62"/>
    <mergeCell ref="B63:C63"/>
    <mergeCell ref="E63:F63"/>
    <mergeCell ref="H63:I63"/>
    <mergeCell ref="K63:L63"/>
    <mergeCell ref="B64:C64"/>
    <mergeCell ref="E64:F64"/>
    <mergeCell ref="H64:I64"/>
    <mergeCell ref="K64:L64"/>
    <mergeCell ref="P64:Q64"/>
    <mergeCell ref="A65:B65"/>
    <mergeCell ref="C65:L65"/>
    <mergeCell ref="P65:Q65"/>
    <mergeCell ref="A66:B67"/>
    <mergeCell ref="C66:L67"/>
    <mergeCell ref="P66:Q66"/>
    <mergeCell ref="N67:O67"/>
    <mergeCell ref="R69:S69"/>
    <mergeCell ref="R70:S71"/>
    <mergeCell ref="P67:Q68"/>
    <mergeCell ref="R67:S67"/>
    <mergeCell ref="N68:O68"/>
    <mergeCell ref="R68:S68"/>
    <mergeCell ref="A69:L70"/>
    <mergeCell ref="N69:O69"/>
    <mergeCell ref="N70:O71"/>
    <mergeCell ref="K7:L7"/>
    <mergeCell ref="M7:T7"/>
    <mergeCell ref="B1:S4"/>
    <mergeCell ref="A5:C5"/>
    <mergeCell ref="D5:J5"/>
    <mergeCell ref="K5:L5"/>
    <mergeCell ref="M5:T5"/>
    <mergeCell ref="A7:B7"/>
    <mergeCell ref="C7:H7"/>
    <mergeCell ref="A9:B9"/>
    <mergeCell ref="C9:G9"/>
    <mergeCell ref="H9:I9"/>
    <mergeCell ref="J9:M9"/>
    <mergeCell ref="N9:O9"/>
    <mergeCell ref="P9:T9"/>
    <mergeCell ref="A12:B17"/>
    <mergeCell ref="C12:R17"/>
    <mergeCell ref="A18:T20"/>
    <mergeCell ref="A21:B21"/>
    <mergeCell ref="C21:D21"/>
    <mergeCell ref="E21:F21"/>
    <mergeCell ref="G21:H21"/>
    <mergeCell ref="I21:J21"/>
    <mergeCell ref="S21:T21"/>
    <mergeCell ref="O21:P21"/>
    <mergeCell ref="Q21:R21"/>
    <mergeCell ref="O33:T33"/>
    <mergeCell ref="O34:T34"/>
    <mergeCell ref="O35:T35"/>
    <mergeCell ref="O36:T36"/>
    <mergeCell ref="O37:T37"/>
    <mergeCell ref="A35:B35"/>
    <mergeCell ref="A36:B36"/>
    <mergeCell ref="A37:B37"/>
    <mergeCell ref="A38:B38"/>
    <mergeCell ref="A39:B39"/>
    <mergeCell ref="A40:B40"/>
    <mergeCell ref="A41:B41"/>
    <mergeCell ref="P72:Q72"/>
    <mergeCell ref="P73:Q73"/>
    <mergeCell ref="P74:Q74"/>
    <mergeCell ref="E90:F90"/>
    <mergeCell ref="H90:I90"/>
    <mergeCell ref="A83:B83"/>
    <mergeCell ref="C83:L83"/>
    <mergeCell ref="A84:B85"/>
    <mergeCell ref="C84:L85"/>
    <mergeCell ref="A87:L88"/>
    <mergeCell ref="B89:L89"/>
    <mergeCell ref="B90:C90"/>
    <mergeCell ref="K90:L90"/>
    <mergeCell ref="N77:O77"/>
    <mergeCell ref="N78:O78"/>
    <mergeCell ref="N79:O80"/>
    <mergeCell ref="N83:O85"/>
    <mergeCell ref="N86:O88"/>
    <mergeCell ref="R76:S76"/>
    <mergeCell ref="R77:S77"/>
    <mergeCell ref="R78:S78"/>
    <mergeCell ref="R79:S80"/>
    <mergeCell ref="P83:S85"/>
    <mergeCell ref="P86:S88"/>
    <mergeCell ref="N90:S91"/>
    <mergeCell ref="N95:P95"/>
    <mergeCell ref="N96:P96"/>
    <mergeCell ref="Q96:S96"/>
    <mergeCell ref="Q97:S97"/>
    <mergeCell ref="Q98:S98"/>
    <mergeCell ref="Q99:S99"/>
    <mergeCell ref="Q100:S100"/>
    <mergeCell ref="Q101:S101"/>
    <mergeCell ref="Q102:S102"/>
    <mergeCell ref="Q103:S103"/>
    <mergeCell ref="N92:P92"/>
    <mergeCell ref="Q92:S92"/>
    <mergeCell ref="N93:P93"/>
    <mergeCell ref="Q93:S93"/>
    <mergeCell ref="N94:P94"/>
    <mergeCell ref="Q94:S94"/>
    <mergeCell ref="Q95:S95"/>
    <mergeCell ref="B91:C91"/>
    <mergeCell ref="E91:F91"/>
    <mergeCell ref="H91:I91"/>
    <mergeCell ref="K91:L91"/>
    <mergeCell ref="A92:B92"/>
    <mergeCell ref="C92:L92"/>
    <mergeCell ref="A93:B94"/>
    <mergeCell ref="C93:L94"/>
    <mergeCell ref="A96:L97"/>
    <mergeCell ref="N97:P97"/>
    <mergeCell ref="B98:L98"/>
    <mergeCell ref="N98:P98"/>
    <mergeCell ref="E99:F99"/>
    <mergeCell ref="N99:P99"/>
    <mergeCell ref="H72:I72"/>
    <mergeCell ref="H73:I73"/>
    <mergeCell ref="B71:L71"/>
    <mergeCell ref="B72:C72"/>
    <mergeCell ref="E72:F72"/>
    <mergeCell ref="K72:L72"/>
    <mergeCell ref="B73:C73"/>
    <mergeCell ref="E73:F73"/>
    <mergeCell ref="K73:L73"/>
    <mergeCell ref="A74:B74"/>
    <mergeCell ref="C74:L74"/>
    <mergeCell ref="A75:B76"/>
    <mergeCell ref="C75:L76"/>
    <mergeCell ref="P75:Q76"/>
    <mergeCell ref="N76:O76"/>
    <mergeCell ref="A78:L79"/>
    <mergeCell ref="K81:L81"/>
    <mergeCell ref="K82:L82"/>
    <mergeCell ref="B80:L80"/>
    <mergeCell ref="B81:C81"/>
    <mergeCell ref="E81:F81"/>
    <mergeCell ref="H81:I81"/>
    <mergeCell ref="B82:C82"/>
    <mergeCell ref="E82:F82"/>
    <mergeCell ref="H82:I82"/>
    <mergeCell ref="H99:I99"/>
    <mergeCell ref="K99:L99"/>
    <mergeCell ref="H100:I100"/>
    <mergeCell ref="K100:L100"/>
    <mergeCell ref="N100:P100"/>
    <mergeCell ref="N101:P101"/>
    <mergeCell ref="N102:P102"/>
    <mergeCell ref="N103:P103"/>
    <mergeCell ref="B99:C99"/>
    <mergeCell ref="B100:C100"/>
    <mergeCell ref="E100:F100"/>
    <mergeCell ref="A101:B101"/>
    <mergeCell ref="C101:L101"/>
    <mergeCell ref="A102:B103"/>
    <mergeCell ref="C102:L103"/>
    <mergeCell ref="P108:Q108"/>
    <mergeCell ref="P109:Q109"/>
    <mergeCell ref="N111:O114"/>
    <mergeCell ref="P111:S114"/>
    <mergeCell ref="N116:O119"/>
    <mergeCell ref="P116:S119"/>
    <mergeCell ref="D106:E106"/>
    <mergeCell ref="D107:E107"/>
    <mergeCell ref="N107:O109"/>
    <mergeCell ref="P107:Q107"/>
    <mergeCell ref="R107:S107"/>
    <mergeCell ref="R108:S108"/>
    <mergeCell ref="R109:S109"/>
    <mergeCell ref="B106:C107"/>
    <mergeCell ref="B110:D111"/>
    <mergeCell ref="E110:F110"/>
    <mergeCell ref="G110:H110"/>
    <mergeCell ref="E111:F111"/>
    <mergeCell ref="G111:H111"/>
    <mergeCell ref="B113:D113"/>
    <mergeCell ref="E113:F113"/>
    <mergeCell ref="G113:H113"/>
    <mergeCell ref="B115:I115"/>
    <mergeCell ref="B116:E116"/>
    <mergeCell ref="F116:I116"/>
    <mergeCell ref="B117:E117"/>
    <mergeCell ref="F117:I117"/>
    <mergeCell ref="B118:E118"/>
    <mergeCell ref="F118:I118"/>
    <mergeCell ref="B119:E119"/>
    <mergeCell ref="F119:I119"/>
    <mergeCell ref="B120:E120"/>
    <mergeCell ref="F120:I120"/>
    <mergeCell ref="F121:I121"/>
    <mergeCell ref="F122:I122"/>
    <mergeCell ref="B121:E121"/>
    <mergeCell ref="B122:E122"/>
    <mergeCell ref="L123:S124"/>
    <mergeCell ref="B124:I125"/>
    <mergeCell ref="K125:L125"/>
    <mergeCell ref="N125:O125"/>
    <mergeCell ref="Q125:R125"/>
    <mergeCell ref="P128:Q128"/>
    <mergeCell ref="R128:S128"/>
    <mergeCell ref="B130:I130"/>
    <mergeCell ref="K130:O130"/>
    <mergeCell ref="P130:Q130"/>
    <mergeCell ref="R130:S130"/>
    <mergeCell ref="K131:O131"/>
    <mergeCell ref="P131:Q131"/>
    <mergeCell ref="R131:S131"/>
    <mergeCell ref="B131:I131"/>
    <mergeCell ref="B132:I132"/>
    <mergeCell ref="K132:O132"/>
    <mergeCell ref="P132:Q132"/>
    <mergeCell ref="R132:S132"/>
    <mergeCell ref="B133:I133"/>
    <mergeCell ref="B134:I134"/>
    <mergeCell ref="B135:I135"/>
    <mergeCell ref="K135:O135"/>
    <mergeCell ref="P135:Q135"/>
    <mergeCell ref="R135:S135"/>
    <mergeCell ref="K136:O136"/>
    <mergeCell ref="P136:Q136"/>
    <mergeCell ref="R136:S136"/>
    <mergeCell ref="B136:I136"/>
    <mergeCell ref="B137:I137"/>
    <mergeCell ref="K137:O137"/>
    <mergeCell ref="P137:Q137"/>
    <mergeCell ref="R137:S137"/>
    <mergeCell ref="B138:I138"/>
    <mergeCell ref="K138:O138"/>
    <mergeCell ref="K140:O140"/>
    <mergeCell ref="P140:Q140"/>
    <mergeCell ref="P138:Q138"/>
    <mergeCell ref="R138:S138"/>
    <mergeCell ref="B139:I139"/>
    <mergeCell ref="K139:O139"/>
    <mergeCell ref="P139:Q139"/>
    <mergeCell ref="R139:S139"/>
    <mergeCell ref="R140:S140"/>
    <mergeCell ref="K128:O128"/>
    <mergeCell ref="K129:O129"/>
    <mergeCell ref="P129:Q129"/>
    <mergeCell ref="R129:S129"/>
    <mergeCell ref="D127:E127"/>
    <mergeCell ref="F127:G127"/>
    <mergeCell ref="K127:O127"/>
    <mergeCell ref="P127:Q127"/>
    <mergeCell ref="R127:S127"/>
    <mergeCell ref="B128:I128"/>
    <mergeCell ref="B129:I129"/>
    <mergeCell ref="P133:Q133"/>
    <mergeCell ref="R133:S133"/>
    <mergeCell ref="K133:O133"/>
    <mergeCell ref="K134:O134"/>
    <mergeCell ref="P134:Q134"/>
    <mergeCell ref="R134:S134"/>
    <mergeCell ref="P142:Q142"/>
    <mergeCell ref="R142:S142"/>
    <mergeCell ref="B158:I158"/>
    <mergeCell ref="K158:O158"/>
    <mergeCell ref="P158:Q158"/>
    <mergeCell ref="R158:S158"/>
    <mergeCell ref="K159:O159"/>
    <mergeCell ref="P159:Q159"/>
    <mergeCell ref="R159:S159"/>
    <mergeCell ref="B159:I159"/>
    <mergeCell ref="B160:I160"/>
    <mergeCell ref="K160:O160"/>
    <mergeCell ref="P160:Q160"/>
    <mergeCell ref="R160:S160"/>
    <mergeCell ref="B161:I161"/>
    <mergeCell ref="B162:I162"/>
    <mergeCell ref="K156:O156"/>
    <mergeCell ref="K157:O157"/>
    <mergeCell ref="P157:Q157"/>
    <mergeCell ref="R157:S157"/>
    <mergeCell ref="B154:I154"/>
    <mergeCell ref="B155:I155"/>
    <mergeCell ref="K155:O155"/>
    <mergeCell ref="P155:Q155"/>
    <mergeCell ref="R155:S155"/>
    <mergeCell ref="B156:I156"/>
    <mergeCell ref="B157:I157"/>
    <mergeCell ref="P161:Q161"/>
    <mergeCell ref="R161:S161"/>
    <mergeCell ref="K161:O161"/>
    <mergeCell ref="K162:O162"/>
    <mergeCell ref="P162:Q162"/>
    <mergeCell ref="R162:S162"/>
    <mergeCell ref="B168:I168"/>
    <mergeCell ref="B169:I169"/>
    <mergeCell ref="K169:O169"/>
    <mergeCell ref="P169:Q169"/>
    <mergeCell ref="R169:S169"/>
    <mergeCell ref="B170:I170"/>
    <mergeCell ref="K170:O170"/>
    <mergeCell ref="B144:I144"/>
    <mergeCell ref="K144:O144"/>
    <mergeCell ref="P144:Q144"/>
    <mergeCell ref="R144:S144"/>
    <mergeCell ref="K145:O145"/>
    <mergeCell ref="P145:Q145"/>
    <mergeCell ref="R145:S145"/>
    <mergeCell ref="B145:I145"/>
    <mergeCell ref="B146:I146"/>
    <mergeCell ref="K146:O146"/>
    <mergeCell ref="P146:Q146"/>
    <mergeCell ref="R146:S146"/>
    <mergeCell ref="B147:I147"/>
    <mergeCell ref="B148:I148"/>
    <mergeCell ref="B149:I149"/>
    <mergeCell ref="K149:O149"/>
    <mergeCell ref="P149:Q149"/>
    <mergeCell ref="R149:S149"/>
    <mergeCell ref="K150:O150"/>
    <mergeCell ref="P150:Q150"/>
    <mergeCell ref="R150:S150"/>
    <mergeCell ref="B150:I150"/>
    <mergeCell ref="B151:I151"/>
    <mergeCell ref="K151:O151"/>
    <mergeCell ref="P151:Q151"/>
    <mergeCell ref="R151:S151"/>
    <mergeCell ref="B152:I152"/>
    <mergeCell ref="K152:O152"/>
    <mergeCell ref="K154:O154"/>
    <mergeCell ref="P154:Q154"/>
    <mergeCell ref="P152:Q152"/>
    <mergeCell ref="R152:S152"/>
    <mergeCell ref="B153:I153"/>
    <mergeCell ref="K153:O153"/>
    <mergeCell ref="P153:Q153"/>
    <mergeCell ref="R153:S153"/>
    <mergeCell ref="R154:S154"/>
    <mergeCell ref="K142:O142"/>
    <mergeCell ref="K143:O143"/>
    <mergeCell ref="P143:Q143"/>
    <mergeCell ref="R143:S143"/>
    <mergeCell ref="B140:I140"/>
    <mergeCell ref="B141:I141"/>
    <mergeCell ref="K141:O141"/>
    <mergeCell ref="P141:Q141"/>
    <mergeCell ref="R141:S141"/>
    <mergeCell ref="B142:I142"/>
    <mergeCell ref="B143:I143"/>
    <mergeCell ref="P147:Q147"/>
    <mergeCell ref="R147:S147"/>
    <mergeCell ref="K147:O147"/>
    <mergeCell ref="K148:O148"/>
    <mergeCell ref="P148:Q148"/>
    <mergeCell ref="R148:S148"/>
    <mergeCell ref="P156:Q156"/>
    <mergeCell ref="R156:S156"/>
    <mergeCell ref="B163:I163"/>
    <mergeCell ref="K163:O163"/>
    <mergeCell ref="P163:Q163"/>
    <mergeCell ref="R163:S163"/>
    <mergeCell ref="K164:O164"/>
    <mergeCell ref="P164:Q164"/>
    <mergeCell ref="R164:S164"/>
    <mergeCell ref="B164:I164"/>
    <mergeCell ref="B165:I165"/>
    <mergeCell ref="K165:O165"/>
    <mergeCell ref="P165:Q165"/>
    <mergeCell ref="R165:S165"/>
    <mergeCell ref="B166:I166"/>
    <mergeCell ref="K166:O166"/>
    <mergeCell ref="K168:O168"/>
    <mergeCell ref="P168:Q168"/>
    <mergeCell ref="P166:Q166"/>
    <mergeCell ref="R166:S166"/>
    <mergeCell ref="B167:I167"/>
    <mergeCell ref="K167:O167"/>
    <mergeCell ref="P167:Q167"/>
    <mergeCell ref="R167:S167"/>
    <mergeCell ref="R168:S168"/>
    <mergeCell ref="K180:L180"/>
    <mergeCell ref="I182:L182"/>
    <mergeCell ref="I183:L183"/>
    <mergeCell ref="B190:F190"/>
    <mergeCell ref="I190:M190"/>
    <mergeCell ref="P170:Q170"/>
    <mergeCell ref="R170:S170"/>
    <mergeCell ref="H173:M174"/>
    <mergeCell ref="G176:H176"/>
    <mergeCell ref="K176:L176"/>
    <mergeCell ref="I178:J178"/>
    <mergeCell ref="G180:H180"/>
  </mergeCells>
  <dataValidations>
    <dataValidation type="list" allowBlank="1" showInputMessage="1" showErrorMessage="1" prompt="Choose a Chaos God" sqref="R128:R170 I183">
      <formula1>Sheet2!$A$1:$A$5</formula1>
    </dataValidation>
    <dataValidation type="decimal" operator="equal" allowBlank="1" showDropDown="1" showInputMessage="1" showErrorMessage="1" prompt="use only lowercase x" sqref="D33:G56 K33:N56">
      <formula1>x</formula1>
    </dataValidation>
    <dataValidation type="decimal" operator="greaterThanOrEqual" allowBlank="1" showDropDown="1" showInputMessage="1" showErrorMessage="1" prompt="Number Only" sqref="P128:P170">
      <formula1>0.0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04" t="s">
        <v>195</v>
      </c>
    </row>
    <row r="2">
      <c r="A2" s="204" t="s">
        <v>196</v>
      </c>
    </row>
    <row r="3">
      <c r="A3" s="204" t="s">
        <v>176</v>
      </c>
    </row>
    <row r="4">
      <c r="A4" s="204" t="s">
        <v>181</v>
      </c>
    </row>
    <row r="5">
      <c r="A5" s="204" t="s">
        <v>169</v>
      </c>
    </row>
  </sheetData>
  <drawing r:id="rId1"/>
</worksheet>
</file>