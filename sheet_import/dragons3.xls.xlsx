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ck" sheetId="1" r:id="rId4"/>
    <sheet state="visible" name="Blue" sheetId="2" r:id="rId5"/>
    <sheet state="visible" name="Green" sheetId="3" r:id="rId6"/>
    <sheet state="visible" name="Red" sheetId="4" r:id="rId7"/>
    <sheet state="visible" name="White" sheetId="5" r:id="rId8"/>
    <sheet state="visible" name="Brass" sheetId="6" r:id="rId9"/>
    <sheet state="visible" name="Bronze" sheetId="7" r:id="rId10"/>
    <sheet state="visible" name="Copper" sheetId="8" r:id="rId11"/>
    <sheet state="visible" name="Gold" sheetId="9" r:id="rId12"/>
    <sheet state="visible" name="Silver" sheetId="10" r:id="rId13"/>
    <sheet state="visible" name="Data sheet" sheetId="11" r:id="rId14"/>
    <sheet state="visible" name="Blank" sheetId="12" r:id="rId15"/>
  </sheets>
  <definedNames>
    <definedName name="Agecat">'Data sheet'!$A$75:$B$87</definedName>
    <definedName name="Size">'Data sheet'!$A$64:$J$72</definedName>
    <definedName name="LevelData">'Data sheet'!$A$2:$R$60</definedName>
  </definedNames>
  <calcPr/>
</workbook>
</file>

<file path=xl/sharedStrings.xml><?xml version="1.0" encoding="utf-8"?>
<sst xmlns="http://schemas.openxmlformats.org/spreadsheetml/2006/main" count="1404" uniqueCount="237">
  <si>
    <t>level</t>
  </si>
  <si>
    <t>age cat</t>
  </si>
  <si>
    <t>age</t>
  </si>
  <si>
    <t>ecl</t>
  </si>
  <si>
    <t>hd</t>
  </si>
  <si>
    <t>level adj</t>
  </si>
  <si>
    <t>str</t>
  </si>
  <si>
    <t>dex</t>
  </si>
  <si>
    <t>con</t>
  </si>
  <si>
    <t>int</t>
  </si>
  <si>
    <t>wis</t>
  </si>
  <si>
    <t>chr</t>
  </si>
  <si>
    <t>size</t>
  </si>
  <si>
    <t>ac</t>
  </si>
  <si>
    <t>bab</t>
  </si>
  <si>
    <t>Atk</t>
  </si>
  <si>
    <t>fort</t>
  </si>
  <si>
    <t>ref</t>
  </si>
  <si>
    <t>wil</t>
  </si>
  <si>
    <t>breath</t>
  </si>
  <si>
    <t>DC</t>
  </si>
  <si>
    <t>fear dc+chr</t>
  </si>
  <si>
    <t>SR</t>
  </si>
  <si>
    <t>sa</t>
  </si>
  <si>
    <t>caster lvl</t>
  </si>
  <si>
    <t>SR tweak</t>
  </si>
  <si>
    <t>Wyrmling</t>
  </si>
  <si>
    <t>t</t>
  </si>
  <si>
    <t>2d4</t>
  </si>
  <si>
    <t>Water</t>
  </si>
  <si>
    <t>Breathing</t>
  </si>
  <si>
    <t>Acid</t>
  </si>
  <si>
    <t>Immunity</t>
  </si>
  <si>
    <t>3d4</t>
  </si>
  <si>
    <t>na</t>
  </si>
  <si>
    <t>v Young</t>
  </si>
  <si>
    <t>s</t>
  </si>
  <si>
    <t>4d4</t>
  </si>
  <si>
    <t>5d4</t>
  </si>
  <si>
    <t>Young</t>
  </si>
  <si>
    <t>m</t>
  </si>
  <si>
    <t>6d3</t>
  </si>
  <si>
    <t>6d4</t>
  </si>
  <si>
    <t>7d4</t>
  </si>
  <si>
    <t>Juvenile</t>
  </si>
  <si>
    <t>8d4</t>
  </si>
  <si>
    <t>Darkness</t>
  </si>
  <si>
    <t>9d4</t>
  </si>
  <si>
    <t>y Adult</t>
  </si>
  <si>
    <t>l</t>
  </si>
  <si>
    <t>10d4</t>
  </si>
  <si>
    <t>DR 5/+1</t>
  </si>
  <si>
    <t>11d4</t>
  </si>
  <si>
    <t>Adult</t>
  </si>
  <si>
    <t>12d4</t>
  </si>
  <si>
    <t>Corrupt</t>
  </si>
  <si>
    <t>13d4</t>
  </si>
  <si>
    <t>M Adult</t>
  </si>
  <si>
    <t>h</t>
  </si>
  <si>
    <t>14d4</t>
  </si>
  <si>
    <t>DR 10/+1</t>
  </si>
  <si>
    <t>15d4</t>
  </si>
  <si>
    <t>Old</t>
  </si>
  <si>
    <t>16d4</t>
  </si>
  <si>
    <t>Plant</t>
  </si>
  <si>
    <t>Growth</t>
  </si>
  <si>
    <t>17d4</t>
  </si>
  <si>
    <t>V old</t>
  </si>
  <si>
    <t>18d4</t>
  </si>
  <si>
    <t>DR 15/+2</t>
  </si>
  <si>
    <t>19d4</t>
  </si>
  <si>
    <t>Ancient</t>
  </si>
  <si>
    <t>20d4</t>
  </si>
  <si>
    <t>Insect</t>
  </si>
  <si>
    <t>Plague</t>
  </si>
  <si>
    <t>21d4</t>
  </si>
  <si>
    <t>Wyrm</t>
  </si>
  <si>
    <t>g</t>
  </si>
  <si>
    <t>22d4</t>
  </si>
  <si>
    <t>DR 20/+3</t>
  </si>
  <si>
    <t>23d4</t>
  </si>
  <si>
    <t>G Wyrm</t>
  </si>
  <si>
    <t>24d4</t>
  </si>
  <si>
    <t>Charm</t>
  </si>
  <si>
    <t>ch*12.5+1200</t>
  </si>
  <si>
    <t>Reptiles</t>
  </si>
  <si>
    <t>ch*25+1200</t>
  </si>
  <si>
    <t>25d4</t>
  </si>
  <si>
    <t>ch*37.5+1200</t>
  </si>
  <si>
    <t>Twilight</t>
  </si>
  <si>
    <t>ch*50+1200</t>
  </si>
  <si>
    <t>26d4</t>
  </si>
  <si>
    <t>2d8</t>
  </si>
  <si>
    <t>electricity</t>
  </si>
  <si>
    <t>immunity</t>
  </si>
  <si>
    <t>create/dest</t>
  </si>
  <si>
    <t>water</t>
  </si>
  <si>
    <t>3d8</t>
  </si>
  <si>
    <t>4d8</t>
  </si>
  <si>
    <t>5d8</t>
  </si>
  <si>
    <t>6d8</t>
  </si>
  <si>
    <t>7d8</t>
  </si>
  <si>
    <t>8d8</t>
  </si>
  <si>
    <t xml:space="preserve">sound </t>
  </si>
  <si>
    <t>immitation</t>
  </si>
  <si>
    <t>9d8</t>
  </si>
  <si>
    <t>10d8</t>
  </si>
  <si>
    <t>11d8</t>
  </si>
  <si>
    <t>12d8</t>
  </si>
  <si>
    <t>Ventriloquism</t>
  </si>
  <si>
    <t>13d8</t>
  </si>
  <si>
    <t>14d8</t>
  </si>
  <si>
    <t>15d8</t>
  </si>
  <si>
    <t>16d8</t>
  </si>
  <si>
    <t>Hallucinatory</t>
  </si>
  <si>
    <t>terrain</t>
  </si>
  <si>
    <t>17d8</t>
  </si>
  <si>
    <t>18d8</t>
  </si>
  <si>
    <t>19d8</t>
  </si>
  <si>
    <t>20d8</t>
  </si>
  <si>
    <t>Veil</t>
  </si>
  <si>
    <t>21d8</t>
  </si>
  <si>
    <t>22d8</t>
  </si>
  <si>
    <t>23d8</t>
  </si>
  <si>
    <t>24d8</t>
  </si>
  <si>
    <t>Mirage</t>
  </si>
  <si>
    <t>Arcana</t>
  </si>
  <si>
    <t>25d8</t>
  </si>
  <si>
    <t>26d8</t>
  </si>
  <si>
    <t>2d6</t>
  </si>
  <si>
    <t>acid</t>
  </si>
  <si>
    <t>3d6</t>
  </si>
  <si>
    <t>breathing</t>
  </si>
  <si>
    <t>4d6</t>
  </si>
  <si>
    <t>5d6</t>
  </si>
  <si>
    <t>6d6</t>
  </si>
  <si>
    <t>7d6</t>
  </si>
  <si>
    <t>8d6</t>
  </si>
  <si>
    <t>9d6</t>
  </si>
  <si>
    <t>10d6</t>
  </si>
  <si>
    <t>11d6</t>
  </si>
  <si>
    <t>12d6</t>
  </si>
  <si>
    <t>Suggestion</t>
  </si>
  <si>
    <t>13d6</t>
  </si>
  <si>
    <t>14d6</t>
  </si>
  <si>
    <t>15d6</t>
  </si>
  <si>
    <t>16d6</t>
  </si>
  <si>
    <t>Plant Growth</t>
  </si>
  <si>
    <t>17d6</t>
  </si>
  <si>
    <t>18d6</t>
  </si>
  <si>
    <t>19d6</t>
  </si>
  <si>
    <t>20d6</t>
  </si>
  <si>
    <t>Dominate</t>
  </si>
  <si>
    <t>Person</t>
  </si>
  <si>
    <t>21d6</t>
  </si>
  <si>
    <t>22d6</t>
  </si>
  <si>
    <t>DR 20/+2</t>
  </si>
  <si>
    <t>23d6</t>
  </si>
  <si>
    <t>24d6</t>
  </si>
  <si>
    <t>Command</t>
  </si>
  <si>
    <t>Plants</t>
  </si>
  <si>
    <t>25d6</t>
  </si>
  <si>
    <t>c</t>
  </si>
  <si>
    <t>26d6</t>
  </si>
  <si>
    <t>2d10</t>
  </si>
  <si>
    <t>Fire subtype</t>
  </si>
  <si>
    <t>3d10</t>
  </si>
  <si>
    <t>4d10</t>
  </si>
  <si>
    <t>5d10</t>
  </si>
  <si>
    <t>6d10</t>
  </si>
  <si>
    <t>7d10</t>
  </si>
  <si>
    <t>8d10</t>
  </si>
  <si>
    <t>locate</t>
  </si>
  <si>
    <t>object</t>
  </si>
  <si>
    <t>9d10</t>
  </si>
  <si>
    <t>10d10</t>
  </si>
  <si>
    <t>11d10</t>
  </si>
  <si>
    <t>12d10</t>
  </si>
  <si>
    <t>13d10</t>
  </si>
  <si>
    <t>14d10</t>
  </si>
  <si>
    <t>15d10</t>
  </si>
  <si>
    <t>16d10</t>
  </si>
  <si>
    <t>17d10</t>
  </si>
  <si>
    <t>18d10</t>
  </si>
  <si>
    <t>19d10</t>
  </si>
  <si>
    <t>20d10</t>
  </si>
  <si>
    <t>Find the</t>
  </si>
  <si>
    <t>Path</t>
  </si>
  <si>
    <t>21d10</t>
  </si>
  <si>
    <t>22d10</t>
  </si>
  <si>
    <t>23d10</t>
  </si>
  <si>
    <t>24d10</t>
  </si>
  <si>
    <t xml:space="preserve">Discern </t>
  </si>
  <si>
    <t>Location</t>
  </si>
  <si>
    <t>25d10</t>
  </si>
  <si>
    <t>26d10</t>
  </si>
  <si>
    <t>Electric</t>
  </si>
  <si>
    <t>speak w/</t>
  </si>
  <si>
    <t>animals</t>
  </si>
  <si>
    <t>poly self</t>
  </si>
  <si>
    <t>create food</t>
  </si>
  <si>
    <t>create water</t>
  </si>
  <si>
    <t>fog cloud</t>
  </si>
  <si>
    <t>Detect</t>
  </si>
  <si>
    <t>thoughts</t>
  </si>
  <si>
    <t>Control</t>
  </si>
  <si>
    <t>Weather</t>
  </si>
  <si>
    <t>cold/acid</t>
  </si>
  <si>
    <t>cloudwalking</t>
  </si>
  <si>
    <t>poly</t>
  </si>
  <si>
    <t>self</t>
  </si>
  <si>
    <t>feather fall</t>
  </si>
  <si>
    <t>Fog Cloud</t>
  </si>
  <si>
    <t>Winds</t>
  </si>
  <si>
    <t>Reverse</t>
  </si>
  <si>
    <t>Gravity</t>
  </si>
  <si>
    <t>HD</t>
  </si>
  <si>
    <t>goodsave</t>
  </si>
  <si>
    <t>badsave</t>
  </si>
  <si>
    <t>BABfight</t>
  </si>
  <si>
    <t>BabRog</t>
  </si>
  <si>
    <t>BabWiz</t>
  </si>
  <si>
    <t>Size</t>
  </si>
  <si>
    <t>AC</t>
  </si>
  <si>
    <t>ATTACK</t>
  </si>
  <si>
    <t>F</t>
  </si>
  <si>
    <t>D</t>
  </si>
  <si>
    <t>T</t>
  </si>
  <si>
    <t>S</t>
  </si>
  <si>
    <t>M</t>
  </si>
  <si>
    <t>L</t>
  </si>
  <si>
    <t>H</t>
  </si>
  <si>
    <t>G</t>
  </si>
  <si>
    <t>C</t>
  </si>
  <si>
    <t>Age</t>
  </si>
  <si>
    <t>Agecat</t>
  </si>
  <si>
    <t>V 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</si>
</sst>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+0"/>
  </numFmts>
  <fonts count="3">
    <font>
      <sz val="10.0"/>
      <color rgb="FF000000"/>
      <name val="Arial"/>
    </font>
    <font>
      <sz val="10.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horizontal="center" shrinkToFit="0" wrapText="0"/>
    </xf>
    <xf borderId="3" fillId="2" fontId="1" numFmtId="0" xfId="0" applyAlignment="1" applyBorder="1" applyFill="1" applyFont="1">
      <alignment horizontal="center" shrinkToFit="0" wrapText="0"/>
    </xf>
    <xf borderId="4" fillId="2" fontId="1" numFmtId="0" xfId="0" applyAlignment="1" applyBorder="1" applyFont="1">
      <alignment horizontal="center" shrinkToFit="0" wrapText="0"/>
    </xf>
    <xf borderId="4" fillId="2" fontId="1" numFmtId="164" xfId="0" applyAlignment="1" applyBorder="1" applyFont="1" applyNumberFormat="1">
      <alignment horizontal="center" shrinkToFit="0" wrapText="0"/>
    </xf>
    <xf borderId="5" fillId="2" fontId="1" numFmtId="0" xfId="0" applyAlignment="1" applyBorder="1" applyFont="1">
      <alignment horizontal="center" shrinkToFit="0" wrapText="0"/>
    </xf>
    <xf borderId="6" fillId="2" fontId="1" numFmtId="0" xfId="0" applyAlignment="1" applyBorder="1" applyFont="1">
      <alignment horizontal="center" shrinkToFit="0" wrapText="0"/>
    </xf>
    <xf borderId="7" fillId="2" fontId="1" numFmtId="0" xfId="0" applyAlignment="1" applyBorder="1" applyFont="1">
      <alignment horizontal="center" shrinkToFit="0" wrapText="0"/>
    </xf>
    <xf borderId="7" fillId="2" fontId="1" numFmtId="164" xfId="0" applyAlignment="1" applyBorder="1" applyFont="1" applyNumberForma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8" fillId="0" fontId="1" numFmtId="0" xfId="0" applyAlignment="1" applyBorder="1" applyFont="1">
      <alignment horizontal="center" shrinkToFit="0" wrapText="0"/>
    </xf>
    <xf borderId="8" fillId="0" fontId="1" numFmtId="164" xfId="0" applyAlignment="1" applyBorder="1" applyFont="1" applyNumberFormat="1">
      <alignment horizontal="center" shrinkToFit="0" wrapText="0"/>
    </xf>
    <xf borderId="2" fillId="0" fontId="1" numFmtId="164" xfId="0" applyAlignment="1" applyBorder="1" applyFont="1" applyNumberFormat="1">
      <alignment horizontal="center" shrinkToFit="0" wrapText="0"/>
    </xf>
    <xf borderId="8" fillId="0" fontId="2" numFmtId="0" xfId="0" applyAlignment="1" applyBorder="1" applyFont="1">
      <alignment horizontal="center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5.13" defaultRowHeight="15.0"/>
  <cols>
    <col customWidth="1" min="1" max="1" width="4.0"/>
    <col customWidth="1" min="2" max="2" width="7.75"/>
    <col customWidth="1" min="3" max="3" width="10.88"/>
    <col customWidth="1" min="4" max="4" width="3.0"/>
    <col customWidth="1" min="5" max="5" width="2.63"/>
    <col customWidth="1" min="6" max="6" width="6.63"/>
    <col customWidth="1" min="7" max="7" width="2.75"/>
    <col customWidth="1" min="8" max="9" width="3.5"/>
    <col customWidth="1" min="10" max="10" width="2.63"/>
    <col customWidth="1" min="11" max="11" width="3.25"/>
    <col customWidth="1" min="12" max="12" width="3.13"/>
    <col customWidth="1" min="13" max="13" width="4.63"/>
    <col customWidth="1" min="14" max="19" width="3.63"/>
    <col customWidth="1" min="20" max="20" width="5.38"/>
    <col customWidth="1" min="21" max="21" width="3.13"/>
    <col customWidth="1" min="22" max="22" width="9.0"/>
    <col customWidth="1" min="23" max="23" width="3.13"/>
    <col customWidth="1" min="24" max="25" width="7.75"/>
    <col customWidth="1" min="26" max="26" width="7.88"/>
    <col customWidth="1" min="27" max="3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3">
        <v>1.0</v>
      </c>
      <c r="B2" s="4" t="s">
        <v>26</v>
      </c>
      <c r="C2" s="3">
        <v>0.0</v>
      </c>
      <c r="D2" s="4">
        <v>7.0</v>
      </c>
      <c r="E2" s="3">
        <v>4.0</v>
      </c>
      <c r="F2" s="3">
        <f t="shared" ref="F2:F48" si="1">D2-E2</f>
        <v>3</v>
      </c>
      <c r="G2" s="4">
        <v>1.0</v>
      </c>
      <c r="H2" s="4">
        <v>0.0</v>
      </c>
      <c r="I2" s="4">
        <v>2.0</v>
      </c>
      <c r="J2" s="4">
        <v>-1.0</v>
      </c>
      <c r="K2" s="4">
        <v>1.0</v>
      </c>
      <c r="L2" s="4">
        <v>-1.0</v>
      </c>
      <c r="M2" s="4" t="s">
        <v>27</v>
      </c>
      <c r="N2" s="5">
        <f>(E2-1)+VLOOKUP(M2,Size,2,0)</f>
        <v>5</v>
      </c>
      <c r="O2" s="5">
        <f>VLOOKUP(E2,LevelData,4)</f>
        <v>4</v>
      </c>
      <c r="P2" s="5">
        <f>O2+VLOOKUP(M2,Size,3,0)</f>
        <v>6</v>
      </c>
      <c r="Q2" s="5">
        <f t="shared" ref="Q2:Q48" si="2">R2</f>
        <v>4</v>
      </c>
      <c r="R2" s="5">
        <f>VLOOKUP(E2,LevelData,2)</f>
        <v>4</v>
      </c>
      <c r="S2" s="5">
        <f t="shared" ref="S2:S48" si="3">R2</f>
        <v>4</v>
      </c>
      <c r="T2" s="4" t="s">
        <v>28</v>
      </c>
      <c r="U2" s="3">
        <v>13.0</v>
      </c>
      <c r="V2" s="6"/>
      <c r="W2" s="3"/>
      <c r="X2" s="4" t="s">
        <v>29</v>
      </c>
      <c r="Y2" s="3" t="s">
        <v>30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3">
        <f t="shared" ref="A3:A48" si="4">A2+1</f>
        <v>2</v>
      </c>
      <c r="B3" s="4"/>
      <c r="C3" s="3">
        <v>2.0</v>
      </c>
      <c r="D3" s="4">
        <f t="shared" ref="D3:D48" si="5">D2+1</f>
        <v>8</v>
      </c>
      <c r="E3" s="3">
        <v>5.0</v>
      </c>
      <c r="F3" s="3">
        <f t="shared" si="1"/>
        <v>3</v>
      </c>
      <c r="G3" s="4">
        <v>1.0</v>
      </c>
      <c r="H3" s="4">
        <v>0.0</v>
      </c>
      <c r="I3" s="4">
        <v>0.0</v>
      </c>
      <c r="J3" s="4">
        <v>0.0</v>
      </c>
      <c r="K3" s="4">
        <v>0.0</v>
      </c>
      <c r="L3" s="4">
        <v>1.0</v>
      </c>
      <c r="M3" s="4" t="s">
        <v>27</v>
      </c>
      <c r="N3" s="5">
        <f>(E3-1)+VLOOKUP(M3,Size,2,0)</f>
        <v>6</v>
      </c>
      <c r="O3" s="5">
        <f>VLOOKUP(E3,LevelData,4)</f>
        <v>5</v>
      </c>
      <c r="P3" s="5">
        <f>O3+VLOOKUP(M3,Size,3,0)</f>
        <v>7</v>
      </c>
      <c r="Q3" s="5">
        <f t="shared" si="2"/>
        <v>4</v>
      </c>
      <c r="R3" s="5">
        <f>VLOOKUP(E3,LevelData,2)</f>
        <v>4</v>
      </c>
      <c r="S3" s="5">
        <f t="shared" si="3"/>
        <v>4</v>
      </c>
      <c r="T3" s="4" t="s">
        <v>28</v>
      </c>
      <c r="U3" s="3">
        <v>13.0</v>
      </c>
      <c r="V3" s="4"/>
      <c r="W3" s="3"/>
      <c r="X3" s="4" t="s">
        <v>31</v>
      </c>
      <c r="Y3" s="3" t="s">
        <v>32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7">
        <f t="shared" si="4"/>
        <v>3</v>
      </c>
      <c r="B4" s="8"/>
      <c r="C4" s="7">
        <v>4.0</v>
      </c>
      <c r="D4" s="8">
        <f t="shared" si="5"/>
        <v>9</v>
      </c>
      <c r="E4" s="7">
        <v>6.0</v>
      </c>
      <c r="F4" s="7">
        <f t="shared" si="1"/>
        <v>3</v>
      </c>
      <c r="G4" s="8">
        <v>0.0</v>
      </c>
      <c r="H4" s="8">
        <v>0.0</v>
      </c>
      <c r="I4" s="8">
        <v>0.0</v>
      </c>
      <c r="J4" s="8">
        <v>0.0</v>
      </c>
      <c r="K4" s="8">
        <v>0.0</v>
      </c>
      <c r="L4" s="8">
        <v>0.0</v>
      </c>
      <c r="M4" s="8" t="s">
        <v>27</v>
      </c>
      <c r="N4" s="9">
        <f>(E4-1)+VLOOKUP(M4,Size,2,0)</f>
        <v>7</v>
      </c>
      <c r="O4" s="9">
        <f>VLOOKUP(E4,LevelData,4)</f>
        <v>6</v>
      </c>
      <c r="P4" s="9">
        <f>O4+VLOOKUP(M4,Size,3,0)</f>
        <v>8</v>
      </c>
      <c r="Q4" s="9">
        <f t="shared" si="2"/>
        <v>5</v>
      </c>
      <c r="R4" s="9">
        <f>VLOOKUP(E4,LevelData,2)</f>
        <v>5</v>
      </c>
      <c r="S4" s="9">
        <f t="shared" si="3"/>
        <v>5</v>
      </c>
      <c r="T4" s="8" t="s">
        <v>33</v>
      </c>
      <c r="U4" s="7">
        <v>13.0</v>
      </c>
      <c r="V4" s="8"/>
      <c r="W4" s="7"/>
      <c r="X4" s="8" t="s">
        <v>34</v>
      </c>
      <c r="Y4" s="7" t="s">
        <v>34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12.75" customHeight="1">
      <c r="A5" s="10">
        <f t="shared" si="4"/>
        <v>4</v>
      </c>
      <c r="B5" s="11" t="s">
        <v>35</v>
      </c>
      <c r="C5" s="10">
        <v>6.0</v>
      </c>
      <c r="D5" s="11">
        <f t="shared" si="5"/>
        <v>10</v>
      </c>
      <c r="E5" s="10">
        <v>7.0</v>
      </c>
      <c r="F5" s="10">
        <f t="shared" si="1"/>
        <v>3</v>
      </c>
      <c r="G5" s="11">
        <v>1.0</v>
      </c>
      <c r="H5" s="11">
        <v>0.0</v>
      </c>
      <c r="I5" s="11">
        <v>0.0</v>
      </c>
      <c r="J5" s="11">
        <v>0.0</v>
      </c>
      <c r="K5" s="11">
        <v>0.0</v>
      </c>
      <c r="L5" s="11">
        <v>1.0</v>
      </c>
      <c r="M5" s="11" t="s">
        <v>36</v>
      </c>
      <c r="N5" s="12">
        <f>(E5-1)+VLOOKUP(M5,Size,2,0)</f>
        <v>7</v>
      </c>
      <c r="O5" s="12">
        <f>VLOOKUP(E5,LevelData,4)</f>
        <v>7</v>
      </c>
      <c r="P5" s="12">
        <f>O5+VLOOKUP(M5,Size,3,0)</f>
        <v>8</v>
      </c>
      <c r="Q5" s="12">
        <f t="shared" si="2"/>
        <v>5</v>
      </c>
      <c r="R5" s="12">
        <f>VLOOKUP(E5,LevelData,2)</f>
        <v>5</v>
      </c>
      <c r="S5" s="12">
        <f t="shared" si="3"/>
        <v>5</v>
      </c>
      <c r="T5" s="11" t="s">
        <v>37</v>
      </c>
      <c r="U5" s="10">
        <v>14.0</v>
      </c>
      <c r="V5" s="11"/>
      <c r="W5" s="10"/>
      <c r="X5" s="11" t="s">
        <v>34</v>
      </c>
      <c r="Y5" s="10" t="s">
        <v>34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ht="12.75" customHeight="1">
      <c r="A6" s="10">
        <f t="shared" si="4"/>
        <v>5</v>
      </c>
      <c r="B6" s="11"/>
      <c r="C6" s="10">
        <v>9.0</v>
      </c>
      <c r="D6" s="11">
        <f t="shared" si="5"/>
        <v>11</v>
      </c>
      <c r="E6" s="10">
        <v>8.0</v>
      </c>
      <c r="F6" s="10">
        <f t="shared" si="1"/>
        <v>3</v>
      </c>
      <c r="G6" s="11">
        <v>0.0</v>
      </c>
      <c r="H6" s="11">
        <v>0.0</v>
      </c>
      <c r="I6" s="11">
        <v>1.0</v>
      </c>
      <c r="J6" s="11">
        <v>1.0</v>
      </c>
      <c r="K6" s="11">
        <v>0.0</v>
      </c>
      <c r="L6" s="11">
        <v>0.0</v>
      </c>
      <c r="M6" s="11" t="s">
        <v>36</v>
      </c>
      <c r="N6" s="12">
        <f>(E6-1)+VLOOKUP(M6,Size,2,0)</f>
        <v>8</v>
      </c>
      <c r="O6" s="12">
        <f>VLOOKUP(E6,LevelData,4)</f>
        <v>8</v>
      </c>
      <c r="P6" s="12">
        <f>O6+VLOOKUP(M6,Size,3,0)</f>
        <v>9</v>
      </c>
      <c r="Q6" s="12">
        <f t="shared" si="2"/>
        <v>6</v>
      </c>
      <c r="R6" s="12">
        <f>VLOOKUP(E6,LevelData,2)</f>
        <v>6</v>
      </c>
      <c r="S6" s="12">
        <f t="shared" si="3"/>
        <v>6</v>
      </c>
      <c r="T6" s="11" t="s">
        <v>37</v>
      </c>
      <c r="U6" s="10">
        <v>15.0</v>
      </c>
      <c r="V6" s="11"/>
      <c r="W6" s="10"/>
      <c r="X6" s="11" t="s">
        <v>34</v>
      </c>
      <c r="Y6" s="10" t="s">
        <v>34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2.75" customHeight="1">
      <c r="A7" s="1">
        <f t="shared" si="4"/>
        <v>6</v>
      </c>
      <c r="B7" s="2"/>
      <c r="C7" s="1">
        <v>12.0</v>
      </c>
      <c r="D7" s="2">
        <f t="shared" si="5"/>
        <v>12</v>
      </c>
      <c r="E7" s="1">
        <v>9.0</v>
      </c>
      <c r="F7" s="1">
        <f t="shared" si="1"/>
        <v>3</v>
      </c>
      <c r="G7" s="2">
        <v>1.0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 t="s">
        <v>36</v>
      </c>
      <c r="N7" s="13">
        <f>(E7-1)+VLOOKUP(M7,Size,2,0)</f>
        <v>9</v>
      </c>
      <c r="O7" s="13">
        <f>VLOOKUP(E7,LevelData,4)</f>
        <v>9</v>
      </c>
      <c r="P7" s="13">
        <f>O7+VLOOKUP(M7,Size,3,0)</f>
        <v>10</v>
      </c>
      <c r="Q7" s="13">
        <f t="shared" si="2"/>
        <v>6</v>
      </c>
      <c r="R7" s="13">
        <f>VLOOKUP(E7,LevelData,2)</f>
        <v>6</v>
      </c>
      <c r="S7" s="13">
        <f t="shared" si="3"/>
        <v>6</v>
      </c>
      <c r="T7" s="2" t="s">
        <v>38</v>
      </c>
      <c r="U7" s="1">
        <v>16.0</v>
      </c>
      <c r="V7" s="2"/>
      <c r="W7" s="1"/>
      <c r="X7" s="2" t="s">
        <v>34</v>
      </c>
      <c r="Y7" s="1" t="s">
        <v>34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ht="12.75" customHeight="1">
      <c r="A8" s="3">
        <f t="shared" si="4"/>
        <v>7</v>
      </c>
      <c r="B8" s="4" t="s">
        <v>39</v>
      </c>
      <c r="C8" s="3">
        <v>16.0</v>
      </c>
      <c r="D8" s="4">
        <f t="shared" si="5"/>
        <v>13</v>
      </c>
      <c r="E8" s="3">
        <v>10.0</v>
      </c>
      <c r="F8" s="3">
        <f t="shared" si="1"/>
        <v>3</v>
      </c>
      <c r="G8" s="4">
        <v>1.0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 t="s">
        <v>40</v>
      </c>
      <c r="N8" s="5">
        <f>(E8-1)+VLOOKUP(M8,Size,2,0)</f>
        <v>9</v>
      </c>
      <c r="O8" s="5">
        <f>VLOOKUP(E8,LevelData,4)</f>
        <v>10</v>
      </c>
      <c r="P8" s="5">
        <f>O8+VLOOKUP(M8,Size,3,0)</f>
        <v>10</v>
      </c>
      <c r="Q8" s="5">
        <f t="shared" si="2"/>
        <v>7</v>
      </c>
      <c r="R8" s="5">
        <f>VLOOKUP(E8,LevelData,2)</f>
        <v>7</v>
      </c>
      <c r="S8" s="5">
        <f t="shared" si="3"/>
        <v>7</v>
      </c>
      <c r="T8" s="4" t="s">
        <v>41</v>
      </c>
      <c r="U8" s="3">
        <v>17.0</v>
      </c>
      <c r="V8" s="4"/>
      <c r="W8" s="3"/>
      <c r="X8" s="4" t="s">
        <v>34</v>
      </c>
      <c r="Y8" s="3" t="s">
        <v>34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12.75" customHeight="1">
      <c r="A9" s="3">
        <f t="shared" si="4"/>
        <v>8</v>
      </c>
      <c r="B9" s="4"/>
      <c r="C9" s="3">
        <v>18.0</v>
      </c>
      <c r="D9" s="4">
        <f t="shared" si="5"/>
        <v>14</v>
      </c>
      <c r="E9" s="3">
        <v>11.0</v>
      </c>
      <c r="F9" s="3">
        <f t="shared" si="1"/>
        <v>3</v>
      </c>
      <c r="G9" s="4">
        <v>0.0</v>
      </c>
      <c r="H9" s="4">
        <v>0.0</v>
      </c>
      <c r="I9" s="4">
        <v>1.0</v>
      </c>
      <c r="J9" s="4">
        <v>1.0</v>
      </c>
      <c r="K9" s="4">
        <v>0.0</v>
      </c>
      <c r="L9" s="4">
        <v>0.0</v>
      </c>
      <c r="M9" s="4" t="s">
        <v>40</v>
      </c>
      <c r="N9" s="5">
        <f>(E9-1)+VLOOKUP(M9,Size,2,0)</f>
        <v>10</v>
      </c>
      <c r="O9" s="5">
        <f>VLOOKUP(E9,LevelData,4)</f>
        <v>11</v>
      </c>
      <c r="P9" s="5">
        <f>O9+VLOOKUP(M9,Size,3,0)</f>
        <v>11</v>
      </c>
      <c r="Q9" s="5">
        <f t="shared" si="2"/>
        <v>7</v>
      </c>
      <c r="R9" s="5">
        <f>VLOOKUP(E9,LevelData,2)</f>
        <v>7</v>
      </c>
      <c r="S9" s="5">
        <f t="shared" si="3"/>
        <v>7</v>
      </c>
      <c r="T9" s="4" t="s">
        <v>42</v>
      </c>
      <c r="U9" s="3">
        <v>17.0</v>
      </c>
      <c r="V9" s="4"/>
      <c r="W9" s="3"/>
      <c r="X9" s="4" t="s">
        <v>34</v>
      </c>
      <c r="Y9" s="3" t="s">
        <v>34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12.75" customHeight="1">
      <c r="A10" s="3">
        <f t="shared" si="4"/>
        <v>9</v>
      </c>
      <c r="B10" s="4"/>
      <c r="C10" s="3">
        <v>21.0</v>
      </c>
      <c r="D10" s="4">
        <f t="shared" si="5"/>
        <v>15</v>
      </c>
      <c r="E10" s="3">
        <v>12.0</v>
      </c>
      <c r="F10" s="3">
        <f t="shared" si="1"/>
        <v>3</v>
      </c>
      <c r="G10" s="4">
        <v>1.0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 t="s">
        <v>40</v>
      </c>
      <c r="N10" s="5">
        <f>(E10-1)+VLOOKUP(M10,Size,2,0)</f>
        <v>11</v>
      </c>
      <c r="O10" s="5">
        <f>VLOOKUP(E10,LevelData,4)</f>
        <v>12</v>
      </c>
      <c r="P10" s="5">
        <f>O10+VLOOKUP(M10,Size,3,0)</f>
        <v>12</v>
      </c>
      <c r="Q10" s="5">
        <f t="shared" si="2"/>
        <v>8</v>
      </c>
      <c r="R10" s="5">
        <f>VLOOKUP(E10,LevelData,2)</f>
        <v>8</v>
      </c>
      <c r="S10" s="5">
        <f t="shared" si="3"/>
        <v>8</v>
      </c>
      <c r="T10" s="4" t="s">
        <v>43</v>
      </c>
      <c r="U10" s="3">
        <v>17.0</v>
      </c>
      <c r="V10" s="4"/>
      <c r="W10" s="3"/>
      <c r="X10" s="4" t="s">
        <v>34</v>
      </c>
      <c r="Y10" s="3" t="s">
        <v>34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7">
        <f t="shared" si="4"/>
        <v>10</v>
      </c>
      <c r="B11" s="8"/>
      <c r="C11" s="7">
        <v>24.0</v>
      </c>
      <c r="D11" s="8">
        <f t="shared" si="5"/>
        <v>16</v>
      </c>
      <c r="E11" s="7">
        <v>12.0</v>
      </c>
      <c r="F11" s="7">
        <f t="shared" si="1"/>
        <v>4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 t="s">
        <v>40</v>
      </c>
      <c r="N11" s="9">
        <f>(E11-1)+VLOOKUP(M11,Size,2,0)</f>
        <v>11</v>
      </c>
      <c r="O11" s="9">
        <f>VLOOKUP(E11,LevelData,4)</f>
        <v>12</v>
      </c>
      <c r="P11" s="9">
        <f>O11+VLOOKUP(M11,Size,3,0)</f>
        <v>12</v>
      </c>
      <c r="Q11" s="9">
        <f t="shared" si="2"/>
        <v>8</v>
      </c>
      <c r="R11" s="9">
        <f>VLOOKUP(E11,LevelData,2)</f>
        <v>8</v>
      </c>
      <c r="S11" s="9">
        <f t="shared" si="3"/>
        <v>8</v>
      </c>
      <c r="T11" s="8" t="s">
        <v>43</v>
      </c>
      <c r="U11" s="7">
        <v>17.0</v>
      </c>
      <c r="V11" s="8"/>
      <c r="W11" s="7"/>
      <c r="X11" s="8" t="s">
        <v>34</v>
      </c>
      <c r="Y11" s="7" t="s">
        <v>34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12.75" customHeight="1">
      <c r="A12" s="10">
        <f t="shared" si="4"/>
        <v>11</v>
      </c>
      <c r="B12" s="11" t="s">
        <v>44</v>
      </c>
      <c r="C12" s="10">
        <v>26.0</v>
      </c>
      <c r="D12" s="11">
        <f t="shared" si="5"/>
        <v>17</v>
      </c>
      <c r="E12" s="10">
        <v>13.0</v>
      </c>
      <c r="F12" s="10">
        <f t="shared" si="1"/>
        <v>4</v>
      </c>
      <c r="G12" s="11">
        <v>1.0</v>
      </c>
      <c r="H12" s="11">
        <v>0.0</v>
      </c>
      <c r="I12" s="11">
        <v>0.0</v>
      </c>
      <c r="J12" s="11">
        <v>0.0</v>
      </c>
      <c r="K12" s="11">
        <v>0.0</v>
      </c>
      <c r="L12" s="11">
        <v>0.0</v>
      </c>
      <c r="M12" s="11" t="s">
        <v>40</v>
      </c>
      <c r="N12" s="12">
        <f>(E12-1)+VLOOKUP(M12,Size,2,0)</f>
        <v>12</v>
      </c>
      <c r="O12" s="12">
        <f>VLOOKUP(E12,LevelData,4)</f>
        <v>13</v>
      </c>
      <c r="P12" s="12">
        <f>O12+VLOOKUP(M12,Size,3,0)</f>
        <v>13</v>
      </c>
      <c r="Q12" s="12">
        <f t="shared" si="2"/>
        <v>8</v>
      </c>
      <c r="R12" s="12">
        <f>VLOOKUP(E12,LevelData,2)</f>
        <v>8</v>
      </c>
      <c r="S12" s="12">
        <f t="shared" si="3"/>
        <v>8</v>
      </c>
      <c r="T12" s="11" t="s">
        <v>45</v>
      </c>
      <c r="U12" s="10">
        <v>18.0</v>
      </c>
      <c r="V12" s="11"/>
      <c r="W12" s="10"/>
      <c r="X12" s="11" t="s">
        <v>46</v>
      </c>
      <c r="Y12" s="10" t="s">
        <v>34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12.75" customHeight="1">
      <c r="A13" s="10">
        <f t="shared" si="4"/>
        <v>12</v>
      </c>
      <c r="B13" s="11"/>
      <c r="C13" s="10">
        <v>32.0</v>
      </c>
      <c r="D13" s="11">
        <f t="shared" si="5"/>
        <v>18</v>
      </c>
      <c r="E13" s="10">
        <v>14.0</v>
      </c>
      <c r="F13" s="10">
        <f t="shared" si="1"/>
        <v>4</v>
      </c>
      <c r="G13" s="11">
        <v>0.0</v>
      </c>
      <c r="H13" s="11">
        <v>0.0</v>
      </c>
      <c r="I13" s="11">
        <v>1.0</v>
      </c>
      <c r="J13" s="11">
        <v>1.0</v>
      </c>
      <c r="K13" s="11">
        <v>0.0</v>
      </c>
      <c r="L13" s="11">
        <v>1.0</v>
      </c>
      <c r="M13" s="11" t="s">
        <v>40</v>
      </c>
      <c r="N13" s="12">
        <f>(E13-1)+VLOOKUP(M13,Size,2,0)</f>
        <v>13</v>
      </c>
      <c r="O13" s="12">
        <f>VLOOKUP(E13,LevelData,4)</f>
        <v>14</v>
      </c>
      <c r="P13" s="12">
        <f>O13+VLOOKUP(M13,Size,3,0)</f>
        <v>14</v>
      </c>
      <c r="Q13" s="12">
        <f t="shared" si="2"/>
        <v>9</v>
      </c>
      <c r="R13" s="12">
        <f>VLOOKUP(E13,LevelData,2)</f>
        <v>9</v>
      </c>
      <c r="S13" s="12">
        <f t="shared" si="3"/>
        <v>9</v>
      </c>
      <c r="T13" s="11" t="s">
        <v>45</v>
      </c>
      <c r="U13" s="10">
        <v>19.0</v>
      </c>
      <c r="V13" s="11"/>
      <c r="W13" s="10"/>
      <c r="X13" s="11" t="s">
        <v>34</v>
      </c>
      <c r="Y13" s="10" t="s">
        <v>34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12.75" customHeight="1">
      <c r="A14" s="10">
        <f t="shared" si="4"/>
        <v>13</v>
      </c>
      <c r="B14" s="11"/>
      <c r="C14" s="10">
        <v>39.0</v>
      </c>
      <c r="D14" s="11">
        <f t="shared" si="5"/>
        <v>19</v>
      </c>
      <c r="E14" s="10">
        <v>15.0</v>
      </c>
      <c r="F14" s="10">
        <f t="shared" si="1"/>
        <v>4</v>
      </c>
      <c r="G14" s="11">
        <v>1.0</v>
      </c>
      <c r="H14" s="11">
        <v>0.0</v>
      </c>
      <c r="I14" s="11">
        <v>0.0</v>
      </c>
      <c r="J14" s="11">
        <v>0.0</v>
      </c>
      <c r="K14" s="11">
        <v>1.0</v>
      </c>
      <c r="L14" s="11">
        <v>0.0</v>
      </c>
      <c r="M14" s="11" t="s">
        <v>40</v>
      </c>
      <c r="N14" s="12">
        <f>(E14-1)+VLOOKUP(M14,Size,2,0)</f>
        <v>14</v>
      </c>
      <c r="O14" s="12">
        <f>VLOOKUP(E14,LevelData,4)</f>
        <v>15</v>
      </c>
      <c r="P14" s="12">
        <f>O14+VLOOKUP(M14,Size,3,0)</f>
        <v>15</v>
      </c>
      <c r="Q14" s="12">
        <f t="shared" si="2"/>
        <v>9</v>
      </c>
      <c r="R14" s="12">
        <f>VLOOKUP(E14,LevelData,2)</f>
        <v>9</v>
      </c>
      <c r="S14" s="12">
        <f t="shared" si="3"/>
        <v>9</v>
      </c>
      <c r="T14" s="11" t="s">
        <v>47</v>
      </c>
      <c r="U14" s="10">
        <v>20.0</v>
      </c>
      <c r="V14" s="11"/>
      <c r="W14" s="10"/>
      <c r="X14" s="11" t="s">
        <v>34</v>
      </c>
      <c r="Y14" s="10" t="s">
        <v>34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2.75" customHeight="1">
      <c r="A15" s="1">
        <f t="shared" si="4"/>
        <v>14</v>
      </c>
      <c r="B15" s="2"/>
      <c r="C15" s="1">
        <v>45.0</v>
      </c>
      <c r="D15" s="2">
        <f t="shared" si="5"/>
        <v>20</v>
      </c>
      <c r="E15" s="1">
        <v>15.0</v>
      </c>
      <c r="F15" s="1">
        <f t="shared" si="1"/>
        <v>5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 t="s">
        <v>40</v>
      </c>
      <c r="N15" s="13">
        <f>(E15-1)+VLOOKUP(M15,Size,2,0)</f>
        <v>14</v>
      </c>
      <c r="O15" s="13">
        <f>VLOOKUP(E15,LevelData,4)</f>
        <v>15</v>
      </c>
      <c r="P15" s="13">
        <f>O15+VLOOKUP(M15,Size,3,0)</f>
        <v>15</v>
      </c>
      <c r="Q15" s="13">
        <f t="shared" si="2"/>
        <v>9</v>
      </c>
      <c r="R15" s="13">
        <f>VLOOKUP(E15,LevelData,2)</f>
        <v>9</v>
      </c>
      <c r="S15" s="13">
        <f t="shared" si="3"/>
        <v>9</v>
      </c>
      <c r="T15" s="2" t="s">
        <v>47</v>
      </c>
      <c r="U15" s="1">
        <v>21.0</v>
      </c>
      <c r="V15" s="2"/>
      <c r="W15" s="1"/>
      <c r="X15" s="2" t="s">
        <v>34</v>
      </c>
      <c r="Y15" s="1" t="s">
        <v>34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ht="12.75" customHeight="1">
      <c r="A16" s="3">
        <f t="shared" si="4"/>
        <v>15</v>
      </c>
      <c r="B16" s="4" t="s">
        <v>48</v>
      </c>
      <c r="C16" s="3">
        <v>51.0</v>
      </c>
      <c r="D16" s="4">
        <f t="shared" si="5"/>
        <v>21</v>
      </c>
      <c r="E16" s="3">
        <v>16.0</v>
      </c>
      <c r="F16" s="3">
        <f t="shared" si="1"/>
        <v>5</v>
      </c>
      <c r="G16" s="4">
        <v>1.0</v>
      </c>
      <c r="H16" s="4">
        <v>0.0</v>
      </c>
      <c r="I16" s="4">
        <v>1.0</v>
      </c>
      <c r="J16" s="4">
        <v>1.0</v>
      </c>
      <c r="K16" s="4">
        <v>1.0</v>
      </c>
      <c r="L16" s="4">
        <v>1.0</v>
      </c>
      <c r="M16" s="4" t="s">
        <v>49</v>
      </c>
      <c r="N16" s="5">
        <f>(E16-1)+VLOOKUP(M16,Size,2,0)</f>
        <v>14</v>
      </c>
      <c r="O16" s="5">
        <f>VLOOKUP(E16,LevelData,4)</f>
        <v>16</v>
      </c>
      <c r="P16" s="5">
        <f>O16+VLOOKUP(M16,Size,3,0)</f>
        <v>15</v>
      </c>
      <c r="Q16" s="5">
        <f t="shared" si="2"/>
        <v>10</v>
      </c>
      <c r="R16" s="5">
        <f>VLOOKUP(E16,LevelData,2)</f>
        <v>10</v>
      </c>
      <c r="S16" s="5">
        <f t="shared" si="3"/>
        <v>10</v>
      </c>
      <c r="T16" s="4" t="s">
        <v>50</v>
      </c>
      <c r="U16" s="3">
        <v>22.0</v>
      </c>
      <c r="V16" s="4">
        <f>INT(10+(E16/2))-VLOOKUP(M16,Size,2,0)</f>
        <v>19</v>
      </c>
      <c r="W16" s="3">
        <f t="shared" ref="W16:W48" si="6">INT((E16/2)+9)</f>
        <v>17</v>
      </c>
      <c r="X16" s="4" t="s">
        <v>51</v>
      </c>
      <c r="Y16" s="3">
        <v>1.0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2.75" customHeight="1">
      <c r="A17" s="3">
        <f t="shared" si="4"/>
        <v>16</v>
      </c>
      <c r="B17" s="4"/>
      <c r="C17" s="3">
        <v>63.0</v>
      </c>
      <c r="D17" s="4">
        <f t="shared" si="5"/>
        <v>22</v>
      </c>
      <c r="E17" s="3">
        <v>17.0</v>
      </c>
      <c r="F17" s="3">
        <f t="shared" si="1"/>
        <v>5</v>
      </c>
      <c r="G17" s="4">
        <v>1.0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 t="s">
        <v>49</v>
      </c>
      <c r="N17" s="5">
        <f>(E17-1)+VLOOKUP(M17,Size,2,0)</f>
        <v>15</v>
      </c>
      <c r="O17" s="5">
        <f>VLOOKUP(E17,LevelData,4)</f>
        <v>17</v>
      </c>
      <c r="P17" s="5">
        <f>O17+VLOOKUP(M17,Size,3,0)</f>
        <v>16</v>
      </c>
      <c r="Q17" s="5">
        <f t="shared" si="2"/>
        <v>10</v>
      </c>
      <c r="R17" s="5">
        <f>VLOOKUP(E17,LevelData,2)</f>
        <v>10</v>
      </c>
      <c r="S17" s="5">
        <f t="shared" si="3"/>
        <v>10</v>
      </c>
      <c r="T17" s="4" t="s">
        <v>50</v>
      </c>
      <c r="U17" s="3">
        <v>22.0</v>
      </c>
      <c r="V17" s="4">
        <f>INT(10+(E17/2))-VLOOKUP(M17,Size,2,0)</f>
        <v>19</v>
      </c>
      <c r="W17" s="3">
        <f t="shared" si="6"/>
        <v>17</v>
      </c>
      <c r="X17" s="4" t="s">
        <v>34</v>
      </c>
      <c r="Y17" s="3">
        <v>1.0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2.75" customHeight="1">
      <c r="A18" s="3">
        <f t="shared" si="4"/>
        <v>17</v>
      </c>
      <c r="B18" s="4"/>
      <c r="C18" s="3">
        <v>75.0</v>
      </c>
      <c r="D18" s="4">
        <f t="shared" si="5"/>
        <v>23</v>
      </c>
      <c r="E18" s="3">
        <v>18.0</v>
      </c>
      <c r="F18" s="3">
        <f t="shared" si="1"/>
        <v>5</v>
      </c>
      <c r="G18" s="4">
        <v>1.0</v>
      </c>
      <c r="H18" s="4">
        <v>0.0</v>
      </c>
      <c r="I18" s="4">
        <v>1.0</v>
      </c>
      <c r="J18" s="4">
        <v>0.0</v>
      </c>
      <c r="K18" s="4">
        <v>0.0</v>
      </c>
      <c r="L18" s="4">
        <v>0.0</v>
      </c>
      <c r="M18" s="4" t="s">
        <v>49</v>
      </c>
      <c r="N18" s="5">
        <f>(E18-1)+VLOOKUP(M18,Size,2,0)</f>
        <v>16</v>
      </c>
      <c r="O18" s="5">
        <f>VLOOKUP(E18,LevelData,4)</f>
        <v>18</v>
      </c>
      <c r="P18" s="5">
        <f>O18+VLOOKUP(M18,Size,3,0)</f>
        <v>17</v>
      </c>
      <c r="Q18" s="5">
        <f t="shared" si="2"/>
        <v>11</v>
      </c>
      <c r="R18" s="5">
        <f>VLOOKUP(E18,LevelData,2)</f>
        <v>11</v>
      </c>
      <c r="S18" s="5">
        <f t="shared" si="3"/>
        <v>11</v>
      </c>
      <c r="T18" s="4" t="s">
        <v>52</v>
      </c>
      <c r="U18" s="3">
        <v>22.0</v>
      </c>
      <c r="V18" s="4">
        <f>INT(10+(E18/2))-VLOOKUP(M18,Size,2,0)</f>
        <v>20</v>
      </c>
      <c r="W18" s="3">
        <f t="shared" si="6"/>
        <v>18</v>
      </c>
      <c r="X18" s="4" t="s">
        <v>34</v>
      </c>
      <c r="Y18" s="3">
        <v>2.0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7">
        <f t="shared" si="4"/>
        <v>18</v>
      </c>
      <c r="B19" s="8"/>
      <c r="C19" s="7">
        <v>87.0</v>
      </c>
      <c r="D19" s="8">
        <f t="shared" si="5"/>
        <v>24</v>
      </c>
      <c r="E19" s="7">
        <v>18.0</v>
      </c>
      <c r="F19" s="7">
        <f t="shared" si="1"/>
        <v>6</v>
      </c>
      <c r="G19" s="8">
        <v>1.0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 t="s">
        <v>49</v>
      </c>
      <c r="N19" s="9">
        <f>(E19-1)+VLOOKUP(M19,Size,2,0)</f>
        <v>16</v>
      </c>
      <c r="O19" s="9">
        <f>VLOOKUP(E19,LevelData,4)</f>
        <v>18</v>
      </c>
      <c r="P19" s="9">
        <f>O19+VLOOKUP(M19,Size,3,0)</f>
        <v>17</v>
      </c>
      <c r="Q19" s="9">
        <f t="shared" si="2"/>
        <v>11</v>
      </c>
      <c r="R19" s="9">
        <f>VLOOKUP(E19,LevelData,2)</f>
        <v>11</v>
      </c>
      <c r="S19" s="9">
        <f t="shared" si="3"/>
        <v>11</v>
      </c>
      <c r="T19" s="8" t="s">
        <v>52</v>
      </c>
      <c r="U19" s="7">
        <v>22.0</v>
      </c>
      <c r="V19" s="8">
        <f>INT(10+(E19/2))-VLOOKUP(M19,Size,2,0)</f>
        <v>20</v>
      </c>
      <c r="W19" s="7">
        <f t="shared" si="6"/>
        <v>18</v>
      </c>
      <c r="X19" s="8" t="s">
        <v>34</v>
      </c>
      <c r="Y19" s="7">
        <v>2.0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ht="12.75" customHeight="1">
      <c r="A20" s="10">
        <f t="shared" si="4"/>
        <v>19</v>
      </c>
      <c r="B20" s="11" t="s">
        <v>53</v>
      </c>
      <c r="C20" s="10">
        <v>101.0</v>
      </c>
      <c r="D20" s="11">
        <f t="shared" si="5"/>
        <v>25</v>
      </c>
      <c r="E20" s="10">
        <v>19.0</v>
      </c>
      <c r="F20" s="10">
        <f t="shared" si="1"/>
        <v>6</v>
      </c>
      <c r="G20" s="11">
        <v>1.0</v>
      </c>
      <c r="H20" s="11">
        <v>0.0</v>
      </c>
      <c r="I20" s="11">
        <v>1.0</v>
      </c>
      <c r="J20" s="11">
        <v>0.0</v>
      </c>
      <c r="K20" s="11">
        <v>0.0</v>
      </c>
      <c r="L20" s="11">
        <v>0.0</v>
      </c>
      <c r="M20" s="11" t="s">
        <v>49</v>
      </c>
      <c r="N20" s="12">
        <f>(E20-1)+VLOOKUP(M20,Size,2,0)</f>
        <v>17</v>
      </c>
      <c r="O20" s="12">
        <f>VLOOKUP(E20,LevelData,4)</f>
        <v>19</v>
      </c>
      <c r="P20" s="12">
        <f>O20+VLOOKUP(M20,Size,3,0)</f>
        <v>18</v>
      </c>
      <c r="Q20" s="12">
        <f t="shared" si="2"/>
        <v>11</v>
      </c>
      <c r="R20" s="12">
        <f>VLOOKUP(E20,LevelData,2)</f>
        <v>11</v>
      </c>
      <c r="S20" s="12">
        <f t="shared" si="3"/>
        <v>11</v>
      </c>
      <c r="T20" s="11" t="s">
        <v>54</v>
      </c>
      <c r="U20" s="10">
        <v>23.0</v>
      </c>
      <c r="V20" s="11">
        <f>INT(10+(E20/2))-VLOOKUP(M20,Size,2,0)</f>
        <v>20</v>
      </c>
      <c r="W20" s="10">
        <f t="shared" si="6"/>
        <v>18</v>
      </c>
      <c r="X20" s="11" t="s">
        <v>55</v>
      </c>
      <c r="Y20" s="10">
        <v>3.0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12.75" customHeight="1">
      <c r="A21" s="10">
        <f t="shared" si="4"/>
        <v>20</v>
      </c>
      <c r="B21" s="11"/>
      <c r="C21" s="10">
        <v>126.0</v>
      </c>
      <c r="D21" s="11">
        <f t="shared" si="5"/>
        <v>26</v>
      </c>
      <c r="E21" s="10">
        <v>20.0</v>
      </c>
      <c r="F21" s="10">
        <f t="shared" si="1"/>
        <v>6</v>
      </c>
      <c r="G21" s="11">
        <v>1.0</v>
      </c>
      <c r="H21" s="11">
        <v>0.0</v>
      </c>
      <c r="I21" s="11">
        <v>0.0</v>
      </c>
      <c r="J21" s="11">
        <v>1.0</v>
      </c>
      <c r="K21" s="11">
        <v>0.0</v>
      </c>
      <c r="L21" s="11">
        <v>0.0</v>
      </c>
      <c r="M21" s="11" t="s">
        <v>49</v>
      </c>
      <c r="N21" s="12">
        <f>(E21-1)+VLOOKUP(M21,Size,2,0)</f>
        <v>18</v>
      </c>
      <c r="O21" s="12">
        <f>VLOOKUP(E21,LevelData,4)</f>
        <v>20</v>
      </c>
      <c r="P21" s="12">
        <f>O21+VLOOKUP(M21,Size,3,0)</f>
        <v>19</v>
      </c>
      <c r="Q21" s="12">
        <f t="shared" si="2"/>
        <v>12</v>
      </c>
      <c r="R21" s="12">
        <f>VLOOKUP(E21,LevelData,2)</f>
        <v>12</v>
      </c>
      <c r="S21" s="12">
        <f t="shared" si="3"/>
        <v>12</v>
      </c>
      <c r="T21" s="11" t="s">
        <v>54</v>
      </c>
      <c r="U21" s="10">
        <v>24.0</v>
      </c>
      <c r="V21" s="11">
        <f>INT(10+(E21/2))-VLOOKUP(M21,Size,2,0)</f>
        <v>21</v>
      </c>
      <c r="W21" s="10">
        <f t="shared" si="6"/>
        <v>19</v>
      </c>
      <c r="X21" s="11" t="s">
        <v>29</v>
      </c>
      <c r="Y21" s="10">
        <v>3.0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12.75" customHeight="1">
      <c r="A22" s="10">
        <f t="shared" si="4"/>
        <v>21</v>
      </c>
      <c r="B22" s="11"/>
      <c r="C22" s="10">
        <v>151.0</v>
      </c>
      <c r="D22" s="11">
        <f t="shared" si="5"/>
        <v>27</v>
      </c>
      <c r="E22" s="10">
        <v>21.0</v>
      </c>
      <c r="F22" s="10">
        <f t="shared" si="1"/>
        <v>6</v>
      </c>
      <c r="G22" s="11">
        <v>1.0</v>
      </c>
      <c r="H22" s="11">
        <v>0.0</v>
      </c>
      <c r="I22" s="11">
        <v>1.0</v>
      </c>
      <c r="J22" s="11">
        <v>0.0</v>
      </c>
      <c r="K22" s="11">
        <v>0.0</v>
      </c>
      <c r="L22" s="11">
        <v>1.0</v>
      </c>
      <c r="M22" s="11" t="s">
        <v>49</v>
      </c>
      <c r="N22" s="12">
        <f>(E22-1)+VLOOKUP(M22,Size,2,0)</f>
        <v>19</v>
      </c>
      <c r="O22" s="12">
        <f>VLOOKUP(E22,LevelData,4)</f>
        <v>21</v>
      </c>
      <c r="P22" s="12">
        <f>O22+VLOOKUP(M22,Size,3,0)</f>
        <v>20</v>
      </c>
      <c r="Q22" s="12">
        <f t="shared" si="2"/>
        <v>12</v>
      </c>
      <c r="R22" s="12">
        <f>VLOOKUP(E22,LevelData,2)</f>
        <v>12</v>
      </c>
      <c r="S22" s="12">
        <f t="shared" si="3"/>
        <v>12</v>
      </c>
      <c r="T22" s="11" t="s">
        <v>56</v>
      </c>
      <c r="U22" s="10">
        <v>24.0</v>
      </c>
      <c r="V22" s="11">
        <f>INT(10+(E22/2))-VLOOKUP(M22,Size,2,0)</f>
        <v>21</v>
      </c>
      <c r="W22" s="10">
        <f t="shared" si="6"/>
        <v>19</v>
      </c>
      <c r="X22" s="11" t="s">
        <v>34</v>
      </c>
      <c r="Y22" s="10">
        <v>4.0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2.75" customHeight="1">
      <c r="A23" s="1">
        <f t="shared" si="4"/>
        <v>22</v>
      </c>
      <c r="B23" s="2"/>
      <c r="C23" s="1">
        <v>176.0</v>
      </c>
      <c r="D23" s="2">
        <f t="shared" si="5"/>
        <v>28</v>
      </c>
      <c r="E23" s="1">
        <v>21.0</v>
      </c>
      <c r="F23" s="1">
        <f t="shared" si="1"/>
        <v>7</v>
      </c>
      <c r="G23" s="2">
        <v>1.0</v>
      </c>
      <c r="H23" s="2">
        <v>0.0</v>
      </c>
      <c r="I23" s="2">
        <v>0.0</v>
      </c>
      <c r="J23" s="2">
        <v>0.0</v>
      </c>
      <c r="K23" s="2">
        <v>1.0</v>
      </c>
      <c r="L23" s="2">
        <v>0.0</v>
      </c>
      <c r="M23" s="2" t="s">
        <v>49</v>
      </c>
      <c r="N23" s="13">
        <f>(E23-1)+VLOOKUP(M23,Size,2,0)</f>
        <v>19</v>
      </c>
      <c r="O23" s="13">
        <f>VLOOKUP(E23,LevelData,4)</f>
        <v>21</v>
      </c>
      <c r="P23" s="13">
        <f>O23+VLOOKUP(M23,Size,3,0)</f>
        <v>20</v>
      </c>
      <c r="Q23" s="13">
        <f t="shared" si="2"/>
        <v>12</v>
      </c>
      <c r="R23" s="13">
        <f>VLOOKUP(E23,LevelData,2)</f>
        <v>12</v>
      </c>
      <c r="S23" s="13">
        <f t="shared" si="3"/>
        <v>12</v>
      </c>
      <c r="T23" s="2" t="s">
        <v>56</v>
      </c>
      <c r="U23" s="1">
        <v>25.0</v>
      </c>
      <c r="V23" s="2">
        <f>INT(10+(E23/2))-VLOOKUP(M23,Size,2,0)</f>
        <v>21</v>
      </c>
      <c r="W23" s="1">
        <f t="shared" si="6"/>
        <v>19</v>
      </c>
      <c r="X23" s="2" t="s">
        <v>34</v>
      </c>
      <c r="Y23" s="1">
        <v>4.0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2.75" customHeight="1">
      <c r="A24" s="3">
        <f t="shared" si="4"/>
        <v>23</v>
      </c>
      <c r="B24" s="4" t="s">
        <v>57</v>
      </c>
      <c r="C24" s="3">
        <v>201.0</v>
      </c>
      <c r="D24" s="4">
        <f t="shared" si="5"/>
        <v>29</v>
      </c>
      <c r="E24" s="3">
        <v>22.0</v>
      </c>
      <c r="F24" s="3">
        <f t="shared" si="1"/>
        <v>7</v>
      </c>
      <c r="G24" s="4">
        <v>1.0</v>
      </c>
      <c r="H24" s="4">
        <v>0.0</v>
      </c>
      <c r="I24" s="4">
        <v>1.0</v>
      </c>
      <c r="J24" s="4">
        <v>1.0</v>
      </c>
      <c r="K24" s="4">
        <v>1.0</v>
      </c>
      <c r="L24" s="4">
        <v>1.0</v>
      </c>
      <c r="M24" s="4" t="s">
        <v>58</v>
      </c>
      <c r="N24" s="5">
        <f>(E24-1)+VLOOKUP(M24,Size,2,0)</f>
        <v>19</v>
      </c>
      <c r="O24" s="5">
        <f>VLOOKUP(E24,LevelData,4)</f>
        <v>22</v>
      </c>
      <c r="P24" s="5">
        <f>O24+VLOOKUP(M24,Size,3,0)</f>
        <v>20</v>
      </c>
      <c r="Q24" s="5">
        <f t="shared" si="2"/>
        <v>13</v>
      </c>
      <c r="R24" s="5">
        <f>VLOOKUP(E24,LevelData,2)</f>
        <v>13</v>
      </c>
      <c r="S24" s="5">
        <f t="shared" si="3"/>
        <v>13</v>
      </c>
      <c r="T24" s="4" t="s">
        <v>59</v>
      </c>
      <c r="U24" s="3">
        <v>26.0</v>
      </c>
      <c r="V24" s="4">
        <f>INT(10+(E24/2))-VLOOKUP(M24,Size,2,0)</f>
        <v>23</v>
      </c>
      <c r="W24" s="3">
        <f t="shared" si="6"/>
        <v>20</v>
      </c>
      <c r="X24" s="4" t="s">
        <v>60</v>
      </c>
      <c r="Y24" s="3">
        <v>5.0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12.75" customHeight="1">
      <c r="A25" s="3">
        <f t="shared" si="4"/>
        <v>24</v>
      </c>
      <c r="B25" s="4"/>
      <c r="C25" s="3">
        <v>251.0</v>
      </c>
      <c r="D25" s="4">
        <f t="shared" si="5"/>
        <v>30</v>
      </c>
      <c r="E25" s="3">
        <v>23.0</v>
      </c>
      <c r="F25" s="3">
        <f t="shared" si="1"/>
        <v>7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 t="s">
        <v>58</v>
      </c>
      <c r="N25" s="5">
        <f>(E25-1)+VLOOKUP(M25,Size,2,0)</f>
        <v>20</v>
      </c>
      <c r="O25" s="5">
        <f>VLOOKUP(E25,LevelData,4)</f>
        <v>23</v>
      </c>
      <c r="P25" s="5">
        <f>O25+VLOOKUP(M25,Size,3,0)</f>
        <v>21</v>
      </c>
      <c r="Q25" s="5">
        <f t="shared" si="2"/>
        <v>13</v>
      </c>
      <c r="R25" s="5">
        <f>VLOOKUP(E25,LevelData,2)</f>
        <v>13</v>
      </c>
      <c r="S25" s="5">
        <f t="shared" si="3"/>
        <v>13</v>
      </c>
      <c r="T25" s="4" t="s">
        <v>59</v>
      </c>
      <c r="U25" s="3">
        <v>26.0</v>
      </c>
      <c r="V25" s="4">
        <f>INT(10+(E25/2))-VLOOKUP(M25,Size,2,0)</f>
        <v>23</v>
      </c>
      <c r="W25" s="3">
        <f t="shared" si="6"/>
        <v>20</v>
      </c>
      <c r="X25" s="4" t="s">
        <v>34</v>
      </c>
      <c r="Y25" s="3">
        <v>5.0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2.75" customHeight="1">
      <c r="A26" s="3">
        <f t="shared" si="4"/>
        <v>25</v>
      </c>
      <c r="B26" s="4"/>
      <c r="C26" s="3">
        <v>301.0</v>
      </c>
      <c r="D26" s="4">
        <f t="shared" si="5"/>
        <v>31</v>
      </c>
      <c r="E26" s="3">
        <v>24.0</v>
      </c>
      <c r="F26" s="3">
        <f t="shared" si="1"/>
        <v>7</v>
      </c>
      <c r="G26" s="4">
        <v>1.0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 t="s">
        <v>58</v>
      </c>
      <c r="N26" s="5">
        <f>(E26-1)+VLOOKUP(M26,Size,2,0)</f>
        <v>21</v>
      </c>
      <c r="O26" s="5">
        <f>VLOOKUP(E26,LevelData,4)</f>
        <v>24</v>
      </c>
      <c r="P26" s="5">
        <f>O26+VLOOKUP(M26,Size,3,0)</f>
        <v>22</v>
      </c>
      <c r="Q26" s="5">
        <f t="shared" si="2"/>
        <v>14</v>
      </c>
      <c r="R26" s="5">
        <f>VLOOKUP(E26,LevelData,2)</f>
        <v>14</v>
      </c>
      <c r="S26" s="5">
        <f t="shared" si="3"/>
        <v>14</v>
      </c>
      <c r="T26" s="4" t="s">
        <v>61</v>
      </c>
      <c r="U26" s="3">
        <v>26.0</v>
      </c>
      <c r="V26" s="4">
        <f>INT(10+(E26/2))-VLOOKUP(M26,Size,2,0)</f>
        <v>24</v>
      </c>
      <c r="W26" s="3">
        <f t="shared" si="6"/>
        <v>21</v>
      </c>
      <c r="X26" s="4" t="s">
        <v>34</v>
      </c>
      <c r="Y26" s="3">
        <v>6.0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7">
        <f t="shared" si="4"/>
        <v>26</v>
      </c>
      <c r="B27" s="8"/>
      <c r="C27" s="7">
        <v>351.0</v>
      </c>
      <c r="D27" s="8">
        <f t="shared" si="5"/>
        <v>32</v>
      </c>
      <c r="E27" s="7">
        <v>24.0</v>
      </c>
      <c r="F27" s="7">
        <f t="shared" si="1"/>
        <v>8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 t="s">
        <v>58</v>
      </c>
      <c r="N27" s="9">
        <f>(E27-1)+VLOOKUP(M27,Size,2,0)</f>
        <v>21</v>
      </c>
      <c r="O27" s="9">
        <f>VLOOKUP(E27,LevelData,4)</f>
        <v>24</v>
      </c>
      <c r="P27" s="9">
        <f>O27+VLOOKUP(M27,Size,3,0)</f>
        <v>22</v>
      </c>
      <c r="Q27" s="9">
        <f t="shared" si="2"/>
        <v>14</v>
      </c>
      <c r="R27" s="9">
        <f>VLOOKUP(E27,LevelData,2)</f>
        <v>14</v>
      </c>
      <c r="S27" s="9">
        <f t="shared" si="3"/>
        <v>14</v>
      </c>
      <c r="T27" s="8" t="s">
        <v>61</v>
      </c>
      <c r="U27" s="7">
        <v>26.0</v>
      </c>
      <c r="V27" s="8">
        <f>INT(10+(E27/2))-VLOOKUP(M27,Size,2,0)</f>
        <v>24</v>
      </c>
      <c r="W27" s="7">
        <f t="shared" si="6"/>
        <v>21</v>
      </c>
      <c r="X27" s="8" t="s">
        <v>34</v>
      </c>
      <c r="Y27" s="7">
        <v>6.0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ht="12.75" customHeight="1">
      <c r="A28" s="10">
        <f t="shared" si="4"/>
        <v>27</v>
      </c>
      <c r="B28" s="11" t="s">
        <v>62</v>
      </c>
      <c r="C28" s="10">
        <v>401.0</v>
      </c>
      <c r="D28" s="11">
        <f t="shared" si="5"/>
        <v>33</v>
      </c>
      <c r="E28" s="10">
        <v>25.0</v>
      </c>
      <c r="F28" s="10">
        <f t="shared" si="1"/>
        <v>8</v>
      </c>
      <c r="G28" s="11">
        <v>1.0</v>
      </c>
      <c r="H28" s="11">
        <v>0.0</v>
      </c>
      <c r="I28" s="11">
        <v>0.0</v>
      </c>
      <c r="J28" s="11">
        <v>0.0</v>
      </c>
      <c r="K28" s="11">
        <v>0.0</v>
      </c>
      <c r="L28" s="11">
        <v>0.0</v>
      </c>
      <c r="M28" s="11" t="s">
        <v>58</v>
      </c>
      <c r="N28" s="12">
        <f>(E28-1)+VLOOKUP(M28,Size,2,0)</f>
        <v>22</v>
      </c>
      <c r="O28" s="12">
        <f>VLOOKUP(E28,LevelData,4)</f>
        <v>25</v>
      </c>
      <c r="P28" s="12">
        <f>O28+VLOOKUP(M28,Size,3,0)</f>
        <v>23</v>
      </c>
      <c r="Q28" s="12">
        <f t="shared" si="2"/>
        <v>14</v>
      </c>
      <c r="R28" s="12">
        <f>VLOOKUP(E28,LevelData,2)</f>
        <v>14</v>
      </c>
      <c r="S28" s="12">
        <f t="shared" si="3"/>
        <v>14</v>
      </c>
      <c r="T28" s="11" t="s">
        <v>63</v>
      </c>
      <c r="U28" s="10">
        <v>25.0</v>
      </c>
      <c r="V28" s="11">
        <f>INT(10+(E28/2))-VLOOKUP(M28,Size,2,0)</f>
        <v>24</v>
      </c>
      <c r="W28" s="10">
        <f t="shared" si="6"/>
        <v>21</v>
      </c>
      <c r="X28" s="11" t="s">
        <v>64</v>
      </c>
      <c r="Y28" s="10">
        <v>7.0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12.75" customHeight="1">
      <c r="A29" s="10">
        <f t="shared" si="4"/>
        <v>28</v>
      </c>
      <c r="B29" s="11"/>
      <c r="C29" s="10">
        <v>451.0</v>
      </c>
      <c r="D29" s="11">
        <f t="shared" si="5"/>
        <v>34</v>
      </c>
      <c r="E29" s="10">
        <v>26.0</v>
      </c>
      <c r="F29" s="10">
        <f t="shared" si="1"/>
        <v>8</v>
      </c>
      <c r="G29" s="11">
        <v>0.0</v>
      </c>
      <c r="H29" s="11">
        <v>0.0</v>
      </c>
      <c r="I29" s="11">
        <v>1.0</v>
      </c>
      <c r="J29" s="11">
        <v>0.0</v>
      </c>
      <c r="K29" s="11">
        <v>0.0</v>
      </c>
      <c r="L29" s="11">
        <v>1.0</v>
      </c>
      <c r="M29" s="11" t="s">
        <v>58</v>
      </c>
      <c r="N29" s="12">
        <f>(E29-1)+VLOOKUP(M29,Size,2,0)</f>
        <v>23</v>
      </c>
      <c r="O29" s="12">
        <f>VLOOKUP(E29,LevelData,4)</f>
        <v>26</v>
      </c>
      <c r="P29" s="12">
        <f>O29+VLOOKUP(M29,Size,3,0)</f>
        <v>24</v>
      </c>
      <c r="Q29" s="12">
        <f t="shared" si="2"/>
        <v>15</v>
      </c>
      <c r="R29" s="12">
        <f>VLOOKUP(E29,LevelData,2)</f>
        <v>15</v>
      </c>
      <c r="S29" s="12">
        <f t="shared" si="3"/>
        <v>15</v>
      </c>
      <c r="T29" s="11" t="s">
        <v>63</v>
      </c>
      <c r="U29" s="10">
        <v>28.0</v>
      </c>
      <c r="V29" s="11">
        <f>INT(10+(E29/2))-VLOOKUP(M29,Size,2,0)</f>
        <v>25</v>
      </c>
      <c r="W29" s="10">
        <f t="shared" si="6"/>
        <v>22</v>
      </c>
      <c r="X29" s="11" t="s">
        <v>65</v>
      </c>
      <c r="Y29" s="10">
        <v>7.0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12.75" customHeight="1">
      <c r="A30" s="10">
        <f t="shared" si="4"/>
        <v>29</v>
      </c>
      <c r="B30" s="11"/>
      <c r="C30" s="10">
        <v>501.0</v>
      </c>
      <c r="D30" s="11">
        <f t="shared" si="5"/>
        <v>35</v>
      </c>
      <c r="E30" s="10">
        <v>27.0</v>
      </c>
      <c r="F30" s="10">
        <f t="shared" si="1"/>
        <v>8</v>
      </c>
      <c r="G30" s="11">
        <v>1.0</v>
      </c>
      <c r="H30" s="11">
        <v>0.0</v>
      </c>
      <c r="I30" s="11">
        <v>0.0</v>
      </c>
      <c r="J30" s="11">
        <v>1.0</v>
      </c>
      <c r="K30" s="11">
        <v>0.0</v>
      </c>
      <c r="L30" s="11">
        <v>0.0</v>
      </c>
      <c r="M30" s="11" t="s">
        <v>58</v>
      </c>
      <c r="N30" s="12">
        <f>(E30-1)+VLOOKUP(M30,Size,2,0)</f>
        <v>24</v>
      </c>
      <c r="O30" s="12">
        <f>VLOOKUP(E30,LevelData,4)</f>
        <v>27</v>
      </c>
      <c r="P30" s="12">
        <f>O30+VLOOKUP(M30,Size,3,0)</f>
        <v>25</v>
      </c>
      <c r="Q30" s="12">
        <f t="shared" si="2"/>
        <v>15</v>
      </c>
      <c r="R30" s="12">
        <f>VLOOKUP(E30,LevelData,2)</f>
        <v>15</v>
      </c>
      <c r="S30" s="12">
        <f t="shared" si="3"/>
        <v>15</v>
      </c>
      <c r="T30" s="11" t="s">
        <v>66</v>
      </c>
      <c r="U30" s="10">
        <v>28.0</v>
      </c>
      <c r="V30" s="11">
        <f>INT(10+(E30/2))-VLOOKUP(M30,Size,2,0)</f>
        <v>25</v>
      </c>
      <c r="W30" s="10">
        <f t="shared" si="6"/>
        <v>22</v>
      </c>
      <c r="X30" s="11" t="s">
        <v>34</v>
      </c>
      <c r="Y30" s="10">
        <v>8.0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2.75" customHeight="1">
      <c r="A31" s="1">
        <f t="shared" si="4"/>
        <v>30</v>
      </c>
      <c r="B31" s="2"/>
      <c r="C31" s="1">
        <v>551.0</v>
      </c>
      <c r="D31" s="2">
        <f t="shared" si="5"/>
        <v>36</v>
      </c>
      <c r="E31" s="1">
        <v>27.0</v>
      </c>
      <c r="F31" s="1">
        <f t="shared" si="1"/>
        <v>9</v>
      </c>
      <c r="G31" s="2">
        <v>0.0</v>
      </c>
      <c r="H31" s="2">
        <v>0.0</v>
      </c>
      <c r="I31" s="2">
        <v>0.0</v>
      </c>
      <c r="J31" s="2">
        <v>0.0</v>
      </c>
      <c r="K31" s="2">
        <v>1.0</v>
      </c>
      <c r="L31" s="2">
        <v>0.0</v>
      </c>
      <c r="M31" s="2" t="s">
        <v>58</v>
      </c>
      <c r="N31" s="13">
        <f>(E31-1)+VLOOKUP(M31,Size,2,0)</f>
        <v>24</v>
      </c>
      <c r="O31" s="13">
        <f>VLOOKUP(E31,LevelData,4)</f>
        <v>27</v>
      </c>
      <c r="P31" s="13">
        <f>O31+VLOOKUP(M31,Size,3,0)</f>
        <v>25</v>
      </c>
      <c r="Q31" s="13">
        <f t="shared" si="2"/>
        <v>15</v>
      </c>
      <c r="R31" s="13">
        <f>VLOOKUP(E31,LevelData,2)</f>
        <v>15</v>
      </c>
      <c r="S31" s="13">
        <f t="shared" si="3"/>
        <v>15</v>
      </c>
      <c r="T31" s="2" t="s">
        <v>66</v>
      </c>
      <c r="U31" s="1">
        <v>29.0</v>
      </c>
      <c r="V31" s="2">
        <f>INT(10+(E31/2))-VLOOKUP(M31,Size,2,0)</f>
        <v>25</v>
      </c>
      <c r="W31" s="1">
        <f t="shared" si="6"/>
        <v>22</v>
      </c>
      <c r="X31" s="2" t="s">
        <v>34</v>
      </c>
      <c r="Y31" s="1">
        <v>8.0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2.75" customHeight="1">
      <c r="A32" s="3">
        <f t="shared" si="4"/>
        <v>31</v>
      </c>
      <c r="B32" s="4" t="s">
        <v>67</v>
      </c>
      <c r="C32" s="3">
        <v>601.0</v>
      </c>
      <c r="D32" s="4">
        <f t="shared" si="5"/>
        <v>37</v>
      </c>
      <c r="E32" s="3">
        <v>28.0</v>
      </c>
      <c r="F32" s="3">
        <f t="shared" si="1"/>
        <v>9</v>
      </c>
      <c r="G32" s="4">
        <v>1.0</v>
      </c>
      <c r="H32" s="4">
        <v>0.0</v>
      </c>
      <c r="I32" s="4">
        <v>1.0</v>
      </c>
      <c r="J32" s="4">
        <v>1.0</v>
      </c>
      <c r="K32" s="4">
        <v>1.0</v>
      </c>
      <c r="L32" s="4">
        <v>1.0</v>
      </c>
      <c r="M32" s="4" t="s">
        <v>58</v>
      </c>
      <c r="N32" s="5">
        <f>(E32-1)+VLOOKUP(M32,Size,2,0)</f>
        <v>25</v>
      </c>
      <c r="O32" s="5">
        <f>VLOOKUP(E32,LevelData,4)</f>
        <v>28</v>
      </c>
      <c r="P32" s="5">
        <f>O32+VLOOKUP(M32,Size,3,0)</f>
        <v>26</v>
      </c>
      <c r="Q32" s="5">
        <f t="shared" si="2"/>
        <v>16</v>
      </c>
      <c r="R32" s="5">
        <f>VLOOKUP(E32,LevelData,2)</f>
        <v>16</v>
      </c>
      <c r="S32" s="5">
        <f t="shared" si="3"/>
        <v>16</v>
      </c>
      <c r="T32" s="4" t="s">
        <v>68</v>
      </c>
      <c r="U32" s="3">
        <v>30.0</v>
      </c>
      <c r="V32" s="4">
        <f>INT(10+(E32/2))-VLOOKUP(M32,Size,2,0)</f>
        <v>26</v>
      </c>
      <c r="W32" s="3">
        <f t="shared" si="6"/>
        <v>23</v>
      </c>
      <c r="X32" s="4" t="s">
        <v>69</v>
      </c>
      <c r="Y32" s="3">
        <v>9.0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12.75" customHeight="1">
      <c r="A33" s="3">
        <f t="shared" si="4"/>
        <v>32</v>
      </c>
      <c r="B33" s="4"/>
      <c r="C33" s="3">
        <v>651.0</v>
      </c>
      <c r="D33" s="4">
        <f t="shared" si="5"/>
        <v>38</v>
      </c>
      <c r="E33" s="3">
        <v>29.0</v>
      </c>
      <c r="F33" s="3">
        <f t="shared" si="1"/>
        <v>9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 t="s">
        <v>58</v>
      </c>
      <c r="N33" s="5">
        <f>(E33-1)+VLOOKUP(M33,Size,2,0)</f>
        <v>26</v>
      </c>
      <c r="O33" s="5">
        <f>VLOOKUP(E33,LevelData,4)</f>
        <v>29</v>
      </c>
      <c r="P33" s="5">
        <f>O33+VLOOKUP(M33,Size,3,0)</f>
        <v>27</v>
      </c>
      <c r="Q33" s="5">
        <f t="shared" si="2"/>
        <v>16</v>
      </c>
      <c r="R33" s="5">
        <f>VLOOKUP(E33,LevelData,2)</f>
        <v>16</v>
      </c>
      <c r="S33" s="5">
        <f t="shared" si="3"/>
        <v>16</v>
      </c>
      <c r="T33" s="4" t="s">
        <v>68</v>
      </c>
      <c r="U33" s="3">
        <v>30.0</v>
      </c>
      <c r="V33" s="4">
        <f>INT(10+(E33/2))-VLOOKUP(M33,Size,2,0)</f>
        <v>26</v>
      </c>
      <c r="W33" s="3">
        <f t="shared" si="6"/>
        <v>23</v>
      </c>
      <c r="X33" s="4" t="s">
        <v>34</v>
      </c>
      <c r="Y33" s="3">
        <v>9.0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2.75" customHeight="1">
      <c r="A34" s="3">
        <f t="shared" si="4"/>
        <v>33</v>
      </c>
      <c r="B34" s="4"/>
      <c r="C34" s="3">
        <v>701.0</v>
      </c>
      <c r="D34" s="4">
        <f t="shared" si="5"/>
        <v>39</v>
      </c>
      <c r="E34" s="3">
        <v>30.0</v>
      </c>
      <c r="F34" s="3">
        <f t="shared" si="1"/>
        <v>9</v>
      </c>
      <c r="G34" s="4">
        <v>1.0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 t="s">
        <v>58</v>
      </c>
      <c r="N34" s="5">
        <f>(E34-1)+VLOOKUP(M34,Size,2,0)</f>
        <v>27</v>
      </c>
      <c r="O34" s="5">
        <f>VLOOKUP(E34,LevelData,4)</f>
        <v>30</v>
      </c>
      <c r="P34" s="5">
        <f>O34+VLOOKUP(M34,Size,3,0)</f>
        <v>28</v>
      </c>
      <c r="Q34" s="5">
        <f t="shared" si="2"/>
        <v>17</v>
      </c>
      <c r="R34" s="5">
        <f>VLOOKUP(E34,LevelData,2)</f>
        <v>17</v>
      </c>
      <c r="S34" s="5">
        <f t="shared" si="3"/>
        <v>17</v>
      </c>
      <c r="T34" s="4" t="s">
        <v>70</v>
      </c>
      <c r="U34" s="3">
        <v>30.0</v>
      </c>
      <c r="V34" s="4">
        <f>INT(10+(E34/2))-VLOOKUP(M34,Size,2,0)</f>
        <v>27</v>
      </c>
      <c r="W34" s="3">
        <f t="shared" si="6"/>
        <v>24</v>
      </c>
      <c r="X34" s="4" t="s">
        <v>34</v>
      </c>
      <c r="Y34" s="3">
        <v>10.0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7">
        <f t="shared" si="4"/>
        <v>34</v>
      </c>
      <c r="B35" s="8"/>
      <c r="C35" s="7">
        <v>751.0</v>
      </c>
      <c r="D35" s="8">
        <f t="shared" si="5"/>
        <v>40</v>
      </c>
      <c r="E35" s="7">
        <v>30.0</v>
      </c>
      <c r="F35" s="7">
        <f t="shared" si="1"/>
        <v>10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  <c r="L35" s="8">
        <v>1.0</v>
      </c>
      <c r="M35" s="8" t="s">
        <v>58</v>
      </c>
      <c r="N35" s="9">
        <f>(E35-1)+VLOOKUP(M35,Size,2,0)</f>
        <v>27</v>
      </c>
      <c r="O35" s="9">
        <f>VLOOKUP(E35,LevelData,4)</f>
        <v>30</v>
      </c>
      <c r="P35" s="9">
        <f>O35+VLOOKUP(M35,Size,3,0)</f>
        <v>28</v>
      </c>
      <c r="Q35" s="9">
        <f t="shared" si="2"/>
        <v>17</v>
      </c>
      <c r="R35" s="9">
        <f>VLOOKUP(E35,LevelData,2)</f>
        <v>17</v>
      </c>
      <c r="S35" s="9">
        <f t="shared" si="3"/>
        <v>17</v>
      </c>
      <c r="T35" s="8" t="s">
        <v>70</v>
      </c>
      <c r="U35" s="7">
        <v>30.0</v>
      </c>
      <c r="V35" s="8">
        <f>INT(10+(E35/2))-VLOOKUP(M35,Size,2,0)</f>
        <v>27</v>
      </c>
      <c r="W35" s="7">
        <f t="shared" si="6"/>
        <v>24</v>
      </c>
      <c r="X35" s="8" t="s">
        <v>34</v>
      </c>
      <c r="Y35" s="7">
        <v>10.0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12.75" customHeight="1">
      <c r="A36" s="10">
        <f t="shared" si="4"/>
        <v>35</v>
      </c>
      <c r="B36" s="11" t="s">
        <v>71</v>
      </c>
      <c r="C36" s="10">
        <v>801.0</v>
      </c>
      <c r="D36" s="11">
        <f t="shared" si="5"/>
        <v>41</v>
      </c>
      <c r="E36" s="10">
        <v>31.0</v>
      </c>
      <c r="F36" s="10">
        <f t="shared" si="1"/>
        <v>10</v>
      </c>
      <c r="G36" s="11">
        <v>1.0</v>
      </c>
      <c r="H36" s="11">
        <v>0.0</v>
      </c>
      <c r="I36" s="11">
        <v>0.0</v>
      </c>
      <c r="J36" s="11">
        <v>0.0</v>
      </c>
      <c r="K36" s="11">
        <v>0.0</v>
      </c>
      <c r="L36" s="11">
        <v>0.0</v>
      </c>
      <c r="M36" s="11" t="s">
        <v>58</v>
      </c>
      <c r="N36" s="12">
        <f>(E36-1)+VLOOKUP(M36,Size,2,0)</f>
        <v>28</v>
      </c>
      <c r="O36" s="12">
        <f>VLOOKUP(E36,LevelData,4)</f>
        <v>31</v>
      </c>
      <c r="P36" s="12">
        <f>O36+VLOOKUP(M36,Size,3,0)</f>
        <v>29</v>
      </c>
      <c r="Q36" s="12">
        <f t="shared" si="2"/>
        <v>17</v>
      </c>
      <c r="R36" s="12">
        <f>VLOOKUP(E36,LevelData,2)</f>
        <v>17</v>
      </c>
      <c r="S36" s="12">
        <f t="shared" si="3"/>
        <v>17</v>
      </c>
      <c r="T36" s="11" t="s">
        <v>72</v>
      </c>
      <c r="U36" s="10">
        <v>31.0</v>
      </c>
      <c r="V36" s="11">
        <f>INT(10+(E36/2))-VLOOKUP(M36,Size,2,0)</f>
        <v>27</v>
      </c>
      <c r="W36" s="10">
        <f t="shared" si="6"/>
        <v>24</v>
      </c>
      <c r="X36" s="11" t="s">
        <v>73</v>
      </c>
      <c r="Y36" s="10">
        <v>11.0</v>
      </c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12.75" customHeight="1">
      <c r="A37" s="10">
        <f t="shared" si="4"/>
        <v>36</v>
      </c>
      <c r="B37" s="11"/>
      <c r="C37" s="10">
        <v>851.0</v>
      </c>
      <c r="D37" s="11">
        <f t="shared" si="5"/>
        <v>42</v>
      </c>
      <c r="E37" s="10">
        <v>32.0</v>
      </c>
      <c r="F37" s="10">
        <f t="shared" si="1"/>
        <v>10</v>
      </c>
      <c r="G37" s="11">
        <v>0.0</v>
      </c>
      <c r="H37" s="11">
        <v>0.0</v>
      </c>
      <c r="I37" s="11">
        <v>1.0</v>
      </c>
      <c r="J37" s="11">
        <v>0.0</v>
      </c>
      <c r="K37" s="11">
        <v>0.0</v>
      </c>
      <c r="L37" s="11">
        <v>1.0</v>
      </c>
      <c r="M37" s="11" t="s">
        <v>58</v>
      </c>
      <c r="N37" s="12">
        <f>(E37-1)+VLOOKUP(M37,Size,2,0)</f>
        <v>29</v>
      </c>
      <c r="O37" s="12">
        <f>VLOOKUP(E37,LevelData,4)</f>
        <v>32</v>
      </c>
      <c r="P37" s="12">
        <f>O37+VLOOKUP(M37,Size,3,0)</f>
        <v>30</v>
      </c>
      <c r="Q37" s="12">
        <f t="shared" si="2"/>
        <v>18</v>
      </c>
      <c r="R37" s="12">
        <f>VLOOKUP(E37,LevelData,2)</f>
        <v>18</v>
      </c>
      <c r="S37" s="12">
        <f t="shared" si="3"/>
        <v>18</v>
      </c>
      <c r="T37" s="11" t="s">
        <v>72</v>
      </c>
      <c r="U37" s="10">
        <v>32.0</v>
      </c>
      <c r="V37" s="11">
        <f>INT(10+(E37/2))-VLOOKUP(M37,Size,2,0)</f>
        <v>28</v>
      </c>
      <c r="W37" s="10">
        <f t="shared" si="6"/>
        <v>25</v>
      </c>
      <c r="X37" s="11" t="s">
        <v>74</v>
      </c>
      <c r="Y37" s="10">
        <v>11.0</v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12.75" customHeight="1">
      <c r="A38" s="10">
        <f t="shared" si="4"/>
        <v>37</v>
      </c>
      <c r="B38" s="11"/>
      <c r="C38" s="10">
        <v>901.0</v>
      </c>
      <c r="D38" s="11">
        <f t="shared" si="5"/>
        <v>43</v>
      </c>
      <c r="E38" s="10">
        <v>33.0</v>
      </c>
      <c r="F38" s="10">
        <f t="shared" si="1"/>
        <v>10</v>
      </c>
      <c r="G38" s="11">
        <v>1.0</v>
      </c>
      <c r="H38" s="11">
        <v>0.0</v>
      </c>
      <c r="I38" s="11">
        <v>0.0</v>
      </c>
      <c r="J38" s="11">
        <v>0.0</v>
      </c>
      <c r="K38" s="11">
        <v>1.0</v>
      </c>
      <c r="L38" s="11">
        <v>0.0</v>
      </c>
      <c r="M38" s="11" t="s">
        <v>58</v>
      </c>
      <c r="N38" s="12">
        <f>(E38-1)+VLOOKUP(M38,Size,2,0)</f>
        <v>30</v>
      </c>
      <c r="O38" s="12">
        <f>VLOOKUP(E38,LevelData,4)</f>
        <v>33</v>
      </c>
      <c r="P38" s="12">
        <f>O38+VLOOKUP(M38,Size,3,0)</f>
        <v>31</v>
      </c>
      <c r="Q38" s="12">
        <f t="shared" si="2"/>
        <v>18</v>
      </c>
      <c r="R38" s="12">
        <f>VLOOKUP(E38,LevelData,2)</f>
        <v>18</v>
      </c>
      <c r="S38" s="12">
        <f t="shared" si="3"/>
        <v>18</v>
      </c>
      <c r="T38" s="11" t="s">
        <v>75</v>
      </c>
      <c r="U38" s="10">
        <v>32.0</v>
      </c>
      <c r="V38" s="11">
        <f>INT(10+(E38/2))-VLOOKUP(M38,Size,2,0)</f>
        <v>28</v>
      </c>
      <c r="W38" s="10">
        <f t="shared" si="6"/>
        <v>25</v>
      </c>
      <c r="X38" s="11" t="s">
        <v>34</v>
      </c>
      <c r="Y38" s="10">
        <v>12.0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2.75" customHeight="1">
      <c r="A39" s="1">
        <f t="shared" si="4"/>
        <v>38</v>
      </c>
      <c r="B39" s="2"/>
      <c r="C39" s="1">
        <v>851.0</v>
      </c>
      <c r="D39" s="2">
        <f t="shared" si="5"/>
        <v>44</v>
      </c>
      <c r="E39" s="1">
        <v>33.0</v>
      </c>
      <c r="F39" s="1">
        <f t="shared" si="1"/>
        <v>11</v>
      </c>
      <c r="G39" s="2">
        <v>0.0</v>
      </c>
      <c r="H39" s="2">
        <v>0.0</v>
      </c>
      <c r="I39" s="2">
        <v>0.0</v>
      </c>
      <c r="J39" s="2">
        <v>1.0</v>
      </c>
      <c r="K39" s="2">
        <v>0.0</v>
      </c>
      <c r="L39" s="2">
        <v>0.0</v>
      </c>
      <c r="M39" s="2" t="s">
        <v>58</v>
      </c>
      <c r="N39" s="13">
        <f>(E39-1)+VLOOKUP(M39,Size,2,0)</f>
        <v>30</v>
      </c>
      <c r="O39" s="13">
        <f>VLOOKUP(E39,LevelData,4)</f>
        <v>33</v>
      </c>
      <c r="P39" s="13">
        <f>O39+VLOOKUP(M39,Size,3,0)</f>
        <v>31</v>
      </c>
      <c r="Q39" s="13">
        <f t="shared" si="2"/>
        <v>18</v>
      </c>
      <c r="R39" s="13">
        <f>VLOOKUP(E39,LevelData,2)</f>
        <v>18</v>
      </c>
      <c r="S39" s="13">
        <f t="shared" si="3"/>
        <v>18</v>
      </c>
      <c r="T39" s="2" t="s">
        <v>75</v>
      </c>
      <c r="U39" s="1">
        <v>33.0</v>
      </c>
      <c r="V39" s="2">
        <f>INT(10+(E39/2))-VLOOKUP(M39,Size,2,0)</f>
        <v>28</v>
      </c>
      <c r="W39" s="1">
        <f t="shared" si="6"/>
        <v>25</v>
      </c>
      <c r="X39" s="2" t="s">
        <v>34</v>
      </c>
      <c r="Y39" s="1">
        <v>12.0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2.75" customHeight="1">
      <c r="A40" s="3">
        <f t="shared" si="4"/>
        <v>39</v>
      </c>
      <c r="B40" s="4" t="s">
        <v>76</v>
      </c>
      <c r="C40" s="3">
        <v>1001.0</v>
      </c>
      <c r="D40" s="4">
        <f t="shared" si="5"/>
        <v>45</v>
      </c>
      <c r="E40" s="3">
        <v>34.0</v>
      </c>
      <c r="F40" s="3">
        <f t="shared" si="1"/>
        <v>11</v>
      </c>
      <c r="G40" s="4">
        <v>1.0</v>
      </c>
      <c r="H40" s="4">
        <v>0.0</v>
      </c>
      <c r="I40" s="4">
        <v>1.0</v>
      </c>
      <c r="J40" s="4">
        <v>1.0</v>
      </c>
      <c r="K40" s="4">
        <v>1.0</v>
      </c>
      <c r="L40" s="4">
        <v>1.0</v>
      </c>
      <c r="M40" s="4" t="s">
        <v>77</v>
      </c>
      <c r="N40" s="5">
        <f>(E40-1)+VLOOKUP(M40,Size,2,0)</f>
        <v>29</v>
      </c>
      <c r="O40" s="5">
        <f>VLOOKUP(E40,LevelData,4)</f>
        <v>34</v>
      </c>
      <c r="P40" s="5">
        <f>O40+VLOOKUP(M40,Size,3,0)</f>
        <v>30</v>
      </c>
      <c r="Q40" s="5">
        <f t="shared" si="2"/>
        <v>19</v>
      </c>
      <c r="R40" s="5">
        <f>VLOOKUP(E40,LevelData,2)</f>
        <v>19</v>
      </c>
      <c r="S40" s="5">
        <f t="shared" si="3"/>
        <v>19</v>
      </c>
      <c r="T40" s="4" t="s">
        <v>78</v>
      </c>
      <c r="U40" s="3">
        <v>34.0</v>
      </c>
      <c r="V40" s="4">
        <f>INT(10+(E40/2))-VLOOKUP(M40,Size,2,0)</f>
        <v>31</v>
      </c>
      <c r="W40" s="3">
        <f t="shared" si="6"/>
        <v>26</v>
      </c>
      <c r="X40" s="4" t="s">
        <v>79</v>
      </c>
      <c r="Y40" s="3">
        <v>13.0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2.75" customHeight="1">
      <c r="A41" s="3">
        <f t="shared" si="4"/>
        <v>40</v>
      </c>
      <c r="B41" s="4"/>
      <c r="C41" s="3">
        <v>1051.0</v>
      </c>
      <c r="D41" s="4">
        <f t="shared" si="5"/>
        <v>46</v>
      </c>
      <c r="E41" s="3">
        <v>35.0</v>
      </c>
      <c r="F41" s="3">
        <f t="shared" si="1"/>
        <v>11</v>
      </c>
      <c r="G41" s="4">
        <v>0.0</v>
      </c>
      <c r="H41" s="4">
        <v>0.0</v>
      </c>
      <c r="I41" s="4">
        <v>0.0</v>
      </c>
      <c r="J41" s="4">
        <v>1.0</v>
      </c>
      <c r="K41" s="4">
        <v>0.0</v>
      </c>
      <c r="L41" s="4">
        <v>0.0</v>
      </c>
      <c r="M41" s="4" t="s">
        <v>77</v>
      </c>
      <c r="N41" s="5">
        <f>(E41-1)+VLOOKUP(M41,Size,2,0)</f>
        <v>30</v>
      </c>
      <c r="O41" s="5">
        <f>VLOOKUP(E41,LevelData,4)</f>
        <v>35</v>
      </c>
      <c r="P41" s="5">
        <f>O41+VLOOKUP(M41,Size,3,0)</f>
        <v>31</v>
      </c>
      <c r="Q41" s="5">
        <f t="shared" si="2"/>
        <v>19</v>
      </c>
      <c r="R41" s="5">
        <f>VLOOKUP(E41,LevelData,2)</f>
        <v>19</v>
      </c>
      <c r="S41" s="5">
        <f t="shared" si="3"/>
        <v>19</v>
      </c>
      <c r="T41" s="4" t="s">
        <v>78</v>
      </c>
      <c r="U41" s="3">
        <v>34.0</v>
      </c>
      <c r="V41" s="4">
        <f>INT(10+(E41/2))-VLOOKUP(M41,Size,2,0)</f>
        <v>31</v>
      </c>
      <c r="W41" s="3">
        <f t="shared" si="6"/>
        <v>26</v>
      </c>
      <c r="X41" s="4" t="s">
        <v>34</v>
      </c>
      <c r="Y41" s="3">
        <v>13.0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2.75" customHeight="1">
      <c r="A42" s="3">
        <f t="shared" si="4"/>
        <v>41</v>
      </c>
      <c r="B42" s="4"/>
      <c r="C42" s="3">
        <v>1101.0</v>
      </c>
      <c r="D42" s="4">
        <f t="shared" si="5"/>
        <v>47</v>
      </c>
      <c r="E42" s="3">
        <v>36.0</v>
      </c>
      <c r="F42" s="3">
        <f t="shared" si="1"/>
        <v>11</v>
      </c>
      <c r="G42" s="4">
        <v>1.0</v>
      </c>
      <c r="H42" s="4">
        <v>0.0</v>
      </c>
      <c r="I42" s="4">
        <v>0.0</v>
      </c>
      <c r="J42" s="4">
        <v>0.0</v>
      </c>
      <c r="K42" s="4">
        <v>1.0</v>
      </c>
      <c r="L42" s="4">
        <v>0.0</v>
      </c>
      <c r="M42" s="4" t="s">
        <v>77</v>
      </c>
      <c r="N42" s="5">
        <f>(E42-1)+VLOOKUP(M42,Size,2,0)</f>
        <v>31</v>
      </c>
      <c r="O42" s="5">
        <f>VLOOKUP(E42,LevelData,4)</f>
        <v>36</v>
      </c>
      <c r="P42" s="5">
        <f>O42+VLOOKUP(M42,Size,3,0)</f>
        <v>32</v>
      </c>
      <c r="Q42" s="5">
        <f t="shared" si="2"/>
        <v>20</v>
      </c>
      <c r="R42" s="5">
        <f>VLOOKUP(E42,LevelData,2)</f>
        <v>20</v>
      </c>
      <c r="S42" s="5">
        <f t="shared" si="3"/>
        <v>20</v>
      </c>
      <c r="T42" s="4" t="s">
        <v>80</v>
      </c>
      <c r="U42" s="3">
        <v>35.0</v>
      </c>
      <c r="V42" s="4">
        <f>INT(10+(E42/2))-VLOOKUP(M42,Size,2,0)</f>
        <v>32</v>
      </c>
      <c r="W42" s="3">
        <f t="shared" si="6"/>
        <v>27</v>
      </c>
      <c r="X42" s="4" t="s">
        <v>34</v>
      </c>
      <c r="Y42" s="3">
        <v>14.0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7">
        <f t="shared" si="4"/>
        <v>42</v>
      </c>
      <c r="B43" s="8"/>
      <c r="C43" s="7">
        <v>1151.0</v>
      </c>
      <c r="D43" s="8">
        <f t="shared" si="5"/>
        <v>48</v>
      </c>
      <c r="E43" s="7">
        <v>36.0</v>
      </c>
      <c r="F43" s="7">
        <f t="shared" si="1"/>
        <v>12</v>
      </c>
      <c r="G43" s="8">
        <v>0.0</v>
      </c>
      <c r="H43" s="8">
        <v>0.0</v>
      </c>
      <c r="I43" s="8">
        <v>1.0</v>
      </c>
      <c r="J43" s="8">
        <v>0.0</v>
      </c>
      <c r="K43" s="8">
        <v>0.0</v>
      </c>
      <c r="L43" s="8">
        <v>1.0</v>
      </c>
      <c r="M43" s="8" t="s">
        <v>77</v>
      </c>
      <c r="N43" s="9">
        <f>(E43-1)+VLOOKUP(M43,Size,2,0)</f>
        <v>31</v>
      </c>
      <c r="O43" s="9">
        <f>VLOOKUP(E43,LevelData,4)</f>
        <v>36</v>
      </c>
      <c r="P43" s="9">
        <f>O43+VLOOKUP(M43,Size,3,0)</f>
        <v>32</v>
      </c>
      <c r="Q43" s="9">
        <f t="shared" si="2"/>
        <v>20</v>
      </c>
      <c r="R43" s="9">
        <f>VLOOKUP(E43,LevelData,2)</f>
        <v>20</v>
      </c>
      <c r="S43" s="9">
        <f t="shared" si="3"/>
        <v>20</v>
      </c>
      <c r="T43" s="8" t="s">
        <v>80</v>
      </c>
      <c r="U43" s="7">
        <v>35.0</v>
      </c>
      <c r="V43" s="8">
        <f>INT(10+(E43/2))-VLOOKUP(M43,Size,2,0)</f>
        <v>32</v>
      </c>
      <c r="W43" s="7">
        <f t="shared" si="6"/>
        <v>27</v>
      </c>
      <c r="X43" s="8" t="s">
        <v>34</v>
      </c>
      <c r="Y43" s="7">
        <v>14.0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ht="12.75" customHeight="1">
      <c r="A44" s="10">
        <f t="shared" si="4"/>
        <v>43</v>
      </c>
      <c r="B44" s="11" t="s">
        <v>81</v>
      </c>
      <c r="C44" s="10">
        <v>1201.0</v>
      </c>
      <c r="D44" s="11">
        <f t="shared" si="5"/>
        <v>49</v>
      </c>
      <c r="E44" s="10">
        <v>37.0</v>
      </c>
      <c r="F44" s="10">
        <f t="shared" si="1"/>
        <v>12</v>
      </c>
      <c r="G44" s="11">
        <v>1.0</v>
      </c>
      <c r="H44" s="11">
        <v>0.0</v>
      </c>
      <c r="I44" s="11">
        <v>0.0</v>
      </c>
      <c r="J44" s="11">
        <v>0.0</v>
      </c>
      <c r="K44" s="11">
        <v>1.0</v>
      </c>
      <c r="L44" s="11">
        <v>1.0</v>
      </c>
      <c r="M44" s="11" t="s">
        <v>77</v>
      </c>
      <c r="N44" s="12">
        <f>(E44-1)+VLOOKUP(M44,Size,2,0)</f>
        <v>32</v>
      </c>
      <c r="O44" s="12">
        <f>VLOOKUP(E44,LevelData,4)</f>
        <v>37</v>
      </c>
      <c r="P44" s="12">
        <f>O44+VLOOKUP(M44,Size,3,0)</f>
        <v>33</v>
      </c>
      <c r="Q44" s="12">
        <f t="shared" si="2"/>
        <v>20</v>
      </c>
      <c r="R44" s="12">
        <f>VLOOKUP(E44,LevelData,2)</f>
        <v>20</v>
      </c>
      <c r="S44" s="12">
        <f t="shared" si="3"/>
        <v>20</v>
      </c>
      <c r="T44" s="11" t="s">
        <v>82</v>
      </c>
      <c r="U44" s="10">
        <v>36.0</v>
      </c>
      <c r="V44" s="11">
        <f>INT(10+(E44/2))-VLOOKUP(M44,Size,2,0)</f>
        <v>32</v>
      </c>
      <c r="W44" s="10">
        <f t="shared" si="6"/>
        <v>27</v>
      </c>
      <c r="X44" s="11" t="s">
        <v>83</v>
      </c>
      <c r="Y44" s="10">
        <v>15.0</v>
      </c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12.75" customHeight="1">
      <c r="A45" s="10">
        <f t="shared" si="4"/>
        <v>44</v>
      </c>
      <c r="B45" s="11"/>
      <c r="C45" s="10" t="s">
        <v>84</v>
      </c>
      <c r="D45" s="11">
        <f t="shared" si="5"/>
        <v>50</v>
      </c>
      <c r="E45" s="10">
        <v>38.0</v>
      </c>
      <c r="F45" s="10">
        <f t="shared" si="1"/>
        <v>12</v>
      </c>
      <c r="G45" s="11">
        <v>0.0</v>
      </c>
      <c r="H45" s="11">
        <v>0.0</v>
      </c>
      <c r="I45" s="11">
        <v>0.0</v>
      </c>
      <c r="J45" s="11">
        <v>0.0</v>
      </c>
      <c r="K45" s="11">
        <v>1.0</v>
      </c>
      <c r="L45" s="11">
        <v>0.0</v>
      </c>
      <c r="M45" s="11" t="s">
        <v>77</v>
      </c>
      <c r="N45" s="12">
        <f>(E45-1)+VLOOKUP(M45,Size,2,0)</f>
        <v>33</v>
      </c>
      <c r="O45" s="12">
        <f>VLOOKUP(E45,LevelData,4)</f>
        <v>38</v>
      </c>
      <c r="P45" s="12">
        <f>O45+VLOOKUP(M45,Size,3,0)</f>
        <v>34</v>
      </c>
      <c r="Q45" s="12">
        <f t="shared" si="2"/>
        <v>21</v>
      </c>
      <c r="R45" s="12">
        <f>VLOOKUP(E45,LevelData,2)</f>
        <v>21</v>
      </c>
      <c r="S45" s="12">
        <f t="shared" si="3"/>
        <v>21</v>
      </c>
      <c r="T45" s="11" t="s">
        <v>82</v>
      </c>
      <c r="U45" s="10">
        <v>36.0</v>
      </c>
      <c r="V45" s="11">
        <f>INT(10+(E45/2))-VLOOKUP(M45,Size,2,0)</f>
        <v>33</v>
      </c>
      <c r="W45" s="10">
        <f t="shared" si="6"/>
        <v>28</v>
      </c>
      <c r="X45" s="11" t="s">
        <v>85</v>
      </c>
      <c r="Y45" s="10">
        <v>15.0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12.75" customHeight="1">
      <c r="A46" s="10">
        <f t="shared" si="4"/>
        <v>45</v>
      </c>
      <c r="B46" s="11"/>
      <c r="C46" s="10" t="s">
        <v>86</v>
      </c>
      <c r="D46" s="11">
        <f t="shared" si="5"/>
        <v>51</v>
      </c>
      <c r="E46" s="10">
        <v>39.0</v>
      </c>
      <c r="F46" s="10">
        <f t="shared" si="1"/>
        <v>12</v>
      </c>
      <c r="G46" s="11">
        <v>0.0</v>
      </c>
      <c r="H46" s="11">
        <v>0.0</v>
      </c>
      <c r="I46" s="11">
        <v>0.0</v>
      </c>
      <c r="J46" s="11">
        <v>1.0</v>
      </c>
      <c r="K46" s="11">
        <v>0.0</v>
      </c>
      <c r="L46" s="11">
        <v>0.0</v>
      </c>
      <c r="M46" s="11" t="s">
        <v>77</v>
      </c>
      <c r="N46" s="12">
        <f>(E46-1)+VLOOKUP(M46,Size,2,0)</f>
        <v>34</v>
      </c>
      <c r="O46" s="12">
        <f>VLOOKUP(E46,LevelData,4)</f>
        <v>39</v>
      </c>
      <c r="P46" s="12">
        <f>O46+VLOOKUP(M46,Size,3,0)</f>
        <v>35</v>
      </c>
      <c r="Q46" s="12">
        <f t="shared" si="2"/>
        <v>21</v>
      </c>
      <c r="R46" s="12">
        <f>VLOOKUP(E46,LevelData,2)</f>
        <v>21</v>
      </c>
      <c r="S46" s="12">
        <f t="shared" si="3"/>
        <v>21</v>
      </c>
      <c r="T46" s="11" t="s">
        <v>87</v>
      </c>
      <c r="U46" s="10">
        <v>37.0</v>
      </c>
      <c r="V46" s="11">
        <f>INT(10+(E46/2))-VLOOKUP(M46,Size,2,0)</f>
        <v>33</v>
      </c>
      <c r="W46" s="10">
        <f t="shared" si="6"/>
        <v>28</v>
      </c>
      <c r="X46" s="11" t="s">
        <v>34</v>
      </c>
      <c r="Y46" s="10">
        <v>16.0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2.75" customHeight="1">
      <c r="A47" s="1">
        <f t="shared" si="4"/>
        <v>46</v>
      </c>
      <c r="B47" s="2"/>
      <c r="C47" s="1" t="s">
        <v>88</v>
      </c>
      <c r="D47" s="2">
        <f t="shared" si="5"/>
        <v>52</v>
      </c>
      <c r="E47" s="1">
        <v>39.0</v>
      </c>
      <c r="F47" s="1">
        <f t="shared" si="1"/>
        <v>13</v>
      </c>
      <c r="G47" s="2">
        <v>0.0</v>
      </c>
      <c r="H47" s="2">
        <v>0.0</v>
      </c>
      <c r="I47" s="2">
        <v>1.0</v>
      </c>
      <c r="J47" s="2">
        <v>0.0</v>
      </c>
      <c r="K47" s="2">
        <v>0.0</v>
      </c>
      <c r="L47" s="2">
        <v>1.0</v>
      </c>
      <c r="M47" s="2" t="s">
        <v>77</v>
      </c>
      <c r="N47" s="13">
        <f>(E47-1)+VLOOKUP(M47,Size,2,0)</f>
        <v>34</v>
      </c>
      <c r="O47" s="13">
        <f>VLOOKUP(E47,LevelData,4)</f>
        <v>39</v>
      </c>
      <c r="P47" s="13">
        <f>O47+VLOOKUP(M47,Size,3,0)</f>
        <v>35</v>
      </c>
      <c r="Q47" s="13">
        <f t="shared" si="2"/>
        <v>21</v>
      </c>
      <c r="R47" s="13">
        <f>VLOOKUP(E47,LevelData,2)</f>
        <v>21</v>
      </c>
      <c r="S47" s="13">
        <f t="shared" si="3"/>
        <v>21</v>
      </c>
      <c r="T47" s="2" t="s">
        <v>87</v>
      </c>
      <c r="U47" s="1">
        <v>37.0</v>
      </c>
      <c r="V47" s="2">
        <f>INT(10+(E47/2))-VLOOKUP(M47,Size,2,0)</f>
        <v>33</v>
      </c>
      <c r="W47" s="1">
        <f t="shared" si="6"/>
        <v>28</v>
      </c>
      <c r="X47" s="2" t="s">
        <v>34</v>
      </c>
      <c r="Y47" s="1">
        <v>16.0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2.75" customHeight="1">
      <c r="A48" s="3">
        <f t="shared" si="4"/>
        <v>47</v>
      </c>
      <c r="B48" s="4" t="s">
        <v>89</v>
      </c>
      <c r="C48" s="3" t="s">
        <v>90</v>
      </c>
      <c r="D48" s="4">
        <f t="shared" si="5"/>
        <v>53</v>
      </c>
      <c r="E48" s="3">
        <v>40.0</v>
      </c>
      <c r="F48" s="3">
        <f t="shared" si="1"/>
        <v>13</v>
      </c>
      <c r="G48" s="4">
        <v>1.0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 t="s">
        <v>77</v>
      </c>
      <c r="N48" s="5">
        <f>(E48-1)+VLOOKUP(M48,Size,2,0)</f>
        <v>35</v>
      </c>
      <c r="O48" s="5">
        <f>VLOOKUP(E48,LevelData,4)</f>
        <v>40</v>
      </c>
      <c r="P48" s="5">
        <f>O48+VLOOKUP(M48,Size,3,0)</f>
        <v>36</v>
      </c>
      <c r="Q48" s="5">
        <f t="shared" si="2"/>
        <v>22</v>
      </c>
      <c r="R48" s="5">
        <f>VLOOKUP(E48,LevelData,2)</f>
        <v>22</v>
      </c>
      <c r="S48" s="5">
        <f t="shared" si="3"/>
        <v>22</v>
      </c>
      <c r="T48" s="4" t="s">
        <v>91</v>
      </c>
      <c r="U48" s="3">
        <v>38.0</v>
      </c>
      <c r="V48" s="4">
        <f>INT(10+(E48/2))-VLOOKUP(M48,Size,2,0)</f>
        <v>34</v>
      </c>
      <c r="W48" s="3">
        <f t="shared" si="6"/>
        <v>29</v>
      </c>
      <c r="X48" s="4"/>
      <c r="Y48" s="3">
        <v>17.0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12.75" customHeight="1">
      <c r="A49" s="10"/>
      <c r="B49" s="11"/>
      <c r="C49" s="10"/>
      <c r="D49" s="11"/>
      <c r="E49" s="10"/>
      <c r="F49" s="10"/>
      <c r="G49" s="11"/>
      <c r="H49" s="11"/>
      <c r="I49" s="11"/>
      <c r="J49" s="11"/>
      <c r="K49" s="11"/>
      <c r="L49" s="11"/>
      <c r="M49" s="14" t="str">
        <f>HYPERLINK("http://www.geocities.com/galliard6/dragons_sheet.html","Back")</f>
        <v>Back</v>
      </c>
      <c r="N49" s="11"/>
      <c r="O49" s="11"/>
      <c r="P49" s="11"/>
      <c r="Q49" s="11"/>
      <c r="R49" s="11"/>
      <c r="S49" s="11"/>
      <c r="T49" s="11"/>
      <c r="U49" s="10"/>
      <c r="V49" s="11"/>
      <c r="W49" s="10"/>
      <c r="X49" s="11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12.75" customHeight="1">
      <c r="A50" s="10"/>
      <c r="B50" s="11"/>
      <c r="C50" s="10"/>
      <c r="D50" s="11"/>
      <c r="E50" s="10"/>
      <c r="F50" s="1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0"/>
      <c r="V50" s="11"/>
      <c r="W50" s="10"/>
      <c r="X50" s="11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12.75" customHeight="1">
      <c r="A51" s="10"/>
      <c r="B51" s="11"/>
      <c r="C51" s="10"/>
      <c r="D51" s="11"/>
      <c r="E51" s="10"/>
      <c r="F51" s="1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0"/>
      <c r="V51" s="11"/>
      <c r="W51" s="10"/>
      <c r="X51" s="1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2.75" customHeight="1">
      <c r="A52" s="10"/>
      <c r="B52" s="11"/>
      <c r="C52" s="10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/>
      <c r="V52" s="11"/>
      <c r="W52" s="10"/>
      <c r="X52" s="1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2.75" customHeight="1">
      <c r="A53" s="10"/>
      <c r="B53" s="11"/>
      <c r="C53" s="10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/>
      <c r="V53" s="11"/>
      <c r="W53" s="10"/>
      <c r="X53" s="11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2.75" customHeight="1">
      <c r="A54" s="10"/>
      <c r="B54" s="11"/>
      <c r="C54" s="10"/>
      <c r="D54" s="11"/>
      <c r="E54" s="10"/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1"/>
      <c r="W54" s="10"/>
      <c r="X54" s="11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2.75" customHeight="1">
      <c r="A55" s="10"/>
      <c r="B55" s="11"/>
      <c r="C55" s="10"/>
      <c r="D55" s="11"/>
      <c r="E55" s="10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/>
      <c r="V55" s="11"/>
      <c r="W55" s="10"/>
      <c r="X55" s="11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2.75" customHeight="1">
      <c r="A56" s="10"/>
      <c r="B56" s="11"/>
      <c r="C56" s="10"/>
      <c r="D56" s="11"/>
      <c r="E56" s="10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/>
      <c r="V56" s="11"/>
      <c r="W56" s="10"/>
      <c r="X56" s="11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2.75" customHeight="1">
      <c r="A57" s="10"/>
      <c r="B57" s="11"/>
      <c r="C57" s="10"/>
      <c r="D57" s="11"/>
      <c r="E57" s="10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/>
      <c r="V57" s="11"/>
      <c r="W57" s="10"/>
      <c r="X57" s="11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2.75" customHeight="1">
      <c r="A58" s="10"/>
      <c r="B58" s="11"/>
      <c r="C58" s="10"/>
      <c r="D58" s="11"/>
      <c r="E58" s="10"/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/>
      <c r="V58" s="11"/>
      <c r="W58" s="10"/>
      <c r="X58" s="11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2.75" customHeight="1">
      <c r="A59" s="10"/>
      <c r="B59" s="11"/>
      <c r="C59" s="10"/>
      <c r="D59" s="11"/>
      <c r="E59" s="10"/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/>
      <c r="V59" s="11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2.75" customHeight="1">
      <c r="A60" s="10"/>
      <c r="B60" s="11"/>
      <c r="C60" s="10"/>
      <c r="D60" s="11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/>
      <c r="V60" s="11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2.75" customHeight="1">
      <c r="A61" s="10"/>
      <c r="B61" s="11"/>
      <c r="C61" s="10"/>
      <c r="D61" s="11"/>
      <c r="E61" s="10"/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/>
      <c r="V61" s="11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2.75" customHeight="1">
      <c r="A62" s="10"/>
      <c r="B62" s="11"/>
      <c r="C62" s="10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/>
      <c r="V62" s="11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2.75" customHeight="1">
      <c r="A63" s="10"/>
      <c r="B63" s="11"/>
      <c r="C63" s="10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2.75" customHeight="1">
      <c r="A64" s="10"/>
      <c r="B64" s="11"/>
      <c r="C64" s="10"/>
      <c r="D64" s="11"/>
      <c r="E64" s="10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2.75" customHeight="1">
      <c r="A65" s="10"/>
      <c r="B65" s="11"/>
      <c r="C65" s="10"/>
      <c r="D65" s="11"/>
      <c r="E65" s="10"/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2.75" customHeight="1">
      <c r="A66" s="10"/>
      <c r="B66" s="11"/>
      <c r="C66" s="10"/>
      <c r="D66" s="11"/>
      <c r="E66" s="10"/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2.75" customHeight="1">
      <c r="A67" s="10"/>
      <c r="B67" s="11"/>
      <c r="C67" s="10"/>
      <c r="D67" s="11"/>
      <c r="E67" s="10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2.75" customHeight="1">
      <c r="A68" s="10"/>
      <c r="B68" s="11"/>
      <c r="C68" s="10"/>
      <c r="D68" s="11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2.75" customHeight="1">
      <c r="A69" s="10"/>
      <c r="B69" s="11"/>
      <c r="C69" s="10"/>
      <c r="D69" s="11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2.75" customHeight="1">
      <c r="A70" s="10"/>
      <c r="B70" s="11"/>
      <c r="C70" s="10"/>
      <c r="D70" s="11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2.75" customHeight="1">
      <c r="A71" s="10"/>
      <c r="B71" s="11"/>
      <c r="C71" s="10"/>
      <c r="D71" s="11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2.75" customHeight="1">
      <c r="A72" s="10"/>
      <c r="B72" s="11"/>
      <c r="C72" s="10"/>
      <c r="D72" s="11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2.75" customHeight="1">
      <c r="A73" s="10"/>
      <c r="B73" s="11"/>
      <c r="C73" s="10"/>
      <c r="D73" s="11"/>
      <c r="E73" s="10"/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2.75" customHeight="1">
      <c r="A74" s="10"/>
      <c r="B74" s="11"/>
      <c r="C74" s="10"/>
      <c r="D74" s="11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2.75" customHeight="1">
      <c r="A75" s="10"/>
      <c r="B75" s="11"/>
      <c r="C75" s="10"/>
      <c r="D75" s="11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2.75" customHeight="1">
      <c r="A76" s="10"/>
      <c r="B76" s="11"/>
      <c r="C76" s="10"/>
      <c r="D76" s="11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2.75" customHeight="1">
      <c r="A77" s="10"/>
      <c r="B77" s="11"/>
      <c r="C77" s="10"/>
      <c r="D77" s="11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2.75" customHeight="1">
      <c r="A78" s="10"/>
      <c r="B78" s="11"/>
      <c r="C78" s="10"/>
      <c r="D78" s="11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2.75" customHeight="1">
      <c r="A79" s="10"/>
      <c r="B79" s="11"/>
      <c r="C79" s="10"/>
      <c r="D79" s="11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2.75" customHeight="1">
      <c r="A80" s="10"/>
      <c r="B80" s="11"/>
      <c r="C80" s="10"/>
      <c r="D80" s="11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2.75" customHeight="1">
      <c r="A81" s="10"/>
      <c r="B81" s="11"/>
      <c r="C81" s="10"/>
      <c r="D81" s="11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2.75" customHeight="1">
      <c r="A82" s="10"/>
      <c r="B82" s="11"/>
      <c r="C82" s="10"/>
      <c r="D82" s="11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2.75" customHeight="1">
      <c r="A83" s="10"/>
      <c r="B83" s="11"/>
      <c r="C83" s="10"/>
      <c r="D83" s="11"/>
      <c r="E83" s="10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2.75" customHeight="1">
      <c r="A84" s="10"/>
      <c r="B84" s="11"/>
      <c r="C84" s="10"/>
      <c r="D84" s="11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2.75" customHeight="1">
      <c r="A85" s="10"/>
      <c r="B85" s="11"/>
      <c r="C85" s="10"/>
      <c r="D85" s="11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2.75" customHeight="1">
      <c r="A86" s="10"/>
      <c r="B86" s="11"/>
      <c r="C86" s="10"/>
      <c r="D86" s="11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2.75" customHeight="1">
      <c r="A87" s="10"/>
      <c r="B87" s="11"/>
      <c r="C87" s="10"/>
      <c r="D87" s="11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2.75" customHeight="1">
      <c r="A88" s="10"/>
      <c r="B88" s="11"/>
      <c r="C88" s="10"/>
      <c r="D88" s="11"/>
      <c r="E88" s="10"/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2.75" customHeight="1">
      <c r="A89" s="10"/>
      <c r="B89" s="11"/>
      <c r="C89" s="10"/>
      <c r="D89" s="11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2.75" customHeight="1">
      <c r="A90" s="10"/>
      <c r="B90" s="11"/>
      <c r="C90" s="10"/>
      <c r="D90" s="11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2.75" customHeight="1">
      <c r="A91" s="10"/>
      <c r="B91" s="11"/>
      <c r="C91" s="10"/>
      <c r="D91" s="11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2.75" customHeight="1">
      <c r="A92" s="10"/>
      <c r="B92" s="11"/>
      <c r="C92" s="10"/>
      <c r="D92" s="11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2.75" customHeight="1">
      <c r="A93" s="10"/>
      <c r="B93" s="11"/>
      <c r="C93" s="10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2.75" customHeight="1">
      <c r="A94" s="10"/>
      <c r="B94" s="11"/>
      <c r="C94" s="10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2.75" customHeight="1">
      <c r="A95" s="10"/>
      <c r="B95" s="11"/>
      <c r="C95" s="10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2.75" customHeight="1">
      <c r="A96" s="10"/>
      <c r="B96" s="11"/>
      <c r="C96" s="10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2.75" customHeight="1">
      <c r="A97" s="10"/>
      <c r="B97" s="11"/>
      <c r="C97" s="10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2.75" customHeight="1">
      <c r="A98" s="10"/>
      <c r="B98" s="11"/>
      <c r="C98" s="10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2.75" customHeight="1">
      <c r="A99" s="10"/>
      <c r="B99" s="11"/>
      <c r="C99" s="10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2.75" customHeight="1">
      <c r="A100" s="10"/>
      <c r="B100" s="11"/>
      <c r="C100" s="10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2.75" customHeight="1">
      <c r="A101" s="10"/>
      <c r="B101" s="11"/>
      <c r="C101" s="10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2.75" customHeight="1">
      <c r="A102" s="10"/>
      <c r="B102" s="11"/>
      <c r="C102" s="10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2.75" customHeight="1">
      <c r="A103" s="10"/>
      <c r="B103" s="11"/>
      <c r="C103" s="10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2.75" customHeight="1">
      <c r="A104" s="10"/>
      <c r="B104" s="11"/>
      <c r="C104" s="10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2.75" customHeight="1">
      <c r="A105" s="10"/>
      <c r="B105" s="11"/>
      <c r="C105" s="10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2.75" customHeight="1">
      <c r="A106" s="10"/>
      <c r="B106" s="11"/>
      <c r="C106" s="10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2.75" customHeight="1">
      <c r="A107" s="10"/>
      <c r="B107" s="11"/>
      <c r="C107" s="10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2.75" customHeight="1">
      <c r="A108" s="10"/>
      <c r="B108" s="11"/>
      <c r="C108" s="10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2.75" customHeight="1">
      <c r="A109" s="10"/>
      <c r="B109" s="11"/>
      <c r="C109" s="10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2.75" customHeight="1">
      <c r="A110" s="10"/>
      <c r="B110" s="11"/>
      <c r="C110" s="10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2.75" customHeight="1">
      <c r="A111" s="10"/>
      <c r="B111" s="11"/>
      <c r="C111" s="10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2.75" customHeight="1">
      <c r="A112" s="10"/>
      <c r="B112" s="11"/>
      <c r="C112" s="10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2.75" customHeight="1">
      <c r="A113" s="10"/>
      <c r="B113" s="11"/>
      <c r="C113" s="10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2.75" customHeight="1">
      <c r="A114" s="10"/>
      <c r="B114" s="11"/>
      <c r="C114" s="10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2.75" customHeight="1">
      <c r="A115" s="10"/>
      <c r="B115" s="11"/>
      <c r="C115" s="10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2.75" customHeight="1">
      <c r="A116" s="10"/>
      <c r="B116" s="11"/>
      <c r="C116" s="10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2.75" customHeight="1">
      <c r="A117" s="10"/>
      <c r="B117" s="11"/>
      <c r="C117" s="10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2.75" customHeight="1">
      <c r="A118" s="10"/>
      <c r="B118" s="11"/>
      <c r="C118" s="10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2.75" customHeight="1">
      <c r="A119" s="10"/>
      <c r="B119" s="11"/>
      <c r="C119" s="10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2.75" customHeight="1">
      <c r="A120" s="10"/>
      <c r="B120" s="11"/>
      <c r="C120" s="10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2.75" customHeight="1">
      <c r="A121" s="10"/>
      <c r="B121" s="11"/>
      <c r="C121" s="10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2.75" customHeight="1">
      <c r="A122" s="10"/>
      <c r="B122" s="11"/>
      <c r="C122" s="10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2.75" customHeight="1">
      <c r="A123" s="10"/>
      <c r="B123" s="11"/>
      <c r="C123" s="10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2.75" customHeight="1">
      <c r="A124" s="10"/>
      <c r="B124" s="11"/>
      <c r="C124" s="10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2.75" customHeight="1">
      <c r="A125" s="10"/>
      <c r="B125" s="11"/>
      <c r="C125" s="10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2.75" customHeight="1">
      <c r="A126" s="10"/>
      <c r="B126" s="11"/>
      <c r="C126" s="10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2.75" customHeight="1">
      <c r="A127" s="10"/>
      <c r="B127" s="11"/>
      <c r="C127" s="10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2.75" customHeight="1">
      <c r="A128" s="10"/>
      <c r="B128" s="11"/>
      <c r="C128" s="10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2.75" customHeight="1">
      <c r="A129" s="10"/>
      <c r="B129" s="11"/>
      <c r="C129" s="10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2.75" customHeight="1">
      <c r="A130" s="10"/>
      <c r="B130" s="11"/>
      <c r="C130" s="10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2.75" customHeight="1">
      <c r="A131" s="10"/>
      <c r="B131" s="11"/>
      <c r="C131" s="10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2.75" customHeight="1">
      <c r="A132" s="10"/>
      <c r="B132" s="11"/>
      <c r="C132" s="10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2.75" customHeight="1">
      <c r="A133" s="10"/>
      <c r="B133" s="11"/>
      <c r="C133" s="10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2.75" customHeight="1">
      <c r="A134" s="10"/>
      <c r="B134" s="11"/>
      <c r="C134" s="10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2.75" customHeight="1">
      <c r="A135" s="10"/>
      <c r="B135" s="11"/>
      <c r="C135" s="10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2.75" customHeight="1">
      <c r="A136" s="10"/>
      <c r="B136" s="11"/>
      <c r="C136" s="10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2.75" customHeight="1">
      <c r="A137" s="10"/>
      <c r="B137" s="11"/>
      <c r="C137" s="10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2.75" customHeight="1">
      <c r="A138" s="10"/>
      <c r="B138" s="11"/>
      <c r="C138" s="10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2.75" customHeight="1">
      <c r="A139" s="10"/>
      <c r="B139" s="11"/>
      <c r="C139" s="10"/>
      <c r="D139" s="11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2.75" customHeight="1">
      <c r="A140" s="10"/>
      <c r="B140" s="11"/>
      <c r="C140" s="10"/>
      <c r="D140" s="11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2.75" customHeight="1">
      <c r="A141" s="10"/>
      <c r="B141" s="11"/>
      <c r="C141" s="10"/>
      <c r="D141" s="11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2.75" customHeight="1">
      <c r="A142" s="10"/>
      <c r="B142" s="11"/>
      <c r="C142" s="10"/>
      <c r="D142" s="11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2.75" customHeight="1">
      <c r="A143" s="10"/>
      <c r="B143" s="11"/>
      <c r="C143" s="10"/>
      <c r="D143" s="11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2.75" customHeight="1">
      <c r="A144" s="10"/>
      <c r="B144" s="11"/>
      <c r="C144" s="10"/>
      <c r="D144" s="11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2.75" customHeight="1">
      <c r="A145" s="10"/>
      <c r="B145" s="11"/>
      <c r="C145" s="10"/>
      <c r="D145" s="11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/>
      <c r="V145" s="11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2.75" customHeight="1">
      <c r="A146" s="10"/>
      <c r="B146" s="11"/>
      <c r="C146" s="10"/>
      <c r="D146" s="11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/>
      <c r="V146" s="11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2.75" customHeight="1">
      <c r="A147" s="10"/>
      <c r="B147" s="11"/>
      <c r="C147" s="10"/>
      <c r="D147" s="11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/>
      <c r="V147" s="11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2.75" customHeight="1">
      <c r="A148" s="10"/>
      <c r="B148" s="11"/>
      <c r="C148" s="10"/>
      <c r="D148" s="11"/>
      <c r="E148" s="10"/>
      <c r="F148" s="1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/>
      <c r="V148" s="11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2.75" customHeight="1">
      <c r="A149" s="10"/>
      <c r="B149" s="11"/>
      <c r="C149" s="10"/>
      <c r="D149" s="11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2.75" customHeight="1">
      <c r="A150" s="10"/>
      <c r="B150" s="11"/>
      <c r="C150" s="10"/>
      <c r="D150" s="11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2.75" customHeight="1">
      <c r="A151" s="10"/>
      <c r="B151" s="11"/>
      <c r="C151" s="10"/>
      <c r="D151" s="11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2.75" customHeight="1">
      <c r="A152" s="10"/>
      <c r="B152" s="11"/>
      <c r="C152" s="10"/>
      <c r="D152" s="11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2.75" customHeight="1">
      <c r="A153" s="10"/>
      <c r="B153" s="11"/>
      <c r="C153" s="10"/>
      <c r="D153" s="11"/>
      <c r="E153" s="10"/>
      <c r="F153" s="1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2.75" customHeight="1">
      <c r="A154" s="10"/>
      <c r="B154" s="11"/>
      <c r="C154" s="10"/>
      <c r="D154" s="11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2.75" customHeight="1">
      <c r="A155" s="10"/>
      <c r="B155" s="11"/>
      <c r="C155" s="10"/>
      <c r="D155" s="11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  <c r="W155" s="10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2.75" customHeight="1">
      <c r="A156" s="10"/>
      <c r="B156" s="11"/>
      <c r="C156" s="10"/>
      <c r="D156" s="11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  <c r="W156" s="10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2.75" customHeight="1">
      <c r="A157" s="10"/>
      <c r="B157" s="11"/>
      <c r="C157" s="10"/>
      <c r="D157" s="11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  <c r="W157" s="10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2.75" customHeight="1">
      <c r="A158" s="10"/>
      <c r="B158" s="11"/>
      <c r="C158" s="10"/>
      <c r="D158" s="11"/>
      <c r="E158" s="10"/>
      <c r="F158" s="1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  <c r="W158" s="10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2.75" customHeight="1">
      <c r="A159" s="10"/>
      <c r="B159" s="11"/>
      <c r="C159" s="10"/>
      <c r="D159" s="11"/>
      <c r="E159" s="10"/>
      <c r="F159" s="1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2.75" customHeight="1">
      <c r="A160" s="10"/>
      <c r="B160" s="11"/>
      <c r="C160" s="10"/>
      <c r="D160" s="11"/>
      <c r="E160" s="10"/>
      <c r="F160" s="1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  <c r="W160" s="10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2.75" customHeight="1">
      <c r="A161" s="10"/>
      <c r="B161" s="11"/>
      <c r="C161" s="10"/>
      <c r="D161" s="11"/>
      <c r="E161" s="10"/>
      <c r="F161" s="1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/>
      <c r="V161" s="11"/>
      <c r="W161" s="10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2.75" customHeight="1">
      <c r="A162" s="10"/>
      <c r="B162" s="11"/>
      <c r="C162" s="10"/>
      <c r="D162" s="11"/>
      <c r="E162" s="10"/>
      <c r="F162" s="1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/>
      <c r="V162" s="11"/>
      <c r="W162" s="10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2.75" customHeight="1">
      <c r="A163" s="10"/>
      <c r="B163" s="11"/>
      <c r="C163" s="10"/>
      <c r="D163" s="11"/>
      <c r="E163" s="10"/>
      <c r="F163" s="1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/>
      <c r="V163" s="11"/>
      <c r="W163" s="10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2.75" customHeight="1">
      <c r="A164" s="10"/>
      <c r="B164" s="11"/>
      <c r="C164" s="10"/>
      <c r="D164" s="11"/>
      <c r="E164" s="10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  <c r="W164" s="10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2.75" customHeight="1">
      <c r="A165" s="10"/>
      <c r="B165" s="11"/>
      <c r="C165" s="10"/>
      <c r="D165" s="11"/>
      <c r="E165" s="10"/>
      <c r="F165" s="1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  <c r="W165" s="10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2.75" customHeight="1">
      <c r="A166" s="10"/>
      <c r="B166" s="11"/>
      <c r="C166" s="10"/>
      <c r="D166" s="11"/>
      <c r="E166" s="10"/>
      <c r="F166" s="1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/>
      <c r="V166" s="11"/>
      <c r="W166" s="10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2.75" customHeight="1">
      <c r="A167" s="10"/>
      <c r="B167" s="11"/>
      <c r="C167" s="10"/>
      <c r="D167" s="11"/>
      <c r="E167" s="10"/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/>
      <c r="V167" s="11"/>
      <c r="W167" s="10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2.75" customHeight="1">
      <c r="A168" s="10"/>
      <c r="B168" s="11"/>
      <c r="C168" s="10"/>
      <c r="D168" s="11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/>
      <c r="V168" s="11"/>
      <c r="W168" s="10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2.75" customHeight="1">
      <c r="A169" s="10"/>
      <c r="B169" s="11"/>
      <c r="C169" s="10"/>
      <c r="D169" s="11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/>
      <c r="V169" s="11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2.75" customHeight="1">
      <c r="A170" s="10"/>
      <c r="B170" s="11"/>
      <c r="C170" s="10"/>
      <c r="D170" s="11"/>
      <c r="E170" s="10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/>
      <c r="V170" s="11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2.75" customHeight="1">
      <c r="A171" s="10"/>
      <c r="B171" s="11"/>
      <c r="C171" s="10"/>
      <c r="D171" s="11"/>
      <c r="E171" s="10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/>
      <c r="V171" s="11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2.75" customHeight="1">
      <c r="A172" s="10"/>
      <c r="B172" s="11"/>
      <c r="C172" s="10"/>
      <c r="D172" s="11"/>
      <c r="E172" s="10"/>
      <c r="F172" s="1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/>
      <c r="V172" s="11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2.75" customHeight="1">
      <c r="A173" s="10"/>
      <c r="B173" s="11"/>
      <c r="C173" s="10"/>
      <c r="D173" s="11"/>
      <c r="E173" s="10"/>
      <c r="F173" s="1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/>
      <c r="V173" s="11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2.75" customHeight="1">
      <c r="A174" s="10"/>
      <c r="B174" s="11"/>
      <c r="C174" s="10"/>
      <c r="D174" s="11"/>
      <c r="E174" s="10"/>
      <c r="F174" s="1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/>
      <c r="V174" s="11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2.75" customHeight="1">
      <c r="A175" s="10"/>
      <c r="B175" s="11"/>
      <c r="C175" s="10"/>
      <c r="D175" s="11"/>
      <c r="E175" s="10"/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/>
      <c r="V175" s="11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2.75" customHeight="1">
      <c r="A176" s="10"/>
      <c r="B176" s="11"/>
      <c r="C176" s="10"/>
      <c r="D176" s="11"/>
      <c r="E176" s="10"/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/>
      <c r="V176" s="11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2.75" customHeight="1">
      <c r="A177" s="10"/>
      <c r="B177" s="11"/>
      <c r="C177" s="10"/>
      <c r="D177" s="11"/>
      <c r="E177" s="10"/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/>
      <c r="V177" s="11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2.75" customHeight="1">
      <c r="A178" s="10"/>
      <c r="B178" s="11"/>
      <c r="C178" s="10"/>
      <c r="D178" s="11"/>
      <c r="E178" s="10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/>
      <c r="V178" s="11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2.75" customHeight="1">
      <c r="A179" s="10"/>
      <c r="B179" s="11"/>
      <c r="C179" s="10"/>
      <c r="D179" s="11"/>
      <c r="E179" s="10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/>
      <c r="V179" s="11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2.75" customHeight="1">
      <c r="A180" s="10"/>
      <c r="B180" s="11"/>
      <c r="C180" s="10"/>
      <c r="D180" s="11"/>
      <c r="E180" s="10"/>
      <c r="F180" s="1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/>
      <c r="V180" s="11"/>
      <c r="W180" s="10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2.75" customHeight="1">
      <c r="A181" s="10"/>
      <c r="B181" s="11"/>
      <c r="C181" s="10"/>
      <c r="D181" s="11"/>
      <c r="E181" s="10"/>
      <c r="F181" s="1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/>
      <c r="V181" s="11"/>
      <c r="W181" s="10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2.75" customHeight="1">
      <c r="A182" s="10"/>
      <c r="B182" s="11"/>
      <c r="C182" s="10"/>
      <c r="D182" s="11"/>
      <c r="E182" s="10"/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/>
      <c r="V182" s="11"/>
      <c r="W182" s="10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2.75" customHeight="1">
      <c r="A183" s="10"/>
      <c r="B183" s="11"/>
      <c r="C183" s="10"/>
      <c r="D183" s="11"/>
      <c r="E183" s="10"/>
      <c r="F183" s="1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/>
      <c r="V183" s="11"/>
      <c r="W183" s="10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2.75" customHeight="1">
      <c r="A184" s="10"/>
      <c r="B184" s="11"/>
      <c r="C184" s="10"/>
      <c r="D184" s="11"/>
      <c r="E184" s="10"/>
      <c r="F184" s="1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/>
      <c r="V184" s="11"/>
      <c r="W184" s="10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2.75" customHeight="1">
      <c r="A185" s="10"/>
      <c r="B185" s="11"/>
      <c r="C185" s="10"/>
      <c r="D185" s="11"/>
      <c r="E185" s="10"/>
      <c r="F185" s="1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/>
      <c r="V185" s="11"/>
      <c r="W185" s="10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2.75" customHeight="1">
      <c r="A186" s="10"/>
      <c r="B186" s="11"/>
      <c r="C186" s="10"/>
      <c r="D186" s="11"/>
      <c r="E186" s="10"/>
      <c r="F186" s="1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/>
      <c r="V186" s="11"/>
      <c r="W186" s="10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2.75" customHeight="1">
      <c r="A187" s="10"/>
      <c r="B187" s="11"/>
      <c r="C187" s="10"/>
      <c r="D187" s="11"/>
      <c r="E187" s="10"/>
      <c r="F187" s="1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/>
      <c r="V187" s="11"/>
      <c r="W187" s="10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2.75" customHeight="1">
      <c r="A188" s="10"/>
      <c r="B188" s="11"/>
      <c r="C188" s="10"/>
      <c r="D188" s="11"/>
      <c r="E188" s="10"/>
      <c r="F188" s="1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/>
      <c r="V188" s="11"/>
      <c r="W188" s="10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2.75" customHeight="1">
      <c r="A189" s="10"/>
      <c r="B189" s="11"/>
      <c r="C189" s="10"/>
      <c r="D189" s="11"/>
      <c r="E189" s="10"/>
      <c r="F189" s="1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/>
      <c r="V189" s="11"/>
      <c r="W189" s="10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2.75" customHeight="1">
      <c r="A190" s="10"/>
      <c r="B190" s="11"/>
      <c r="C190" s="10"/>
      <c r="D190" s="11"/>
      <c r="E190" s="10"/>
      <c r="F190" s="1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/>
      <c r="V190" s="11"/>
      <c r="W190" s="10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2.75" customHeight="1">
      <c r="A191" s="10"/>
      <c r="B191" s="11"/>
      <c r="C191" s="10"/>
      <c r="D191" s="11"/>
      <c r="E191" s="10"/>
      <c r="F191" s="1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/>
      <c r="V191" s="11"/>
      <c r="W191" s="10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2.75" customHeight="1">
      <c r="A192" s="10"/>
      <c r="B192" s="11"/>
      <c r="C192" s="10"/>
      <c r="D192" s="11"/>
      <c r="E192" s="10"/>
      <c r="F192" s="1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/>
      <c r="V192" s="11"/>
      <c r="W192" s="10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2.75" customHeight="1">
      <c r="A193" s="10"/>
      <c r="B193" s="11"/>
      <c r="C193" s="10"/>
      <c r="D193" s="11"/>
      <c r="E193" s="10"/>
      <c r="F193" s="1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/>
      <c r="V193" s="11"/>
      <c r="W193" s="10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2.75" customHeight="1">
      <c r="A194" s="10"/>
      <c r="B194" s="11"/>
      <c r="C194" s="10"/>
      <c r="D194" s="11"/>
      <c r="E194" s="10"/>
      <c r="F194" s="1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/>
      <c r="V194" s="11"/>
      <c r="W194" s="10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2.75" customHeight="1">
      <c r="A195" s="10"/>
      <c r="B195" s="11"/>
      <c r="C195" s="10"/>
      <c r="D195" s="11"/>
      <c r="E195" s="10"/>
      <c r="F195" s="1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/>
      <c r="V195" s="11"/>
      <c r="W195" s="10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2.75" customHeight="1">
      <c r="A196" s="10"/>
      <c r="B196" s="11"/>
      <c r="C196" s="10"/>
      <c r="D196" s="11"/>
      <c r="E196" s="10"/>
      <c r="F196" s="1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/>
      <c r="V196" s="11"/>
      <c r="W196" s="10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2.75" customHeight="1">
      <c r="A197" s="10"/>
      <c r="B197" s="11"/>
      <c r="C197" s="10"/>
      <c r="D197" s="11"/>
      <c r="E197" s="10"/>
      <c r="F197" s="1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/>
      <c r="V197" s="11"/>
      <c r="W197" s="10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2.75" customHeight="1">
      <c r="A198" s="10"/>
      <c r="B198" s="11"/>
      <c r="C198" s="10"/>
      <c r="D198" s="11"/>
      <c r="E198" s="10"/>
      <c r="F198" s="1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/>
      <c r="V198" s="11"/>
      <c r="W198" s="10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2.75" customHeight="1">
      <c r="A199" s="10"/>
      <c r="B199" s="11"/>
      <c r="C199" s="10"/>
      <c r="D199" s="11"/>
      <c r="E199" s="10"/>
      <c r="F199" s="1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/>
      <c r="V199" s="11"/>
      <c r="W199" s="10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2.75" customHeight="1">
      <c r="A200" s="10"/>
      <c r="B200" s="11"/>
      <c r="C200" s="10"/>
      <c r="D200" s="11"/>
      <c r="E200" s="10"/>
      <c r="F200" s="1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/>
      <c r="V200" s="11"/>
      <c r="W200" s="10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2.75" customHeight="1">
      <c r="A201" s="10"/>
      <c r="B201" s="11"/>
      <c r="C201" s="10"/>
      <c r="D201" s="11"/>
      <c r="E201" s="10"/>
      <c r="F201" s="1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/>
      <c r="V201" s="11"/>
      <c r="W201" s="10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2.75" customHeight="1">
      <c r="A202" s="10"/>
      <c r="B202" s="11"/>
      <c r="C202" s="10"/>
      <c r="D202" s="11"/>
      <c r="E202" s="10"/>
      <c r="F202" s="1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/>
      <c r="V202" s="11"/>
      <c r="W202" s="10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2.75" customHeight="1">
      <c r="A203" s="10"/>
      <c r="B203" s="11"/>
      <c r="C203" s="10"/>
      <c r="D203" s="11"/>
      <c r="E203" s="10"/>
      <c r="F203" s="1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0"/>
      <c r="V203" s="11"/>
      <c r="W203" s="10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2.75" customHeight="1">
      <c r="A204" s="10"/>
      <c r="B204" s="11"/>
      <c r="C204" s="10"/>
      <c r="D204" s="11"/>
      <c r="E204" s="10"/>
      <c r="F204" s="1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0"/>
      <c r="V204" s="11"/>
      <c r="W204" s="10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2.75" customHeight="1">
      <c r="A205" s="10"/>
      <c r="B205" s="11"/>
      <c r="C205" s="10"/>
      <c r="D205" s="11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0"/>
      <c r="V205" s="11"/>
      <c r="W205" s="10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2.75" customHeight="1">
      <c r="A206" s="10"/>
      <c r="B206" s="11"/>
      <c r="C206" s="10"/>
      <c r="D206" s="11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0"/>
      <c r="V206" s="11"/>
      <c r="W206" s="10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2.75" customHeight="1">
      <c r="A207" s="10"/>
      <c r="B207" s="11"/>
      <c r="C207" s="10"/>
      <c r="D207" s="11"/>
      <c r="E207" s="10"/>
      <c r="F207" s="1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0"/>
      <c r="V207" s="11"/>
      <c r="W207" s="10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2.75" customHeight="1">
      <c r="A208" s="10"/>
      <c r="B208" s="11"/>
      <c r="C208" s="10"/>
      <c r="D208" s="11"/>
      <c r="E208" s="10"/>
      <c r="F208" s="1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0"/>
      <c r="V208" s="11"/>
      <c r="W208" s="10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2.75" customHeight="1">
      <c r="A209" s="10"/>
      <c r="B209" s="11"/>
      <c r="C209" s="10"/>
      <c r="D209" s="11"/>
      <c r="E209" s="10"/>
      <c r="F209" s="1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0"/>
      <c r="V209" s="11"/>
      <c r="W209" s="10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2.75" customHeight="1">
      <c r="A210" s="10"/>
      <c r="B210" s="11"/>
      <c r="C210" s="10"/>
      <c r="D210" s="11"/>
      <c r="E210" s="10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0"/>
      <c r="V210" s="11"/>
      <c r="W210" s="10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2.75" customHeight="1">
      <c r="A211" s="10"/>
      <c r="B211" s="11"/>
      <c r="C211" s="10"/>
      <c r="D211" s="11"/>
      <c r="E211" s="10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0"/>
      <c r="V211" s="11"/>
      <c r="W211" s="10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2.75" customHeight="1">
      <c r="A212" s="10"/>
      <c r="B212" s="11"/>
      <c r="C212" s="10"/>
      <c r="D212" s="11"/>
      <c r="E212" s="10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0"/>
      <c r="V212" s="11"/>
      <c r="W212" s="10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2.75" customHeight="1">
      <c r="A213" s="10"/>
      <c r="B213" s="11"/>
      <c r="C213" s="10"/>
      <c r="D213" s="11"/>
      <c r="E213" s="10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0"/>
      <c r="V213" s="11"/>
      <c r="W213" s="10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2.75" customHeight="1">
      <c r="A214" s="10"/>
      <c r="B214" s="11"/>
      <c r="C214" s="10"/>
      <c r="D214" s="11"/>
      <c r="E214" s="10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0"/>
      <c r="V214" s="11"/>
      <c r="W214" s="10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2.75" customHeight="1">
      <c r="A215" s="10"/>
      <c r="B215" s="11"/>
      <c r="C215" s="10"/>
      <c r="D215" s="11"/>
      <c r="E215" s="10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0"/>
      <c r="V215" s="11"/>
      <c r="W215" s="10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2.75" customHeight="1">
      <c r="A216" s="10"/>
      <c r="B216" s="11"/>
      <c r="C216" s="10"/>
      <c r="D216" s="11"/>
      <c r="E216" s="10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0"/>
      <c r="V216" s="11"/>
      <c r="W216" s="10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2.75" customHeight="1">
      <c r="A217" s="10"/>
      <c r="B217" s="11"/>
      <c r="C217" s="10"/>
      <c r="D217" s="11"/>
      <c r="E217" s="10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0"/>
      <c r="V217" s="11"/>
      <c r="W217" s="10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2.75" customHeight="1">
      <c r="A218" s="10"/>
      <c r="B218" s="11"/>
      <c r="C218" s="10"/>
      <c r="D218" s="11"/>
      <c r="E218" s="10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0"/>
      <c r="V218" s="11"/>
      <c r="W218" s="10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2.75" customHeight="1">
      <c r="A219" s="10"/>
      <c r="B219" s="11"/>
      <c r="C219" s="10"/>
      <c r="D219" s="11"/>
      <c r="E219" s="10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0"/>
      <c r="V219" s="11"/>
      <c r="W219" s="10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2.75" customHeight="1">
      <c r="A220" s="10"/>
      <c r="B220" s="11"/>
      <c r="C220" s="10"/>
      <c r="D220" s="11"/>
      <c r="E220" s="10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0"/>
      <c r="V220" s="11"/>
      <c r="W220" s="10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2.75" customHeight="1">
      <c r="A221" s="10"/>
      <c r="B221" s="11"/>
      <c r="C221" s="10"/>
      <c r="D221" s="11"/>
      <c r="E221" s="10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0"/>
      <c r="V221" s="11"/>
      <c r="W221" s="10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2.75" customHeight="1">
      <c r="A222" s="10"/>
      <c r="B222" s="11"/>
      <c r="C222" s="10"/>
      <c r="D222" s="11"/>
      <c r="E222" s="10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0"/>
      <c r="V222" s="11"/>
      <c r="W222" s="10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2.75" customHeight="1">
      <c r="A223" s="10"/>
      <c r="B223" s="11"/>
      <c r="C223" s="10"/>
      <c r="D223" s="11"/>
      <c r="E223" s="10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0"/>
      <c r="V223" s="11"/>
      <c r="W223" s="10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2.75" customHeight="1">
      <c r="A224" s="10"/>
      <c r="B224" s="11"/>
      <c r="C224" s="10"/>
      <c r="D224" s="11"/>
      <c r="E224" s="10"/>
      <c r="F224" s="1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0"/>
      <c r="V224" s="11"/>
      <c r="W224" s="10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2.75" customHeight="1">
      <c r="A225" s="10"/>
      <c r="B225" s="11"/>
      <c r="C225" s="10"/>
      <c r="D225" s="11"/>
      <c r="E225" s="10"/>
      <c r="F225" s="1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0"/>
      <c r="V225" s="11"/>
      <c r="W225" s="10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2.75" customHeight="1">
      <c r="A226" s="10"/>
      <c r="B226" s="11"/>
      <c r="C226" s="10"/>
      <c r="D226" s="11"/>
      <c r="E226" s="10"/>
      <c r="F226" s="1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0"/>
      <c r="V226" s="11"/>
      <c r="W226" s="10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2.75" customHeight="1">
      <c r="A227" s="10"/>
      <c r="B227" s="11"/>
      <c r="C227" s="10"/>
      <c r="D227" s="11"/>
      <c r="E227" s="10"/>
      <c r="F227" s="1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0"/>
      <c r="V227" s="11"/>
      <c r="W227" s="10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2.75" customHeight="1">
      <c r="A228" s="10"/>
      <c r="B228" s="11"/>
      <c r="C228" s="10"/>
      <c r="D228" s="11"/>
      <c r="E228" s="10"/>
      <c r="F228" s="1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0"/>
      <c r="V228" s="11"/>
      <c r="W228" s="10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2.75" customHeight="1">
      <c r="A229" s="10"/>
      <c r="B229" s="11"/>
      <c r="C229" s="10"/>
      <c r="D229" s="11"/>
      <c r="E229" s="10"/>
      <c r="F229" s="1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0"/>
      <c r="V229" s="11"/>
      <c r="W229" s="10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2.75" customHeight="1">
      <c r="A230" s="10"/>
      <c r="B230" s="11"/>
      <c r="C230" s="10"/>
      <c r="D230" s="11"/>
      <c r="E230" s="10"/>
      <c r="F230" s="1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0"/>
      <c r="V230" s="11"/>
      <c r="W230" s="10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2.75" customHeight="1">
      <c r="A231" s="10"/>
      <c r="B231" s="11"/>
      <c r="C231" s="10"/>
      <c r="D231" s="11"/>
      <c r="E231" s="10"/>
      <c r="F231" s="1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0"/>
      <c r="V231" s="11"/>
      <c r="W231" s="10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2.75" customHeight="1">
      <c r="A232" s="10"/>
      <c r="B232" s="11"/>
      <c r="C232" s="10"/>
      <c r="D232" s="11"/>
      <c r="E232" s="10"/>
      <c r="F232" s="1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0"/>
      <c r="V232" s="11"/>
      <c r="W232" s="10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2.75" customHeight="1">
      <c r="A233" s="10"/>
      <c r="B233" s="11"/>
      <c r="C233" s="10"/>
      <c r="D233" s="11"/>
      <c r="E233" s="10"/>
      <c r="F233" s="1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0"/>
      <c r="V233" s="11"/>
      <c r="W233" s="10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2.75" customHeight="1">
      <c r="A234" s="10"/>
      <c r="B234" s="11"/>
      <c r="C234" s="10"/>
      <c r="D234" s="11"/>
      <c r="E234" s="10"/>
      <c r="F234" s="1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0"/>
      <c r="V234" s="11"/>
      <c r="W234" s="10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2.75" customHeight="1">
      <c r="A235" s="10"/>
      <c r="B235" s="11"/>
      <c r="C235" s="10"/>
      <c r="D235" s="11"/>
      <c r="E235" s="10"/>
      <c r="F235" s="1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0"/>
      <c r="V235" s="11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2.75" customHeight="1">
      <c r="A236" s="10"/>
      <c r="B236" s="11"/>
      <c r="C236" s="10"/>
      <c r="D236" s="11"/>
      <c r="E236" s="10"/>
      <c r="F236" s="1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0"/>
      <c r="V236" s="11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2.75" customHeight="1">
      <c r="A237" s="10"/>
      <c r="B237" s="11"/>
      <c r="C237" s="10"/>
      <c r="D237" s="11"/>
      <c r="E237" s="10"/>
      <c r="F237" s="1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0"/>
      <c r="V237" s="11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2.75" customHeight="1">
      <c r="A238" s="10"/>
      <c r="B238" s="11"/>
      <c r="C238" s="10"/>
      <c r="D238" s="11"/>
      <c r="E238" s="10"/>
      <c r="F238" s="1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0"/>
      <c r="V238" s="11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2.75" customHeight="1">
      <c r="A239" s="10"/>
      <c r="B239" s="11"/>
      <c r="C239" s="10"/>
      <c r="D239" s="11"/>
      <c r="E239" s="10"/>
      <c r="F239" s="1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0"/>
      <c r="V239" s="11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2.75" customHeight="1">
      <c r="A240" s="10"/>
      <c r="B240" s="11"/>
      <c r="C240" s="10"/>
      <c r="D240" s="11"/>
      <c r="E240" s="10"/>
      <c r="F240" s="1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0"/>
      <c r="V240" s="11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2.75" customHeight="1">
      <c r="A241" s="10"/>
      <c r="B241" s="11"/>
      <c r="C241" s="10"/>
      <c r="D241" s="11"/>
      <c r="E241" s="10"/>
      <c r="F241" s="1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0"/>
      <c r="V241" s="11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2.75" customHeight="1">
      <c r="A242" s="10"/>
      <c r="B242" s="11"/>
      <c r="C242" s="10"/>
      <c r="D242" s="11"/>
      <c r="E242" s="10"/>
      <c r="F242" s="1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0"/>
      <c r="V242" s="11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2.75" customHeight="1">
      <c r="A243" s="10"/>
      <c r="B243" s="11"/>
      <c r="C243" s="10"/>
      <c r="D243" s="11"/>
      <c r="E243" s="10"/>
      <c r="F243" s="1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0"/>
      <c r="V243" s="11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2.75" customHeight="1">
      <c r="A244" s="10"/>
      <c r="B244" s="11"/>
      <c r="C244" s="10"/>
      <c r="D244" s="11"/>
      <c r="E244" s="10"/>
      <c r="F244" s="1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0"/>
      <c r="V244" s="11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2.75" customHeight="1">
      <c r="A245" s="10"/>
      <c r="B245" s="11"/>
      <c r="C245" s="10"/>
      <c r="D245" s="11"/>
      <c r="E245" s="10"/>
      <c r="F245" s="1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0"/>
      <c r="V245" s="11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2.75" customHeight="1">
      <c r="A246" s="10"/>
      <c r="B246" s="11"/>
      <c r="C246" s="10"/>
      <c r="D246" s="11"/>
      <c r="E246" s="10"/>
      <c r="F246" s="1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0"/>
      <c r="V246" s="11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2.75" customHeight="1">
      <c r="A247" s="10"/>
      <c r="B247" s="11"/>
      <c r="C247" s="10"/>
      <c r="D247" s="11"/>
      <c r="E247" s="10"/>
      <c r="F247" s="1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0"/>
      <c r="V247" s="11"/>
      <c r="W247" s="10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2.75" customHeight="1">
      <c r="A248" s="10"/>
      <c r="B248" s="11"/>
      <c r="C248" s="10"/>
      <c r="D248" s="11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0"/>
      <c r="V248" s="11"/>
      <c r="W248" s="10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2.75" customHeight="1">
      <c r="A249" s="10"/>
      <c r="B249" s="11"/>
      <c r="C249" s="10"/>
      <c r="D249" s="11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0"/>
      <c r="V249" s="11"/>
      <c r="W249" s="10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2.75" customHeight="1">
      <c r="A250" s="10"/>
      <c r="B250" s="11"/>
      <c r="C250" s="10"/>
      <c r="D250" s="11"/>
      <c r="E250" s="10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0"/>
      <c r="V250" s="11"/>
      <c r="W250" s="10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2.75" customHeight="1">
      <c r="A251" s="10"/>
      <c r="B251" s="11"/>
      <c r="C251" s="10"/>
      <c r="D251" s="11"/>
      <c r="E251" s="10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0"/>
      <c r="V251" s="11"/>
      <c r="W251" s="10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2.75" customHeight="1">
      <c r="A252" s="10"/>
      <c r="B252" s="11"/>
      <c r="C252" s="10"/>
      <c r="D252" s="11"/>
      <c r="E252" s="10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0"/>
      <c r="V252" s="11"/>
      <c r="W252" s="10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2.75" customHeight="1">
      <c r="A253" s="10"/>
      <c r="B253" s="11"/>
      <c r="C253" s="10"/>
      <c r="D253" s="11"/>
      <c r="E253" s="10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0"/>
      <c r="V253" s="11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2.75" customHeight="1">
      <c r="A254" s="10"/>
      <c r="B254" s="11"/>
      <c r="C254" s="10"/>
      <c r="D254" s="11"/>
      <c r="E254" s="10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0"/>
      <c r="V254" s="11"/>
      <c r="W254" s="10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2.75" customHeight="1">
      <c r="A255" s="10"/>
      <c r="B255" s="11"/>
      <c r="C255" s="10"/>
      <c r="D255" s="11"/>
      <c r="E255" s="10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0"/>
      <c r="V255" s="11"/>
      <c r="W255" s="10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2.75" customHeight="1">
      <c r="A256" s="10"/>
      <c r="B256" s="11"/>
      <c r="C256" s="10"/>
      <c r="D256" s="11"/>
      <c r="E256" s="10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0"/>
      <c r="V256" s="11"/>
      <c r="W256" s="10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2.75" customHeight="1">
      <c r="A257" s="10"/>
      <c r="B257" s="11"/>
      <c r="C257" s="10"/>
      <c r="D257" s="11"/>
      <c r="E257" s="10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0"/>
      <c r="V257" s="11"/>
      <c r="W257" s="10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2.75" customHeight="1">
      <c r="A258" s="10"/>
      <c r="B258" s="11"/>
      <c r="C258" s="10"/>
      <c r="D258" s="11"/>
      <c r="E258" s="10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0"/>
      <c r="V258" s="11"/>
      <c r="W258" s="10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2.75" customHeight="1">
      <c r="A259" s="10"/>
      <c r="B259" s="11"/>
      <c r="C259" s="10"/>
      <c r="D259" s="11"/>
      <c r="E259" s="10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0"/>
      <c r="V259" s="11"/>
      <c r="W259" s="10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2.75" customHeight="1">
      <c r="A260" s="10"/>
      <c r="B260" s="11"/>
      <c r="C260" s="10"/>
      <c r="D260" s="11"/>
      <c r="E260" s="10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0"/>
      <c r="V260" s="11"/>
      <c r="W260" s="10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2.75" customHeight="1">
      <c r="A261" s="10"/>
      <c r="B261" s="11"/>
      <c r="C261" s="10"/>
      <c r="D261" s="11"/>
      <c r="E261" s="10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0"/>
      <c r="V261" s="11"/>
      <c r="W261" s="10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2.75" customHeight="1">
      <c r="A262" s="10"/>
      <c r="B262" s="11"/>
      <c r="C262" s="10"/>
      <c r="D262" s="11"/>
      <c r="E262" s="10"/>
      <c r="F262" s="1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0"/>
      <c r="V262" s="11"/>
      <c r="W262" s="10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2.75" customHeight="1">
      <c r="A263" s="10"/>
      <c r="B263" s="11"/>
      <c r="C263" s="10"/>
      <c r="D263" s="11"/>
      <c r="E263" s="10"/>
      <c r="F263" s="1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0"/>
      <c r="V263" s="11"/>
      <c r="W263" s="10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2.75" customHeight="1">
      <c r="A264" s="10"/>
      <c r="B264" s="11"/>
      <c r="C264" s="10"/>
      <c r="D264" s="11"/>
      <c r="E264" s="10"/>
      <c r="F264" s="1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0"/>
      <c r="V264" s="11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2.75" customHeight="1">
      <c r="A265" s="10"/>
      <c r="B265" s="11"/>
      <c r="C265" s="10"/>
      <c r="D265" s="11"/>
      <c r="E265" s="10"/>
      <c r="F265" s="1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0"/>
      <c r="V265" s="11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2.75" customHeight="1">
      <c r="A266" s="10"/>
      <c r="B266" s="11"/>
      <c r="C266" s="10"/>
      <c r="D266" s="11"/>
      <c r="E266" s="10"/>
      <c r="F266" s="1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0"/>
      <c r="V266" s="11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2.75" customHeight="1">
      <c r="A267" s="10"/>
      <c r="B267" s="11"/>
      <c r="C267" s="10"/>
      <c r="D267" s="11"/>
      <c r="E267" s="10"/>
      <c r="F267" s="1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0"/>
      <c r="V267" s="11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2.75" customHeight="1">
      <c r="A268" s="10"/>
      <c r="B268" s="11"/>
      <c r="C268" s="10"/>
      <c r="D268" s="11"/>
      <c r="E268" s="10"/>
      <c r="F268" s="1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0"/>
      <c r="V268" s="11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2.75" customHeight="1">
      <c r="A269" s="10"/>
      <c r="B269" s="11"/>
      <c r="C269" s="10"/>
      <c r="D269" s="11"/>
      <c r="E269" s="10"/>
      <c r="F269" s="1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0"/>
      <c r="V269" s="11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2.75" customHeight="1">
      <c r="A270" s="10"/>
      <c r="B270" s="11"/>
      <c r="C270" s="10"/>
      <c r="D270" s="11"/>
      <c r="E270" s="10"/>
      <c r="F270" s="1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0"/>
      <c r="V270" s="11"/>
      <c r="W270" s="10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2.75" customHeight="1">
      <c r="A271" s="10"/>
      <c r="B271" s="11"/>
      <c r="C271" s="10"/>
      <c r="D271" s="11"/>
      <c r="E271" s="10"/>
      <c r="F271" s="1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0"/>
      <c r="V271" s="11"/>
      <c r="W271" s="10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2.75" customHeight="1">
      <c r="A272" s="10"/>
      <c r="B272" s="11"/>
      <c r="C272" s="10"/>
      <c r="D272" s="11"/>
      <c r="E272" s="10"/>
      <c r="F272" s="1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0"/>
      <c r="V272" s="11"/>
      <c r="W272" s="10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2.75" customHeight="1">
      <c r="A273" s="10"/>
      <c r="B273" s="11"/>
      <c r="C273" s="10"/>
      <c r="D273" s="11"/>
      <c r="E273" s="10"/>
      <c r="F273" s="1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0"/>
      <c r="V273" s="11"/>
      <c r="W273" s="10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2.75" customHeight="1">
      <c r="A274" s="10"/>
      <c r="B274" s="11"/>
      <c r="C274" s="10"/>
      <c r="D274" s="11"/>
      <c r="E274" s="10"/>
      <c r="F274" s="1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0"/>
      <c r="V274" s="11"/>
      <c r="W274" s="10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2.75" customHeight="1">
      <c r="A275" s="10"/>
      <c r="B275" s="11"/>
      <c r="C275" s="10"/>
      <c r="D275" s="11"/>
      <c r="E275" s="10"/>
      <c r="F275" s="1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0"/>
      <c r="V275" s="11"/>
      <c r="W275" s="10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2.75" customHeight="1">
      <c r="A276" s="10"/>
      <c r="B276" s="11"/>
      <c r="C276" s="10"/>
      <c r="D276" s="11"/>
      <c r="E276" s="10"/>
      <c r="F276" s="1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0"/>
      <c r="V276" s="11"/>
      <c r="W276" s="10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2.75" customHeight="1">
      <c r="A277" s="10"/>
      <c r="B277" s="11"/>
      <c r="C277" s="10"/>
      <c r="D277" s="11"/>
      <c r="E277" s="10"/>
      <c r="F277" s="1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0"/>
      <c r="V277" s="11"/>
      <c r="W277" s="10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2.75" customHeight="1">
      <c r="A278" s="10"/>
      <c r="B278" s="11"/>
      <c r="C278" s="10"/>
      <c r="D278" s="11"/>
      <c r="E278" s="10"/>
      <c r="F278" s="1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0"/>
      <c r="V278" s="11"/>
      <c r="W278" s="10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2.75" customHeight="1">
      <c r="A279" s="10"/>
      <c r="B279" s="11"/>
      <c r="C279" s="10"/>
      <c r="D279" s="11"/>
      <c r="E279" s="10"/>
      <c r="F279" s="1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0"/>
      <c r="V279" s="11"/>
      <c r="W279" s="10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2.75" customHeight="1">
      <c r="A280" s="10"/>
      <c r="B280" s="11"/>
      <c r="C280" s="10"/>
      <c r="D280" s="11"/>
      <c r="E280" s="10"/>
      <c r="F280" s="1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0"/>
      <c r="V280" s="11"/>
      <c r="W280" s="10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2.75" customHeight="1">
      <c r="A281" s="10"/>
      <c r="B281" s="11"/>
      <c r="C281" s="10"/>
      <c r="D281" s="11"/>
      <c r="E281" s="10"/>
      <c r="F281" s="1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0"/>
      <c r="V281" s="11"/>
      <c r="W281" s="10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2.75" customHeight="1">
      <c r="A282" s="10"/>
      <c r="B282" s="11"/>
      <c r="C282" s="10"/>
      <c r="D282" s="11"/>
      <c r="E282" s="10"/>
      <c r="F282" s="1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0"/>
      <c r="V282" s="11"/>
      <c r="W282" s="10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2.75" customHeight="1">
      <c r="A283" s="10"/>
      <c r="B283" s="11"/>
      <c r="C283" s="10"/>
      <c r="D283" s="11"/>
      <c r="E283" s="10"/>
      <c r="F283" s="1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0"/>
      <c r="V283" s="11"/>
      <c r="W283" s="10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2.75" customHeight="1">
      <c r="A284" s="10"/>
      <c r="B284" s="11"/>
      <c r="C284" s="10"/>
      <c r="D284" s="11"/>
      <c r="E284" s="10"/>
      <c r="F284" s="1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0"/>
      <c r="V284" s="11"/>
      <c r="W284" s="10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2.75" customHeight="1">
      <c r="A285" s="10"/>
      <c r="B285" s="11"/>
      <c r="C285" s="10"/>
      <c r="D285" s="11"/>
      <c r="E285" s="10"/>
      <c r="F285" s="1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0"/>
      <c r="V285" s="11"/>
      <c r="W285" s="10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2.75" customHeight="1">
      <c r="A286" s="10"/>
      <c r="B286" s="11"/>
      <c r="C286" s="10"/>
      <c r="D286" s="11"/>
      <c r="E286" s="10"/>
      <c r="F286" s="1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0"/>
      <c r="V286" s="11"/>
      <c r="W286" s="10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2.75" customHeight="1">
      <c r="A287" s="10"/>
      <c r="B287" s="11"/>
      <c r="C287" s="10"/>
      <c r="D287" s="11"/>
      <c r="E287" s="10"/>
      <c r="F287" s="1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0"/>
      <c r="V287" s="11"/>
      <c r="W287" s="10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2.75" customHeight="1">
      <c r="A288" s="10"/>
      <c r="B288" s="11"/>
      <c r="C288" s="10"/>
      <c r="D288" s="11"/>
      <c r="E288" s="10"/>
      <c r="F288" s="1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0"/>
      <c r="V288" s="11"/>
      <c r="W288" s="10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2.75" customHeight="1">
      <c r="A289" s="10"/>
      <c r="B289" s="11"/>
      <c r="C289" s="10"/>
      <c r="D289" s="11"/>
      <c r="E289" s="10"/>
      <c r="F289" s="1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0"/>
      <c r="V289" s="11"/>
      <c r="W289" s="10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2.75" customHeight="1">
      <c r="A290" s="10"/>
      <c r="B290" s="11"/>
      <c r="C290" s="10"/>
      <c r="D290" s="11"/>
      <c r="E290" s="10"/>
      <c r="F290" s="1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0"/>
      <c r="V290" s="11"/>
      <c r="W290" s="10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2.75" customHeight="1">
      <c r="A291" s="10"/>
      <c r="B291" s="11"/>
      <c r="C291" s="10"/>
      <c r="D291" s="11"/>
      <c r="E291" s="10"/>
      <c r="F291" s="1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0"/>
      <c r="V291" s="11"/>
      <c r="W291" s="10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2.75" customHeight="1">
      <c r="A292" s="10"/>
      <c r="B292" s="11"/>
      <c r="C292" s="10"/>
      <c r="D292" s="11"/>
      <c r="E292" s="10"/>
      <c r="F292" s="1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0"/>
      <c r="V292" s="11"/>
      <c r="W292" s="10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2.75" customHeight="1">
      <c r="A293" s="10"/>
      <c r="B293" s="11"/>
      <c r="C293" s="10"/>
      <c r="D293" s="11"/>
      <c r="E293" s="10"/>
      <c r="F293" s="1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0"/>
      <c r="V293" s="11"/>
      <c r="W293" s="10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2.75" customHeight="1">
      <c r="A294" s="10"/>
      <c r="B294" s="11"/>
      <c r="C294" s="10"/>
      <c r="D294" s="11"/>
      <c r="E294" s="10"/>
      <c r="F294" s="1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0"/>
      <c r="V294" s="11"/>
      <c r="W294" s="10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2.75" customHeight="1">
      <c r="A295" s="10"/>
      <c r="B295" s="11"/>
      <c r="C295" s="10"/>
      <c r="D295" s="11"/>
      <c r="E295" s="10"/>
      <c r="F295" s="1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0"/>
      <c r="V295" s="11"/>
      <c r="W295" s="10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2.75" customHeight="1">
      <c r="A296" s="10"/>
      <c r="B296" s="11"/>
      <c r="C296" s="10"/>
      <c r="D296" s="11"/>
      <c r="E296" s="10"/>
      <c r="F296" s="1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0"/>
      <c r="V296" s="11"/>
      <c r="W296" s="10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2.75" customHeight="1">
      <c r="A297" s="10"/>
      <c r="B297" s="11"/>
      <c r="C297" s="10"/>
      <c r="D297" s="11"/>
      <c r="E297" s="10"/>
      <c r="F297" s="1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0"/>
      <c r="V297" s="11"/>
      <c r="W297" s="10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2.75" customHeight="1">
      <c r="A298" s="10"/>
      <c r="B298" s="11"/>
      <c r="C298" s="10"/>
      <c r="D298" s="11"/>
      <c r="E298" s="10"/>
      <c r="F298" s="1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0"/>
      <c r="V298" s="11"/>
      <c r="W298" s="10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2.75" customHeight="1">
      <c r="A299" s="10"/>
      <c r="B299" s="11"/>
      <c r="C299" s="10"/>
      <c r="D299" s="11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0"/>
      <c r="V299" s="11"/>
      <c r="W299" s="10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2.75" customHeight="1">
      <c r="A300" s="10"/>
      <c r="B300" s="11"/>
      <c r="C300" s="10"/>
      <c r="D300" s="11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0"/>
      <c r="V300" s="11"/>
      <c r="W300" s="10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2.75" customHeight="1">
      <c r="A301" s="10"/>
      <c r="B301" s="11"/>
      <c r="C301" s="10"/>
      <c r="D301" s="11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0"/>
      <c r="V301" s="11"/>
      <c r="W301" s="10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2.75" customHeight="1">
      <c r="A302" s="10"/>
      <c r="B302" s="11"/>
      <c r="C302" s="10"/>
      <c r="D302" s="11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0"/>
      <c r="V302" s="11"/>
      <c r="W302" s="10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2.75" customHeight="1">
      <c r="A303" s="10"/>
      <c r="B303" s="11"/>
      <c r="C303" s="10"/>
      <c r="D303" s="11"/>
      <c r="E303" s="10"/>
      <c r="F303" s="1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0"/>
      <c r="V303" s="11"/>
      <c r="W303" s="10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2.75" customHeight="1">
      <c r="A304" s="10"/>
      <c r="B304" s="11"/>
      <c r="C304" s="10"/>
      <c r="D304" s="11"/>
      <c r="E304" s="10"/>
      <c r="F304" s="1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0"/>
      <c r="V304" s="11"/>
      <c r="W304" s="10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2.75" customHeight="1">
      <c r="A305" s="10"/>
      <c r="B305" s="11"/>
      <c r="C305" s="10"/>
      <c r="D305" s="11"/>
      <c r="E305" s="10"/>
      <c r="F305" s="1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0"/>
      <c r="V305" s="11"/>
      <c r="W305" s="10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2.75" customHeight="1">
      <c r="A306" s="10"/>
      <c r="B306" s="11"/>
      <c r="C306" s="10"/>
      <c r="D306" s="11"/>
      <c r="E306" s="10"/>
      <c r="F306" s="1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/>
      <c r="V306" s="11"/>
      <c r="W306" s="10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2.75" customHeight="1">
      <c r="A307" s="10"/>
      <c r="B307" s="11"/>
      <c r="C307" s="10"/>
      <c r="D307" s="11"/>
      <c r="E307" s="10"/>
      <c r="F307" s="1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0"/>
      <c r="V307" s="11"/>
      <c r="W307" s="10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2.75" customHeight="1">
      <c r="A308" s="10"/>
      <c r="B308" s="11"/>
      <c r="C308" s="10"/>
      <c r="D308" s="11"/>
      <c r="E308" s="10"/>
      <c r="F308" s="1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0"/>
      <c r="V308" s="11"/>
      <c r="W308" s="10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2.75" customHeight="1">
      <c r="A309" s="10"/>
      <c r="B309" s="11"/>
      <c r="C309" s="10"/>
      <c r="D309" s="11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0"/>
      <c r="V309" s="11"/>
      <c r="W309" s="10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2.75" customHeight="1">
      <c r="A310" s="10"/>
      <c r="B310" s="11"/>
      <c r="C310" s="10"/>
      <c r="D310" s="11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0"/>
      <c r="V310" s="11"/>
      <c r="W310" s="10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2.75" customHeight="1">
      <c r="A311" s="10"/>
      <c r="B311" s="11"/>
      <c r="C311" s="10"/>
      <c r="D311" s="11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0"/>
      <c r="V311" s="11"/>
      <c r="W311" s="10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2.75" customHeight="1">
      <c r="A312" s="10"/>
      <c r="B312" s="11"/>
      <c r="C312" s="10"/>
      <c r="D312" s="11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0"/>
      <c r="V312" s="11"/>
      <c r="W312" s="10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2.75" customHeight="1">
      <c r="A313" s="10"/>
      <c r="B313" s="11"/>
      <c r="C313" s="10"/>
      <c r="D313" s="11"/>
      <c r="E313" s="10"/>
      <c r="F313" s="1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0"/>
      <c r="V313" s="11"/>
      <c r="W313" s="10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2.75" customHeight="1">
      <c r="A314" s="10"/>
      <c r="B314" s="11"/>
      <c r="C314" s="10"/>
      <c r="D314" s="11"/>
      <c r="E314" s="10"/>
      <c r="F314" s="1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0"/>
      <c r="V314" s="11"/>
      <c r="W314" s="10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2.75" customHeight="1">
      <c r="A315" s="10"/>
      <c r="B315" s="11"/>
      <c r="C315" s="10"/>
      <c r="D315" s="11"/>
      <c r="E315" s="10"/>
      <c r="F315" s="1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0"/>
      <c r="V315" s="11"/>
      <c r="W315" s="10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2.75" customHeight="1">
      <c r="A316" s="10"/>
      <c r="B316" s="11"/>
      <c r="C316" s="10"/>
      <c r="D316" s="11"/>
      <c r="E316" s="10"/>
      <c r="F316" s="1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/>
      <c r="V316" s="11"/>
      <c r="W316" s="10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2.75" customHeight="1">
      <c r="A317" s="10"/>
      <c r="B317" s="11"/>
      <c r="C317" s="10"/>
      <c r="D317" s="11"/>
      <c r="E317" s="10"/>
      <c r="F317" s="1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0"/>
      <c r="V317" s="11"/>
      <c r="W317" s="10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2.75" customHeight="1">
      <c r="A318" s="10"/>
      <c r="B318" s="11"/>
      <c r="C318" s="10"/>
      <c r="D318" s="11"/>
      <c r="E318" s="10"/>
      <c r="F318" s="1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0"/>
      <c r="V318" s="11"/>
      <c r="W318" s="10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2.75" customHeight="1">
      <c r="A319" s="10"/>
      <c r="B319" s="11"/>
      <c r="C319" s="10"/>
      <c r="D319" s="11"/>
      <c r="E319" s="10"/>
      <c r="F319" s="1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0"/>
      <c r="V319" s="11"/>
      <c r="W319" s="10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2.75" customHeight="1">
      <c r="A320" s="10"/>
      <c r="B320" s="11"/>
      <c r="C320" s="10"/>
      <c r="D320" s="11"/>
      <c r="E320" s="10"/>
      <c r="F320" s="1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0"/>
      <c r="V320" s="11"/>
      <c r="W320" s="10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2.75" customHeight="1">
      <c r="A321" s="10"/>
      <c r="B321" s="11"/>
      <c r="C321" s="10"/>
      <c r="D321" s="11"/>
      <c r="E321" s="10"/>
      <c r="F321" s="1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0"/>
      <c r="V321" s="11"/>
      <c r="W321" s="10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2.75" customHeight="1">
      <c r="A322" s="10"/>
      <c r="B322" s="11"/>
      <c r="C322" s="10"/>
      <c r="D322" s="11"/>
      <c r="E322" s="10"/>
      <c r="F322" s="1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0"/>
      <c r="V322" s="11"/>
      <c r="W322" s="10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2.75" customHeight="1">
      <c r="A323" s="10"/>
      <c r="B323" s="11"/>
      <c r="C323" s="10"/>
      <c r="D323" s="11"/>
      <c r="E323" s="10"/>
      <c r="F323" s="1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0"/>
      <c r="V323" s="11"/>
      <c r="W323" s="10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2.75" customHeight="1">
      <c r="A324" s="10"/>
      <c r="B324" s="11"/>
      <c r="C324" s="10"/>
      <c r="D324" s="11"/>
      <c r="E324" s="10"/>
      <c r="F324" s="1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0"/>
      <c r="V324" s="11"/>
      <c r="W324" s="10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2.75" customHeight="1">
      <c r="A325" s="10"/>
      <c r="B325" s="11"/>
      <c r="C325" s="10"/>
      <c r="D325" s="11"/>
      <c r="E325" s="10"/>
      <c r="F325" s="1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0"/>
      <c r="V325" s="11"/>
      <c r="W325" s="10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2.75" customHeight="1">
      <c r="A326" s="10"/>
      <c r="B326" s="11"/>
      <c r="C326" s="10"/>
      <c r="D326" s="11"/>
      <c r="E326" s="10"/>
      <c r="F326" s="1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0"/>
      <c r="V326" s="11"/>
      <c r="W326" s="10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2.75" customHeight="1">
      <c r="A327" s="10"/>
      <c r="B327" s="11"/>
      <c r="C327" s="10"/>
      <c r="D327" s="11"/>
      <c r="E327" s="10"/>
      <c r="F327" s="1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0"/>
      <c r="V327" s="11"/>
      <c r="W327" s="10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2.75" customHeight="1">
      <c r="A328" s="10"/>
      <c r="B328" s="11"/>
      <c r="C328" s="10"/>
      <c r="D328" s="11"/>
      <c r="E328" s="10"/>
      <c r="F328" s="1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0"/>
      <c r="V328" s="11"/>
      <c r="W328" s="10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2.75" customHeight="1">
      <c r="A329" s="10"/>
      <c r="B329" s="11"/>
      <c r="C329" s="10"/>
      <c r="D329" s="11"/>
      <c r="E329" s="10"/>
      <c r="F329" s="1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0"/>
      <c r="V329" s="11"/>
      <c r="W329" s="10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2.75" customHeight="1">
      <c r="A330" s="10"/>
      <c r="B330" s="11"/>
      <c r="C330" s="10"/>
      <c r="D330" s="11"/>
      <c r="E330" s="10"/>
      <c r="F330" s="1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0"/>
      <c r="V330" s="11"/>
      <c r="W330" s="10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2.75" customHeight="1">
      <c r="A331" s="10"/>
      <c r="B331" s="11"/>
      <c r="C331" s="10"/>
      <c r="D331" s="11"/>
      <c r="E331" s="10"/>
      <c r="F331" s="1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0"/>
      <c r="V331" s="11"/>
      <c r="W331" s="10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2.75" customHeight="1">
      <c r="A332" s="10"/>
      <c r="B332" s="11"/>
      <c r="C332" s="10"/>
      <c r="D332" s="11"/>
      <c r="E332" s="10"/>
      <c r="F332" s="1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0"/>
      <c r="V332" s="11"/>
      <c r="W332" s="10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2.75" customHeight="1">
      <c r="A333" s="10"/>
      <c r="B333" s="11"/>
      <c r="C333" s="10"/>
      <c r="D333" s="11"/>
      <c r="E333" s="10"/>
      <c r="F333" s="1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0"/>
      <c r="V333" s="11"/>
      <c r="W333" s="10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2.75" customHeight="1">
      <c r="A334" s="10"/>
      <c r="B334" s="11"/>
      <c r="C334" s="10"/>
      <c r="D334" s="11"/>
      <c r="E334" s="10"/>
      <c r="F334" s="1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0"/>
      <c r="V334" s="11"/>
      <c r="W334" s="10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2.75" customHeight="1">
      <c r="A335" s="10"/>
      <c r="B335" s="11"/>
      <c r="C335" s="10"/>
      <c r="D335" s="11"/>
      <c r="E335" s="10"/>
      <c r="F335" s="1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0"/>
      <c r="V335" s="11"/>
      <c r="W335" s="10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2.75" customHeight="1">
      <c r="A336" s="10"/>
      <c r="B336" s="11"/>
      <c r="C336" s="10"/>
      <c r="D336" s="11"/>
      <c r="E336" s="10"/>
      <c r="F336" s="1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0"/>
      <c r="V336" s="11"/>
      <c r="W336" s="10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2.75" customHeight="1">
      <c r="A337" s="10"/>
      <c r="B337" s="11"/>
      <c r="C337" s="10"/>
      <c r="D337" s="11"/>
      <c r="E337" s="10"/>
      <c r="F337" s="1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0"/>
      <c r="V337" s="11"/>
      <c r="W337" s="10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2.75" customHeight="1">
      <c r="A338" s="10"/>
      <c r="B338" s="11"/>
      <c r="C338" s="10"/>
      <c r="D338" s="11"/>
      <c r="E338" s="10"/>
      <c r="F338" s="1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0"/>
      <c r="V338" s="11"/>
      <c r="W338" s="10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2.75" customHeight="1">
      <c r="A339" s="10"/>
      <c r="B339" s="11"/>
      <c r="C339" s="10"/>
      <c r="D339" s="11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0"/>
      <c r="V339" s="11"/>
      <c r="W339" s="10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2.75" customHeight="1">
      <c r="A340" s="10"/>
      <c r="B340" s="11"/>
      <c r="C340" s="10"/>
      <c r="D340" s="11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0"/>
      <c r="V340" s="11"/>
      <c r="W340" s="10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2.75" customHeight="1">
      <c r="A341" s="10"/>
      <c r="B341" s="11"/>
      <c r="C341" s="10"/>
      <c r="D341" s="11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0"/>
      <c r="V341" s="11"/>
      <c r="W341" s="10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2.75" customHeight="1">
      <c r="A342" s="10"/>
      <c r="B342" s="11"/>
      <c r="C342" s="10"/>
      <c r="D342" s="11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0"/>
      <c r="V342" s="11"/>
      <c r="W342" s="10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2.75" customHeight="1">
      <c r="A343" s="10"/>
      <c r="B343" s="11"/>
      <c r="C343" s="10"/>
      <c r="D343" s="11"/>
      <c r="E343" s="10"/>
      <c r="F343" s="1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0"/>
      <c r="V343" s="11"/>
      <c r="W343" s="10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2.75" customHeight="1">
      <c r="A344" s="10"/>
      <c r="B344" s="11"/>
      <c r="C344" s="10"/>
      <c r="D344" s="11"/>
      <c r="E344" s="10"/>
      <c r="F344" s="1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0"/>
      <c r="V344" s="11"/>
      <c r="W344" s="10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2.75" customHeight="1">
      <c r="A345" s="10"/>
      <c r="B345" s="11"/>
      <c r="C345" s="10"/>
      <c r="D345" s="11"/>
      <c r="E345" s="10"/>
      <c r="F345" s="1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0"/>
      <c r="V345" s="11"/>
      <c r="W345" s="10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2.75" customHeight="1">
      <c r="A346" s="10"/>
      <c r="B346" s="11"/>
      <c r="C346" s="10"/>
      <c r="D346" s="11"/>
      <c r="E346" s="10"/>
      <c r="F346" s="1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0"/>
      <c r="V346" s="11"/>
      <c r="W346" s="10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2.75" customHeight="1">
      <c r="A347" s="10"/>
      <c r="B347" s="11"/>
      <c r="C347" s="10"/>
      <c r="D347" s="11"/>
      <c r="E347" s="10"/>
      <c r="F347" s="1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0"/>
      <c r="V347" s="11"/>
      <c r="W347" s="10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2.75" customHeight="1">
      <c r="A348" s="10"/>
      <c r="B348" s="11"/>
      <c r="C348" s="10"/>
      <c r="D348" s="11"/>
      <c r="E348" s="10"/>
      <c r="F348" s="1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0"/>
      <c r="V348" s="11"/>
      <c r="W348" s="10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2.75" customHeight="1">
      <c r="A349" s="10"/>
      <c r="B349" s="11"/>
      <c r="C349" s="10"/>
      <c r="D349" s="11"/>
      <c r="E349" s="10"/>
      <c r="F349" s="1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0"/>
      <c r="V349" s="11"/>
      <c r="W349" s="10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2.75" customHeight="1">
      <c r="A350" s="10"/>
      <c r="B350" s="11"/>
      <c r="C350" s="10"/>
      <c r="D350" s="11"/>
      <c r="E350" s="10"/>
      <c r="F350" s="1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0"/>
      <c r="V350" s="11"/>
      <c r="W350" s="10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2.75" customHeight="1">
      <c r="A351" s="10"/>
      <c r="B351" s="11"/>
      <c r="C351" s="10"/>
      <c r="D351" s="11"/>
      <c r="E351" s="10"/>
      <c r="F351" s="1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0"/>
      <c r="V351" s="11"/>
      <c r="W351" s="10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2.75" customHeight="1">
      <c r="A352" s="10"/>
      <c r="B352" s="11"/>
      <c r="C352" s="10"/>
      <c r="D352" s="11"/>
      <c r="E352" s="10"/>
      <c r="F352" s="1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0"/>
      <c r="V352" s="11"/>
      <c r="W352" s="10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2.75" customHeight="1">
      <c r="A353" s="10"/>
      <c r="B353" s="11"/>
      <c r="C353" s="10"/>
      <c r="D353" s="11"/>
      <c r="E353" s="10"/>
      <c r="F353" s="1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0"/>
      <c r="V353" s="11"/>
      <c r="W353" s="10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2.75" customHeight="1">
      <c r="A354" s="10"/>
      <c r="B354" s="11"/>
      <c r="C354" s="10"/>
      <c r="D354" s="11"/>
      <c r="E354" s="10"/>
      <c r="F354" s="1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0"/>
      <c r="V354" s="11"/>
      <c r="W354" s="10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2.75" customHeight="1">
      <c r="A355" s="10"/>
      <c r="B355" s="11"/>
      <c r="C355" s="10"/>
      <c r="D355" s="11"/>
      <c r="E355" s="10"/>
      <c r="F355" s="1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0"/>
      <c r="V355" s="11"/>
      <c r="W355" s="10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2.75" customHeight="1">
      <c r="A356" s="10"/>
      <c r="B356" s="11"/>
      <c r="C356" s="10"/>
      <c r="D356" s="11"/>
      <c r="E356" s="10"/>
      <c r="F356" s="1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0"/>
      <c r="V356" s="11"/>
      <c r="W356" s="10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2.75" customHeight="1">
      <c r="A357" s="10"/>
      <c r="B357" s="11"/>
      <c r="C357" s="10"/>
      <c r="D357" s="11"/>
      <c r="E357" s="10"/>
      <c r="F357" s="1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0"/>
      <c r="V357" s="11"/>
      <c r="W357" s="10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2.75" customHeight="1">
      <c r="A358" s="10"/>
      <c r="B358" s="11"/>
      <c r="C358" s="10"/>
      <c r="D358" s="11"/>
      <c r="E358" s="10"/>
      <c r="F358" s="1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0"/>
      <c r="V358" s="11"/>
      <c r="W358" s="10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2.75" customHeight="1">
      <c r="A359" s="10"/>
      <c r="B359" s="11"/>
      <c r="C359" s="10"/>
      <c r="D359" s="11"/>
      <c r="E359" s="10"/>
      <c r="F359" s="1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0"/>
      <c r="V359" s="11"/>
      <c r="W359" s="10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2.75" customHeight="1">
      <c r="A360" s="10"/>
      <c r="B360" s="11"/>
      <c r="C360" s="10"/>
      <c r="D360" s="11"/>
      <c r="E360" s="10"/>
      <c r="F360" s="1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0"/>
      <c r="V360" s="11"/>
      <c r="W360" s="10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2.75" customHeight="1">
      <c r="A361" s="10"/>
      <c r="B361" s="11"/>
      <c r="C361" s="10"/>
      <c r="D361" s="11"/>
      <c r="E361" s="10"/>
      <c r="F361" s="1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0"/>
      <c r="V361" s="11"/>
      <c r="W361" s="10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2.75" customHeight="1">
      <c r="A362" s="10"/>
      <c r="B362" s="11"/>
      <c r="C362" s="10"/>
      <c r="D362" s="11"/>
      <c r="E362" s="10"/>
      <c r="F362" s="1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0"/>
      <c r="V362" s="11"/>
      <c r="W362" s="10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2.75" customHeight="1">
      <c r="A363" s="10"/>
      <c r="B363" s="11"/>
      <c r="C363" s="10"/>
      <c r="D363" s="11"/>
      <c r="E363" s="10"/>
      <c r="F363" s="1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0"/>
      <c r="V363" s="11"/>
      <c r="W363" s="10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2.75" customHeight="1">
      <c r="A364" s="10"/>
      <c r="B364" s="11"/>
      <c r="C364" s="10"/>
      <c r="D364" s="11"/>
      <c r="E364" s="10"/>
      <c r="F364" s="1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0"/>
      <c r="V364" s="11"/>
      <c r="W364" s="10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2.75" customHeight="1">
      <c r="A365" s="10"/>
      <c r="B365" s="11"/>
      <c r="C365" s="10"/>
      <c r="D365" s="11"/>
      <c r="E365" s="10"/>
      <c r="F365" s="1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0"/>
      <c r="V365" s="11"/>
      <c r="W365" s="10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2.75" customHeight="1">
      <c r="A366" s="10"/>
      <c r="B366" s="11"/>
      <c r="C366" s="10"/>
      <c r="D366" s="11"/>
      <c r="E366" s="10"/>
      <c r="F366" s="1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0"/>
      <c r="V366" s="11"/>
      <c r="W366" s="10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2.75" customHeight="1">
      <c r="A367" s="10"/>
      <c r="B367" s="11"/>
      <c r="C367" s="10"/>
      <c r="D367" s="11"/>
      <c r="E367" s="10"/>
      <c r="F367" s="1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0"/>
      <c r="V367" s="11"/>
      <c r="W367" s="10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2.75" customHeight="1">
      <c r="A368" s="10"/>
      <c r="B368" s="11"/>
      <c r="C368" s="10"/>
      <c r="D368" s="11"/>
      <c r="E368" s="10"/>
      <c r="F368" s="1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0"/>
      <c r="V368" s="11"/>
      <c r="W368" s="10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2.75" customHeight="1">
      <c r="A369" s="10"/>
      <c r="B369" s="11"/>
      <c r="C369" s="10"/>
      <c r="D369" s="11"/>
      <c r="E369" s="10"/>
      <c r="F369" s="1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0"/>
      <c r="V369" s="11"/>
      <c r="W369" s="10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2.75" customHeight="1">
      <c r="A370" s="10"/>
      <c r="B370" s="11"/>
      <c r="C370" s="10"/>
      <c r="D370" s="11"/>
      <c r="E370" s="10"/>
      <c r="F370" s="1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0"/>
      <c r="V370" s="11"/>
      <c r="W370" s="10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2.75" customHeight="1">
      <c r="A371" s="10"/>
      <c r="B371" s="11"/>
      <c r="C371" s="10"/>
      <c r="D371" s="11"/>
      <c r="E371" s="10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0"/>
      <c r="V371" s="11"/>
      <c r="W371" s="10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2.75" customHeight="1">
      <c r="A372" s="10"/>
      <c r="B372" s="11"/>
      <c r="C372" s="10"/>
      <c r="D372" s="11"/>
      <c r="E372" s="10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0"/>
      <c r="V372" s="11"/>
      <c r="W372" s="10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2.75" customHeight="1">
      <c r="A373" s="10"/>
      <c r="B373" s="11"/>
      <c r="C373" s="10"/>
      <c r="D373" s="11"/>
      <c r="E373" s="10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0"/>
      <c r="V373" s="11"/>
      <c r="W373" s="10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2.75" customHeight="1">
      <c r="A374" s="10"/>
      <c r="B374" s="11"/>
      <c r="C374" s="10"/>
      <c r="D374" s="11"/>
      <c r="E374" s="10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0"/>
      <c r="V374" s="11"/>
      <c r="W374" s="10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2.75" customHeight="1">
      <c r="A375" s="10"/>
      <c r="B375" s="11"/>
      <c r="C375" s="10"/>
      <c r="D375" s="11"/>
      <c r="E375" s="10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0"/>
      <c r="V375" s="11"/>
      <c r="W375" s="10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2.75" customHeight="1">
      <c r="A376" s="10"/>
      <c r="B376" s="11"/>
      <c r="C376" s="10"/>
      <c r="D376" s="11"/>
      <c r="E376" s="10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0"/>
      <c r="V376" s="11"/>
      <c r="W376" s="10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2.75" customHeight="1">
      <c r="A377" s="10"/>
      <c r="B377" s="11"/>
      <c r="C377" s="10"/>
      <c r="D377" s="11"/>
      <c r="E377" s="10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0"/>
      <c r="V377" s="11"/>
      <c r="W377" s="10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2.75" customHeight="1">
      <c r="A378" s="10"/>
      <c r="B378" s="11"/>
      <c r="C378" s="10"/>
      <c r="D378" s="11"/>
      <c r="E378" s="10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0"/>
      <c r="V378" s="11"/>
      <c r="W378" s="10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2.75" customHeight="1">
      <c r="A379" s="10"/>
      <c r="B379" s="11"/>
      <c r="C379" s="10"/>
      <c r="D379" s="11"/>
      <c r="E379" s="10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0"/>
      <c r="V379" s="11"/>
      <c r="W379" s="10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2.75" customHeight="1">
      <c r="A380" s="10"/>
      <c r="B380" s="11"/>
      <c r="C380" s="10"/>
      <c r="D380" s="11"/>
      <c r="E380" s="10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0"/>
      <c r="V380" s="11"/>
      <c r="W380" s="10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2.75" customHeight="1">
      <c r="A381" s="10"/>
      <c r="B381" s="11"/>
      <c r="C381" s="10"/>
      <c r="D381" s="11"/>
      <c r="E381" s="10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0"/>
      <c r="V381" s="11"/>
      <c r="W381" s="10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2.75" customHeight="1">
      <c r="A382" s="10"/>
      <c r="B382" s="11"/>
      <c r="C382" s="10"/>
      <c r="D382" s="11"/>
      <c r="E382" s="10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0"/>
      <c r="V382" s="11"/>
      <c r="W382" s="10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2.75" customHeight="1">
      <c r="A383" s="10"/>
      <c r="B383" s="11"/>
      <c r="C383" s="10"/>
      <c r="D383" s="11"/>
      <c r="E383" s="10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0"/>
      <c r="V383" s="11"/>
      <c r="W383" s="10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2.75" customHeight="1">
      <c r="A384" s="10"/>
      <c r="B384" s="11"/>
      <c r="C384" s="10"/>
      <c r="D384" s="11"/>
      <c r="E384" s="10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0"/>
      <c r="V384" s="11"/>
      <c r="W384" s="10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2.75" customHeight="1">
      <c r="A385" s="10"/>
      <c r="B385" s="11"/>
      <c r="C385" s="10"/>
      <c r="D385" s="11"/>
      <c r="E385" s="10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0"/>
      <c r="V385" s="11"/>
      <c r="W385" s="10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2.75" customHeight="1">
      <c r="A386" s="10"/>
      <c r="B386" s="11"/>
      <c r="C386" s="10"/>
      <c r="D386" s="11"/>
      <c r="E386" s="10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0"/>
      <c r="V386" s="11"/>
      <c r="W386" s="10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2.75" customHeight="1">
      <c r="A387" s="10"/>
      <c r="B387" s="11"/>
      <c r="C387" s="10"/>
      <c r="D387" s="11"/>
      <c r="E387" s="10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0"/>
      <c r="V387" s="11"/>
      <c r="W387" s="10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2.75" customHeight="1">
      <c r="A388" s="10"/>
      <c r="B388" s="11"/>
      <c r="C388" s="10"/>
      <c r="D388" s="11"/>
      <c r="E388" s="10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0"/>
      <c r="V388" s="11"/>
      <c r="W388" s="10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2.75" customHeight="1">
      <c r="A389" s="10"/>
      <c r="B389" s="11"/>
      <c r="C389" s="10"/>
      <c r="D389" s="11"/>
      <c r="E389" s="10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0"/>
      <c r="V389" s="11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2.75" customHeight="1">
      <c r="A390" s="10"/>
      <c r="B390" s="11"/>
      <c r="C390" s="10"/>
      <c r="D390" s="11"/>
      <c r="E390" s="10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0"/>
      <c r="V390" s="11"/>
      <c r="W390" s="10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2.75" customHeight="1">
      <c r="A391" s="10"/>
      <c r="B391" s="11"/>
      <c r="C391" s="10"/>
      <c r="D391" s="11"/>
      <c r="E391" s="10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0"/>
      <c r="V391" s="11"/>
      <c r="W391" s="10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2.75" customHeight="1">
      <c r="A392" s="10"/>
      <c r="B392" s="11"/>
      <c r="C392" s="10"/>
      <c r="D392" s="11"/>
      <c r="E392" s="10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0"/>
      <c r="V392" s="11"/>
      <c r="W392" s="10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2.75" customHeight="1">
      <c r="A393" s="10"/>
      <c r="B393" s="11"/>
      <c r="C393" s="10"/>
      <c r="D393" s="11"/>
      <c r="E393" s="10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0"/>
      <c r="V393" s="11"/>
      <c r="W393" s="10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2.75" customHeight="1">
      <c r="A394" s="10"/>
      <c r="B394" s="11"/>
      <c r="C394" s="10"/>
      <c r="D394" s="11"/>
      <c r="E394" s="10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0"/>
      <c r="V394" s="11"/>
      <c r="W394" s="10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2.75" customHeight="1">
      <c r="A395" s="10"/>
      <c r="B395" s="11"/>
      <c r="C395" s="10"/>
      <c r="D395" s="11"/>
      <c r="E395" s="10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0"/>
      <c r="V395" s="11"/>
      <c r="W395" s="10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2.75" customHeight="1">
      <c r="A396" s="10"/>
      <c r="B396" s="11"/>
      <c r="C396" s="10"/>
      <c r="D396" s="11"/>
      <c r="E396" s="10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0"/>
      <c r="V396" s="11"/>
      <c r="W396" s="10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2.75" customHeight="1">
      <c r="A397" s="10"/>
      <c r="B397" s="11"/>
      <c r="C397" s="10"/>
      <c r="D397" s="11"/>
      <c r="E397" s="10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0"/>
      <c r="V397" s="11"/>
      <c r="W397" s="10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2.75" customHeight="1">
      <c r="A398" s="10"/>
      <c r="B398" s="11"/>
      <c r="C398" s="10"/>
      <c r="D398" s="11"/>
      <c r="E398" s="10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0"/>
      <c r="V398" s="11"/>
      <c r="W398" s="10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2.75" customHeight="1">
      <c r="A399" s="10"/>
      <c r="B399" s="11"/>
      <c r="C399" s="10"/>
      <c r="D399" s="11"/>
      <c r="E399" s="10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0"/>
      <c r="V399" s="11"/>
      <c r="W399" s="10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2.75" customHeight="1">
      <c r="A400" s="10"/>
      <c r="B400" s="11"/>
      <c r="C400" s="10"/>
      <c r="D400" s="11"/>
      <c r="E400" s="10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0"/>
      <c r="V400" s="11"/>
      <c r="W400" s="10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2.75" customHeight="1">
      <c r="A401" s="10"/>
      <c r="B401" s="11"/>
      <c r="C401" s="10"/>
      <c r="D401" s="11"/>
      <c r="E401" s="10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0"/>
      <c r="V401" s="11"/>
      <c r="W401" s="10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2.75" customHeight="1">
      <c r="A402" s="10"/>
      <c r="B402" s="11"/>
      <c r="C402" s="10"/>
      <c r="D402" s="11"/>
      <c r="E402" s="10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0"/>
      <c r="V402" s="11"/>
      <c r="W402" s="10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2.75" customHeight="1">
      <c r="A403" s="10"/>
      <c r="B403" s="11"/>
      <c r="C403" s="10"/>
      <c r="D403" s="11"/>
      <c r="E403" s="10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0"/>
      <c r="V403" s="11"/>
      <c r="W403" s="10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2.75" customHeight="1">
      <c r="A404" s="10"/>
      <c r="B404" s="11"/>
      <c r="C404" s="10"/>
      <c r="D404" s="11"/>
      <c r="E404" s="10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0"/>
      <c r="V404" s="11"/>
      <c r="W404" s="10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2.75" customHeight="1">
      <c r="A405" s="10"/>
      <c r="B405" s="11"/>
      <c r="C405" s="10"/>
      <c r="D405" s="11"/>
      <c r="E405" s="10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0"/>
      <c r="V405" s="11"/>
      <c r="W405" s="10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2.75" customHeight="1">
      <c r="A406" s="10"/>
      <c r="B406" s="11"/>
      <c r="C406" s="10"/>
      <c r="D406" s="11"/>
      <c r="E406" s="10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0"/>
      <c r="V406" s="11"/>
      <c r="W406" s="10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2.75" customHeight="1">
      <c r="A407" s="10"/>
      <c r="B407" s="11"/>
      <c r="C407" s="10"/>
      <c r="D407" s="11"/>
      <c r="E407" s="10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0"/>
      <c r="V407" s="11"/>
      <c r="W407" s="10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2.75" customHeight="1">
      <c r="A408" s="10"/>
      <c r="B408" s="11"/>
      <c r="C408" s="10"/>
      <c r="D408" s="11"/>
      <c r="E408" s="10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0"/>
      <c r="V408" s="11"/>
      <c r="W408" s="10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2.75" customHeight="1">
      <c r="A409" s="10"/>
      <c r="B409" s="11"/>
      <c r="C409" s="10"/>
      <c r="D409" s="11"/>
      <c r="E409" s="10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0"/>
      <c r="V409" s="11"/>
      <c r="W409" s="10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2.75" customHeight="1">
      <c r="A410" s="10"/>
      <c r="B410" s="11"/>
      <c r="C410" s="10"/>
      <c r="D410" s="11"/>
      <c r="E410" s="10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0"/>
      <c r="V410" s="11"/>
      <c r="W410" s="10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2.75" customHeight="1">
      <c r="A411" s="10"/>
      <c r="B411" s="11"/>
      <c r="C411" s="10"/>
      <c r="D411" s="11"/>
      <c r="E411" s="10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0"/>
      <c r="V411" s="11"/>
      <c r="W411" s="10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2.75" customHeight="1">
      <c r="A412" s="10"/>
      <c r="B412" s="11"/>
      <c r="C412" s="10"/>
      <c r="D412" s="11"/>
      <c r="E412" s="10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0"/>
      <c r="V412" s="11"/>
      <c r="W412" s="10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2.75" customHeight="1">
      <c r="A413" s="10"/>
      <c r="B413" s="11"/>
      <c r="C413" s="10"/>
      <c r="D413" s="11"/>
      <c r="E413" s="10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0"/>
      <c r="V413" s="11"/>
      <c r="W413" s="10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2.75" customHeight="1">
      <c r="A414" s="10"/>
      <c r="B414" s="11"/>
      <c r="C414" s="10"/>
      <c r="D414" s="11"/>
      <c r="E414" s="10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0"/>
      <c r="V414" s="11"/>
      <c r="W414" s="10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2.75" customHeight="1">
      <c r="A415" s="10"/>
      <c r="B415" s="11"/>
      <c r="C415" s="10"/>
      <c r="D415" s="11"/>
      <c r="E415" s="10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0"/>
      <c r="V415" s="11"/>
      <c r="W415" s="10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2.75" customHeight="1">
      <c r="A416" s="10"/>
      <c r="B416" s="11"/>
      <c r="C416" s="10"/>
      <c r="D416" s="11"/>
      <c r="E416" s="10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0"/>
      <c r="V416" s="11"/>
      <c r="W416" s="10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2.75" customHeight="1">
      <c r="A417" s="10"/>
      <c r="B417" s="11"/>
      <c r="C417" s="10"/>
      <c r="D417" s="11"/>
      <c r="E417" s="10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0"/>
      <c r="V417" s="11"/>
      <c r="W417" s="10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2.75" customHeight="1">
      <c r="A418" s="10"/>
      <c r="B418" s="11"/>
      <c r="C418" s="10"/>
      <c r="D418" s="11"/>
      <c r="E418" s="10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0"/>
      <c r="V418" s="11"/>
      <c r="W418" s="10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2.75" customHeight="1">
      <c r="A419" s="10"/>
      <c r="B419" s="11"/>
      <c r="C419" s="10"/>
      <c r="D419" s="11"/>
      <c r="E419" s="10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0"/>
      <c r="V419" s="11"/>
      <c r="W419" s="10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2.75" customHeight="1">
      <c r="A420" s="10"/>
      <c r="B420" s="11"/>
      <c r="C420" s="10"/>
      <c r="D420" s="11"/>
      <c r="E420" s="10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0"/>
      <c r="V420" s="11"/>
      <c r="W420" s="10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2.75" customHeight="1">
      <c r="A421" s="10"/>
      <c r="B421" s="11"/>
      <c r="C421" s="10"/>
      <c r="D421" s="11"/>
      <c r="E421" s="10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0"/>
      <c r="V421" s="11"/>
      <c r="W421" s="10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2.75" customHeight="1">
      <c r="A422" s="10"/>
      <c r="B422" s="11"/>
      <c r="C422" s="10"/>
      <c r="D422" s="11"/>
      <c r="E422" s="10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0"/>
      <c r="V422" s="11"/>
      <c r="W422" s="10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2.75" customHeight="1">
      <c r="A423" s="10"/>
      <c r="B423" s="11"/>
      <c r="C423" s="10"/>
      <c r="D423" s="11"/>
      <c r="E423" s="10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0"/>
      <c r="V423" s="11"/>
      <c r="W423" s="10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2.75" customHeight="1">
      <c r="A424" s="10"/>
      <c r="B424" s="11"/>
      <c r="C424" s="10"/>
      <c r="D424" s="11"/>
      <c r="E424" s="10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0"/>
      <c r="V424" s="11"/>
      <c r="W424" s="10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2.75" customHeight="1">
      <c r="A425" s="10"/>
      <c r="B425" s="11"/>
      <c r="C425" s="10"/>
      <c r="D425" s="11"/>
      <c r="E425" s="10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0"/>
      <c r="V425" s="11"/>
      <c r="W425" s="10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2.75" customHeight="1">
      <c r="A426" s="10"/>
      <c r="B426" s="11"/>
      <c r="C426" s="10"/>
      <c r="D426" s="11"/>
      <c r="E426" s="10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0"/>
      <c r="V426" s="11"/>
      <c r="W426" s="10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2.75" customHeight="1">
      <c r="A427" s="10"/>
      <c r="B427" s="11"/>
      <c r="C427" s="10"/>
      <c r="D427" s="11"/>
      <c r="E427" s="10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0"/>
      <c r="V427" s="11"/>
      <c r="W427" s="10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2.75" customHeight="1">
      <c r="A428" s="10"/>
      <c r="B428" s="11"/>
      <c r="C428" s="10"/>
      <c r="D428" s="11"/>
      <c r="E428" s="10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0"/>
      <c r="V428" s="11"/>
      <c r="W428" s="10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2.75" customHeight="1">
      <c r="A429" s="10"/>
      <c r="B429" s="11"/>
      <c r="C429" s="10"/>
      <c r="D429" s="11"/>
      <c r="E429" s="10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0"/>
      <c r="V429" s="11"/>
      <c r="W429" s="10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2.75" customHeight="1">
      <c r="A430" s="10"/>
      <c r="B430" s="11"/>
      <c r="C430" s="10"/>
      <c r="D430" s="11"/>
      <c r="E430" s="10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0"/>
      <c r="V430" s="11"/>
      <c r="W430" s="10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2.75" customHeight="1">
      <c r="A431" s="10"/>
      <c r="B431" s="11"/>
      <c r="C431" s="10"/>
      <c r="D431" s="11"/>
      <c r="E431" s="10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0"/>
      <c r="V431" s="11"/>
      <c r="W431" s="10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2.75" customHeight="1">
      <c r="A432" s="10"/>
      <c r="B432" s="11"/>
      <c r="C432" s="10"/>
      <c r="D432" s="11"/>
      <c r="E432" s="10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0"/>
      <c r="V432" s="11"/>
      <c r="W432" s="10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2.75" customHeight="1">
      <c r="A433" s="10"/>
      <c r="B433" s="11"/>
      <c r="C433" s="10"/>
      <c r="D433" s="11"/>
      <c r="E433" s="10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0"/>
      <c r="V433" s="11"/>
      <c r="W433" s="10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2.75" customHeight="1">
      <c r="A434" s="10"/>
      <c r="B434" s="11"/>
      <c r="C434" s="10"/>
      <c r="D434" s="11"/>
      <c r="E434" s="10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0"/>
      <c r="V434" s="11"/>
      <c r="W434" s="10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2.75" customHeight="1">
      <c r="A435" s="10"/>
      <c r="B435" s="11"/>
      <c r="C435" s="10"/>
      <c r="D435" s="11"/>
      <c r="E435" s="10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0"/>
      <c r="V435" s="11"/>
      <c r="W435" s="10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2.75" customHeight="1">
      <c r="A436" s="10"/>
      <c r="B436" s="11"/>
      <c r="C436" s="10"/>
      <c r="D436" s="11"/>
      <c r="E436" s="10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0"/>
      <c r="V436" s="11"/>
      <c r="W436" s="10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2.75" customHeight="1">
      <c r="A437" s="10"/>
      <c r="B437" s="11"/>
      <c r="C437" s="10"/>
      <c r="D437" s="11"/>
      <c r="E437" s="10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0"/>
      <c r="V437" s="11"/>
      <c r="W437" s="10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2.75" customHeight="1">
      <c r="A438" s="10"/>
      <c r="B438" s="11"/>
      <c r="C438" s="10"/>
      <c r="D438" s="11"/>
      <c r="E438" s="10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0"/>
      <c r="V438" s="11"/>
      <c r="W438" s="10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2.75" customHeight="1">
      <c r="A439" s="10"/>
      <c r="B439" s="11"/>
      <c r="C439" s="10"/>
      <c r="D439" s="11"/>
      <c r="E439" s="10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0"/>
      <c r="V439" s="11"/>
      <c r="W439" s="10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2.75" customHeight="1">
      <c r="A440" s="10"/>
      <c r="B440" s="11"/>
      <c r="C440" s="10"/>
      <c r="D440" s="11"/>
      <c r="E440" s="10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0"/>
      <c r="V440" s="11"/>
      <c r="W440" s="10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2.75" customHeight="1">
      <c r="A441" s="10"/>
      <c r="B441" s="11"/>
      <c r="C441" s="10"/>
      <c r="D441" s="11"/>
      <c r="E441" s="10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0"/>
      <c r="V441" s="11"/>
      <c r="W441" s="10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2.75" customHeight="1">
      <c r="A442" s="10"/>
      <c r="B442" s="11"/>
      <c r="C442" s="10"/>
      <c r="D442" s="11"/>
      <c r="E442" s="10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0"/>
      <c r="V442" s="11"/>
      <c r="W442" s="10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2.75" customHeight="1">
      <c r="A443" s="10"/>
      <c r="B443" s="11"/>
      <c r="C443" s="10"/>
      <c r="D443" s="11"/>
      <c r="E443" s="10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0"/>
      <c r="V443" s="11"/>
      <c r="W443" s="10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2.75" customHeight="1">
      <c r="A444" s="10"/>
      <c r="B444" s="11"/>
      <c r="C444" s="10"/>
      <c r="D444" s="11"/>
      <c r="E444" s="10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0"/>
      <c r="V444" s="11"/>
      <c r="W444" s="10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2.75" customHeight="1">
      <c r="A445" s="10"/>
      <c r="B445" s="11"/>
      <c r="C445" s="10"/>
      <c r="D445" s="11"/>
      <c r="E445" s="10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0"/>
      <c r="V445" s="11"/>
      <c r="W445" s="10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2.75" customHeight="1">
      <c r="A446" s="10"/>
      <c r="B446" s="11"/>
      <c r="C446" s="10"/>
      <c r="D446" s="11"/>
      <c r="E446" s="10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0"/>
      <c r="V446" s="11"/>
      <c r="W446" s="10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2.75" customHeight="1">
      <c r="A447" s="10"/>
      <c r="B447" s="11"/>
      <c r="C447" s="10"/>
      <c r="D447" s="11"/>
      <c r="E447" s="10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0"/>
      <c r="V447" s="11"/>
      <c r="W447" s="10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2.75" customHeight="1">
      <c r="A448" s="10"/>
      <c r="B448" s="11"/>
      <c r="C448" s="10"/>
      <c r="D448" s="11"/>
      <c r="E448" s="10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0"/>
      <c r="V448" s="11"/>
      <c r="W448" s="10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2.75" customHeight="1">
      <c r="A449" s="10"/>
      <c r="B449" s="11"/>
      <c r="C449" s="10"/>
      <c r="D449" s="11"/>
      <c r="E449" s="10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0"/>
      <c r="V449" s="11"/>
      <c r="W449" s="10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2.75" customHeight="1">
      <c r="A450" s="10"/>
      <c r="B450" s="11"/>
      <c r="C450" s="10"/>
      <c r="D450" s="11"/>
      <c r="E450" s="10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0"/>
      <c r="V450" s="11"/>
      <c r="W450" s="10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2.75" customHeight="1">
      <c r="A451" s="10"/>
      <c r="B451" s="11"/>
      <c r="C451" s="10"/>
      <c r="D451" s="11"/>
      <c r="E451" s="10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0"/>
      <c r="V451" s="11"/>
      <c r="W451" s="10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2.75" customHeight="1">
      <c r="A452" s="10"/>
      <c r="B452" s="11"/>
      <c r="C452" s="10"/>
      <c r="D452" s="11"/>
      <c r="E452" s="10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0"/>
      <c r="V452" s="11"/>
      <c r="W452" s="10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2.75" customHeight="1">
      <c r="A453" s="10"/>
      <c r="B453" s="11"/>
      <c r="C453" s="10"/>
      <c r="D453" s="11"/>
      <c r="E453" s="10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0"/>
      <c r="V453" s="11"/>
      <c r="W453" s="10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2.75" customHeight="1">
      <c r="A454" s="10"/>
      <c r="B454" s="11"/>
      <c r="C454" s="10"/>
      <c r="D454" s="11"/>
      <c r="E454" s="10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0"/>
      <c r="V454" s="11"/>
      <c r="W454" s="10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2.75" customHeight="1">
      <c r="A455" s="10"/>
      <c r="B455" s="11"/>
      <c r="C455" s="10"/>
      <c r="D455" s="11"/>
      <c r="E455" s="10"/>
      <c r="F455" s="1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0"/>
      <c r="V455" s="11"/>
      <c r="W455" s="10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2.75" customHeight="1">
      <c r="A456" s="10"/>
      <c r="B456" s="11"/>
      <c r="C456" s="10"/>
      <c r="D456" s="11"/>
      <c r="E456" s="10"/>
      <c r="F456" s="1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0"/>
      <c r="V456" s="11"/>
      <c r="W456" s="10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2.75" customHeight="1">
      <c r="A457" s="10"/>
      <c r="B457" s="11"/>
      <c r="C457" s="10"/>
      <c r="D457" s="11"/>
      <c r="E457" s="10"/>
      <c r="F457" s="1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0"/>
      <c r="V457" s="11"/>
      <c r="W457" s="10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2.75" customHeight="1">
      <c r="A458" s="10"/>
      <c r="B458" s="11"/>
      <c r="C458" s="10"/>
      <c r="D458" s="11"/>
      <c r="E458" s="10"/>
      <c r="F458" s="1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0"/>
      <c r="V458" s="11"/>
      <c r="W458" s="10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2.75" customHeight="1">
      <c r="A459" s="10"/>
      <c r="B459" s="11"/>
      <c r="C459" s="10"/>
      <c r="D459" s="11"/>
      <c r="E459" s="10"/>
      <c r="F459" s="1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0"/>
      <c r="V459" s="11"/>
      <c r="W459" s="10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2.75" customHeight="1">
      <c r="A460" s="10"/>
      <c r="B460" s="11"/>
      <c r="C460" s="10"/>
      <c r="D460" s="11"/>
      <c r="E460" s="10"/>
      <c r="F460" s="1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0"/>
      <c r="V460" s="11"/>
      <c r="W460" s="10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2.75" customHeight="1">
      <c r="A461" s="10"/>
      <c r="B461" s="11"/>
      <c r="C461" s="10"/>
      <c r="D461" s="11"/>
      <c r="E461" s="10"/>
      <c r="F461" s="1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0"/>
      <c r="V461" s="11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2.75" customHeight="1">
      <c r="A462" s="10"/>
      <c r="B462" s="11"/>
      <c r="C462" s="10"/>
      <c r="D462" s="11"/>
      <c r="E462" s="10"/>
      <c r="F462" s="1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0"/>
      <c r="V462" s="11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2.75" customHeight="1">
      <c r="A463" s="10"/>
      <c r="B463" s="11"/>
      <c r="C463" s="10"/>
      <c r="D463" s="11"/>
      <c r="E463" s="10"/>
      <c r="F463" s="1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0"/>
      <c r="V463" s="11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2.75" customHeight="1">
      <c r="A464" s="10"/>
      <c r="B464" s="11"/>
      <c r="C464" s="10"/>
      <c r="D464" s="11"/>
      <c r="E464" s="10"/>
      <c r="F464" s="1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0"/>
      <c r="V464" s="11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2.75" customHeight="1">
      <c r="A465" s="10"/>
      <c r="B465" s="11"/>
      <c r="C465" s="10"/>
      <c r="D465" s="11"/>
      <c r="E465" s="10"/>
      <c r="F465" s="1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0"/>
      <c r="V465" s="11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2.75" customHeight="1">
      <c r="A466" s="10"/>
      <c r="B466" s="11"/>
      <c r="C466" s="10"/>
      <c r="D466" s="11"/>
      <c r="E466" s="10"/>
      <c r="F466" s="1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0"/>
      <c r="V466" s="11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2.75" customHeight="1">
      <c r="A467" s="10"/>
      <c r="B467" s="11"/>
      <c r="C467" s="10"/>
      <c r="D467" s="11"/>
      <c r="E467" s="10"/>
      <c r="F467" s="1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0"/>
      <c r="V467" s="11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2.75" customHeight="1">
      <c r="A468" s="10"/>
      <c r="B468" s="11"/>
      <c r="C468" s="10"/>
      <c r="D468" s="11"/>
      <c r="E468" s="10"/>
      <c r="F468" s="1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0"/>
      <c r="V468" s="11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2.75" customHeight="1">
      <c r="A469" s="10"/>
      <c r="B469" s="11"/>
      <c r="C469" s="10"/>
      <c r="D469" s="11"/>
      <c r="E469" s="10"/>
      <c r="F469" s="1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0"/>
      <c r="V469" s="11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2.75" customHeight="1">
      <c r="A470" s="10"/>
      <c r="B470" s="11"/>
      <c r="C470" s="10"/>
      <c r="D470" s="11"/>
      <c r="E470" s="10"/>
      <c r="F470" s="1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0"/>
      <c r="V470" s="11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2.75" customHeight="1">
      <c r="A471" s="10"/>
      <c r="B471" s="11"/>
      <c r="C471" s="10"/>
      <c r="D471" s="11"/>
      <c r="E471" s="10"/>
      <c r="F471" s="1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0"/>
      <c r="V471" s="11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2.75" customHeight="1">
      <c r="A472" s="10"/>
      <c r="B472" s="11"/>
      <c r="C472" s="10"/>
      <c r="D472" s="11"/>
      <c r="E472" s="10"/>
      <c r="F472" s="1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0"/>
      <c r="V472" s="11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2.75" customHeight="1">
      <c r="A473" s="10"/>
      <c r="B473" s="11"/>
      <c r="C473" s="10"/>
      <c r="D473" s="11"/>
      <c r="E473" s="10"/>
      <c r="F473" s="1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0"/>
      <c r="V473" s="11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2.75" customHeight="1">
      <c r="A474" s="10"/>
      <c r="B474" s="11"/>
      <c r="C474" s="10"/>
      <c r="D474" s="11"/>
      <c r="E474" s="10"/>
      <c r="F474" s="1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0"/>
      <c r="V474" s="11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2.75" customHeight="1">
      <c r="A475" s="10"/>
      <c r="B475" s="11"/>
      <c r="C475" s="10"/>
      <c r="D475" s="11"/>
      <c r="E475" s="10"/>
      <c r="F475" s="1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0"/>
      <c r="V475" s="11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2.75" customHeight="1">
      <c r="A476" s="10"/>
      <c r="B476" s="11"/>
      <c r="C476" s="10"/>
      <c r="D476" s="11"/>
      <c r="E476" s="10"/>
      <c r="F476" s="1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0"/>
      <c r="V476" s="11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2.75" customHeight="1">
      <c r="A477" s="10"/>
      <c r="B477" s="11"/>
      <c r="C477" s="10"/>
      <c r="D477" s="11"/>
      <c r="E477" s="10"/>
      <c r="F477" s="1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0"/>
      <c r="V477" s="11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2.75" customHeight="1">
      <c r="A478" s="10"/>
      <c r="B478" s="11"/>
      <c r="C478" s="10"/>
      <c r="D478" s="11"/>
      <c r="E478" s="10"/>
      <c r="F478" s="1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0"/>
      <c r="V478" s="11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2.75" customHeight="1">
      <c r="A479" s="10"/>
      <c r="B479" s="11"/>
      <c r="C479" s="10"/>
      <c r="D479" s="11"/>
      <c r="E479" s="10"/>
      <c r="F479" s="1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0"/>
      <c r="V479" s="11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2.75" customHeight="1">
      <c r="A480" s="10"/>
      <c r="B480" s="11"/>
      <c r="C480" s="10"/>
      <c r="D480" s="11"/>
      <c r="E480" s="10"/>
      <c r="F480" s="1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0"/>
      <c r="V480" s="11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2.75" customHeight="1">
      <c r="A481" s="10"/>
      <c r="B481" s="11"/>
      <c r="C481" s="10"/>
      <c r="D481" s="11"/>
      <c r="E481" s="10"/>
      <c r="F481" s="1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0"/>
      <c r="V481" s="11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2.75" customHeight="1">
      <c r="A482" s="10"/>
      <c r="B482" s="11"/>
      <c r="C482" s="10"/>
      <c r="D482" s="11"/>
      <c r="E482" s="10"/>
      <c r="F482" s="1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0"/>
      <c r="V482" s="11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2.75" customHeight="1">
      <c r="A483" s="10"/>
      <c r="B483" s="11"/>
      <c r="C483" s="10"/>
      <c r="D483" s="11"/>
      <c r="E483" s="10"/>
      <c r="F483" s="1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0"/>
      <c r="V483" s="11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2.75" customHeight="1">
      <c r="A484" s="10"/>
      <c r="B484" s="11"/>
      <c r="C484" s="10"/>
      <c r="D484" s="11"/>
      <c r="E484" s="10"/>
      <c r="F484" s="1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0"/>
      <c r="V484" s="11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2.75" customHeight="1">
      <c r="A485" s="10"/>
      <c r="B485" s="11"/>
      <c r="C485" s="10"/>
      <c r="D485" s="11"/>
      <c r="E485" s="10"/>
      <c r="F485" s="1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0"/>
      <c r="V485" s="11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2.75" customHeight="1">
      <c r="A486" s="10"/>
      <c r="B486" s="11"/>
      <c r="C486" s="10"/>
      <c r="D486" s="11"/>
      <c r="E486" s="10"/>
      <c r="F486" s="1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0"/>
      <c r="V486" s="11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2.75" customHeight="1">
      <c r="A487" s="10"/>
      <c r="B487" s="11"/>
      <c r="C487" s="10"/>
      <c r="D487" s="11"/>
      <c r="E487" s="10"/>
      <c r="F487" s="1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0"/>
      <c r="V487" s="11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2.75" customHeight="1">
      <c r="A488" s="10"/>
      <c r="B488" s="11"/>
      <c r="C488" s="10"/>
      <c r="D488" s="11"/>
      <c r="E488" s="10"/>
      <c r="F488" s="1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0"/>
      <c r="V488" s="11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2.75" customHeight="1">
      <c r="A489" s="10"/>
      <c r="B489" s="11"/>
      <c r="C489" s="10"/>
      <c r="D489" s="11"/>
      <c r="E489" s="10"/>
      <c r="F489" s="1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0"/>
      <c r="V489" s="11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2.75" customHeight="1">
      <c r="A490" s="10"/>
      <c r="B490" s="11"/>
      <c r="C490" s="10"/>
      <c r="D490" s="11"/>
      <c r="E490" s="10"/>
      <c r="F490" s="1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0"/>
      <c r="V490" s="11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2.75" customHeight="1">
      <c r="A491" s="10"/>
      <c r="B491" s="11"/>
      <c r="C491" s="10"/>
      <c r="D491" s="11"/>
      <c r="E491" s="10"/>
      <c r="F491" s="1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0"/>
      <c r="V491" s="11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2.75" customHeight="1">
      <c r="A492" s="10"/>
      <c r="B492" s="11"/>
      <c r="C492" s="10"/>
      <c r="D492" s="11"/>
      <c r="E492" s="10"/>
      <c r="F492" s="1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0"/>
      <c r="V492" s="11"/>
      <c r="W492" s="10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2.75" customHeight="1">
      <c r="A493" s="10"/>
      <c r="B493" s="11"/>
      <c r="C493" s="10"/>
      <c r="D493" s="11"/>
      <c r="E493" s="10"/>
      <c r="F493" s="1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0"/>
      <c r="V493" s="11"/>
      <c r="W493" s="10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2.75" customHeight="1">
      <c r="A494" s="10"/>
      <c r="B494" s="11"/>
      <c r="C494" s="10"/>
      <c r="D494" s="11"/>
      <c r="E494" s="10"/>
      <c r="F494" s="1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0"/>
      <c r="V494" s="11"/>
      <c r="W494" s="10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2.75" customHeight="1">
      <c r="A495" s="10"/>
      <c r="B495" s="11"/>
      <c r="C495" s="10"/>
      <c r="D495" s="11"/>
      <c r="E495" s="10"/>
      <c r="F495" s="1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0"/>
      <c r="V495" s="11"/>
      <c r="W495" s="10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2.75" customHeight="1">
      <c r="A496" s="10"/>
      <c r="B496" s="11"/>
      <c r="C496" s="10"/>
      <c r="D496" s="11"/>
      <c r="E496" s="10"/>
      <c r="F496" s="1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0"/>
      <c r="V496" s="11"/>
      <c r="W496" s="10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2.75" customHeight="1">
      <c r="A497" s="10"/>
      <c r="B497" s="11"/>
      <c r="C497" s="10"/>
      <c r="D497" s="11"/>
      <c r="E497" s="10"/>
      <c r="F497" s="1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0"/>
      <c r="V497" s="11"/>
      <c r="W497" s="10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2.75" customHeight="1">
      <c r="A498" s="10"/>
      <c r="B498" s="11"/>
      <c r="C498" s="10"/>
      <c r="D498" s="11"/>
      <c r="E498" s="10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0"/>
      <c r="V498" s="11"/>
      <c r="W498" s="10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2.75" customHeight="1">
      <c r="A499" s="10"/>
      <c r="B499" s="11"/>
      <c r="C499" s="10"/>
      <c r="D499" s="11"/>
      <c r="E499" s="10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0"/>
      <c r="V499" s="11"/>
      <c r="W499" s="10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2.75" customHeight="1">
      <c r="A500" s="10"/>
      <c r="B500" s="11"/>
      <c r="C500" s="10"/>
      <c r="D500" s="11"/>
      <c r="E500" s="10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0"/>
      <c r="V500" s="11"/>
      <c r="W500" s="10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2.75" customHeight="1">
      <c r="A501" s="10"/>
      <c r="B501" s="11"/>
      <c r="C501" s="10"/>
      <c r="D501" s="11"/>
      <c r="E501" s="10"/>
      <c r="F501" s="1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0"/>
      <c r="V501" s="11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2.75" customHeight="1">
      <c r="A502" s="10"/>
      <c r="B502" s="11"/>
      <c r="C502" s="10"/>
      <c r="D502" s="11"/>
      <c r="E502" s="10"/>
      <c r="F502" s="1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0"/>
      <c r="V502" s="11"/>
      <c r="W502" s="10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2.75" customHeight="1">
      <c r="A503" s="10"/>
      <c r="B503" s="11"/>
      <c r="C503" s="10"/>
      <c r="D503" s="11"/>
      <c r="E503" s="10"/>
      <c r="F503" s="1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0"/>
      <c r="V503" s="11"/>
      <c r="W503" s="10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2.75" customHeight="1">
      <c r="A504" s="10"/>
      <c r="B504" s="11"/>
      <c r="C504" s="10"/>
      <c r="D504" s="11"/>
      <c r="E504" s="10"/>
      <c r="F504" s="1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0"/>
      <c r="V504" s="11"/>
      <c r="W504" s="10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2.75" customHeight="1">
      <c r="A505" s="10"/>
      <c r="B505" s="11"/>
      <c r="C505" s="10"/>
      <c r="D505" s="11"/>
      <c r="E505" s="10"/>
      <c r="F505" s="1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0"/>
      <c r="V505" s="11"/>
      <c r="W505" s="10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2.75" customHeight="1">
      <c r="A506" s="10"/>
      <c r="B506" s="11"/>
      <c r="C506" s="10"/>
      <c r="D506" s="11"/>
      <c r="E506" s="10"/>
      <c r="F506" s="1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0"/>
      <c r="V506" s="11"/>
      <c r="W506" s="10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2.75" customHeight="1">
      <c r="A507" s="10"/>
      <c r="B507" s="11"/>
      <c r="C507" s="10"/>
      <c r="D507" s="11"/>
      <c r="E507" s="10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0"/>
      <c r="V507" s="11"/>
      <c r="W507" s="10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2.75" customHeight="1">
      <c r="A508" s="10"/>
      <c r="B508" s="11"/>
      <c r="C508" s="10"/>
      <c r="D508" s="11"/>
      <c r="E508" s="10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0"/>
      <c r="V508" s="11"/>
      <c r="W508" s="10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2.75" customHeight="1">
      <c r="A509" s="10"/>
      <c r="B509" s="11"/>
      <c r="C509" s="10"/>
      <c r="D509" s="11"/>
      <c r="E509" s="10"/>
      <c r="F509" s="1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0"/>
      <c r="V509" s="11"/>
      <c r="W509" s="10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2.75" customHeight="1">
      <c r="A510" s="10"/>
      <c r="B510" s="11"/>
      <c r="C510" s="10"/>
      <c r="D510" s="11"/>
      <c r="E510" s="10"/>
      <c r="F510" s="1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0"/>
      <c r="V510" s="11"/>
      <c r="W510" s="10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2.75" customHeight="1">
      <c r="A511" s="10"/>
      <c r="B511" s="11"/>
      <c r="C511" s="10"/>
      <c r="D511" s="11"/>
      <c r="E511" s="10"/>
      <c r="F511" s="1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0"/>
      <c r="V511" s="11"/>
      <c r="W511" s="10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2.75" customHeight="1">
      <c r="A512" s="10"/>
      <c r="B512" s="11"/>
      <c r="C512" s="10"/>
      <c r="D512" s="11"/>
      <c r="E512" s="10"/>
      <c r="F512" s="1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0"/>
      <c r="V512" s="11"/>
      <c r="W512" s="10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2.75" customHeight="1">
      <c r="A513" s="10"/>
      <c r="B513" s="11"/>
      <c r="C513" s="10"/>
      <c r="D513" s="11"/>
      <c r="E513" s="10"/>
      <c r="F513" s="1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0"/>
      <c r="V513" s="11"/>
      <c r="W513" s="10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2.75" customHeight="1">
      <c r="A514" s="10"/>
      <c r="B514" s="11"/>
      <c r="C514" s="10"/>
      <c r="D514" s="11"/>
      <c r="E514" s="10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0"/>
      <c r="V514" s="11"/>
      <c r="W514" s="10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2.75" customHeight="1">
      <c r="A515" s="10"/>
      <c r="B515" s="11"/>
      <c r="C515" s="10"/>
      <c r="D515" s="11"/>
      <c r="E515" s="10"/>
      <c r="F515" s="1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0"/>
      <c r="V515" s="11"/>
      <c r="W515" s="10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2.75" customHeight="1">
      <c r="A516" s="10"/>
      <c r="B516" s="11"/>
      <c r="C516" s="10"/>
      <c r="D516" s="11"/>
      <c r="E516" s="10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0"/>
      <c r="V516" s="11"/>
      <c r="W516" s="10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2.75" customHeight="1">
      <c r="A517" s="10"/>
      <c r="B517" s="11"/>
      <c r="C517" s="10"/>
      <c r="D517" s="11"/>
      <c r="E517" s="10"/>
      <c r="F517" s="1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0"/>
      <c r="V517" s="11"/>
      <c r="W517" s="10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2.75" customHeight="1">
      <c r="A518" s="10"/>
      <c r="B518" s="11"/>
      <c r="C518" s="10"/>
      <c r="D518" s="11"/>
      <c r="E518" s="10"/>
      <c r="F518" s="1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0"/>
      <c r="V518" s="11"/>
      <c r="W518" s="10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2.75" customHeight="1">
      <c r="A519" s="10"/>
      <c r="B519" s="11"/>
      <c r="C519" s="10"/>
      <c r="D519" s="11"/>
      <c r="E519" s="10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0"/>
      <c r="V519" s="11"/>
      <c r="W519" s="10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2.75" customHeight="1">
      <c r="A520" s="10"/>
      <c r="B520" s="11"/>
      <c r="C520" s="10"/>
      <c r="D520" s="11"/>
      <c r="E520" s="10"/>
      <c r="F520" s="1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0"/>
      <c r="V520" s="11"/>
      <c r="W520" s="10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2.75" customHeight="1">
      <c r="A521" s="10"/>
      <c r="B521" s="11"/>
      <c r="C521" s="10"/>
      <c r="D521" s="11"/>
      <c r="E521" s="10"/>
      <c r="F521" s="1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0"/>
      <c r="V521" s="11"/>
      <c r="W521" s="10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2.75" customHeight="1">
      <c r="A522" s="10"/>
      <c r="B522" s="11"/>
      <c r="C522" s="10"/>
      <c r="D522" s="11"/>
      <c r="E522" s="10"/>
      <c r="F522" s="1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0"/>
      <c r="V522" s="11"/>
      <c r="W522" s="10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2.75" customHeight="1">
      <c r="A523" s="10"/>
      <c r="B523" s="11"/>
      <c r="C523" s="10"/>
      <c r="D523" s="11"/>
      <c r="E523" s="10"/>
      <c r="F523" s="1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0"/>
      <c r="V523" s="11"/>
      <c r="W523" s="10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2.75" customHeight="1">
      <c r="A524" s="10"/>
      <c r="B524" s="11"/>
      <c r="C524" s="10"/>
      <c r="D524" s="11"/>
      <c r="E524" s="10"/>
      <c r="F524" s="1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0"/>
      <c r="V524" s="11"/>
      <c r="W524" s="10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2.75" customHeight="1">
      <c r="A525" s="10"/>
      <c r="B525" s="11"/>
      <c r="C525" s="10"/>
      <c r="D525" s="11"/>
      <c r="E525" s="10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0"/>
      <c r="V525" s="11"/>
      <c r="W525" s="10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2.75" customHeight="1">
      <c r="A526" s="10"/>
      <c r="B526" s="11"/>
      <c r="C526" s="10"/>
      <c r="D526" s="11"/>
      <c r="E526" s="10"/>
      <c r="F526" s="1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0"/>
      <c r="V526" s="11"/>
      <c r="W526" s="10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2.75" customHeight="1">
      <c r="A527" s="10"/>
      <c r="B527" s="11"/>
      <c r="C527" s="10"/>
      <c r="D527" s="11"/>
      <c r="E527" s="10"/>
      <c r="F527" s="1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0"/>
      <c r="V527" s="11"/>
      <c r="W527" s="10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2.75" customHeight="1">
      <c r="A528" s="10"/>
      <c r="B528" s="11"/>
      <c r="C528" s="10"/>
      <c r="D528" s="11"/>
      <c r="E528" s="10"/>
      <c r="F528" s="1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0"/>
      <c r="V528" s="11"/>
      <c r="W528" s="10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2.75" customHeight="1">
      <c r="A529" s="10"/>
      <c r="B529" s="11"/>
      <c r="C529" s="10"/>
      <c r="D529" s="11"/>
      <c r="E529" s="10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0"/>
      <c r="V529" s="11"/>
      <c r="W529" s="10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2.75" customHeight="1">
      <c r="A530" s="10"/>
      <c r="B530" s="11"/>
      <c r="C530" s="10"/>
      <c r="D530" s="11"/>
      <c r="E530" s="10"/>
      <c r="F530" s="1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0"/>
      <c r="V530" s="11"/>
      <c r="W530" s="10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2.75" customHeight="1">
      <c r="A531" s="10"/>
      <c r="B531" s="11"/>
      <c r="C531" s="10"/>
      <c r="D531" s="11"/>
      <c r="E531" s="10"/>
      <c r="F531" s="1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0"/>
      <c r="V531" s="11"/>
      <c r="W531" s="10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2.75" customHeight="1">
      <c r="A532" s="10"/>
      <c r="B532" s="11"/>
      <c r="C532" s="10"/>
      <c r="D532" s="11"/>
      <c r="E532" s="10"/>
      <c r="F532" s="1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0"/>
      <c r="V532" s="11"/>
      <c r="W532" s="10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2.75" customHeight="1">
      <c r="A533" s="10"/>
      <c r="B533" s="11"/>
      <c r="C533" s="10"/>
      <c r="D533" s="11"/>
      <c r="E533" s="10"/>
      <c r="F533" s="1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0"/>
      <c r="V533" s="11"/>
      <c r="W533" s="10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2.75" customHeight="1">
      <c r="A534" s="10"/>
      <c r="B534" s="11"/>
      <c r="C534" s="10"/>
      <c r="D534" s="11"/>
      <c r="E534" s="10"/>
      <c r="F534" s="1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0"/>
      <c r="V534" s="11"/>
      <c r="W534" s="10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2.75" customHeight="1">
      <c r="A535" s="10"/>
      <c r="B535" s="11"/>
      <c r="C535" s="10"/>
      <c r="D535" s="11"/>
      <c r="E535" s="10"/>
      <c r="F535" s="1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0"/>
      <c r="V535" s="11"/>
      <c r="W535" s="10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2.75" customHeight="1">
      <c r="A536" s="10"/>
      <c r="B536" s="11"/>
      <c r="C536" s="10"/>
      <c r="D536" s="11"/>
      <c r="E536" s="10"/>
      <c r="F536" s="1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0"/>
      <c r="V536" s="11"/>
      <c r="W536" s="10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2.75" customHeight="1">
      <c r="A537" s="10"/>
      <c r="B537" s="11"/>
      <c r="C537" s="10"/>
      <c r="D537" s="11"/>
      <c r="E537" s="10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0"/>
      <c r="V537" s="11"/>
      <c r="W537" s="10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2.75" customHeight="1">
      <c r="A538" s="10"/>
      <c r="B538" s="11"/>
      <c r="C538" s="10"/>
      <c r="D538" s="11"/>
      <c r="E538" s="10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0"/>
      <c r="V538" s="11"/>
      <c r="W538" s="10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2.75" customHeight="1">
      <c r="A539" s="10"/>
      <c r="B539" s="11"/>
      <c r="C539" s="10"/>
      <c r="D539" s="11"/>
      <c r="E539" s="10"/>
      <c r="F539" s="1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0"/>
      <c r="V539" s="11"/>
      <c r="W539" s="10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2.75" customHeight="1">
      <c r="A540" s="10"/>
      <c r="B540" s="11"/>
      <c r="C540" s="10"/>
      <c r="D540" s="11"/>
      <c r="E540" s="10"/>
      <c r="F540" s="1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0"/>
      <c r="V540" s="11"/>
      <c r="W540" s="10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2.75" customHeight="1">
      <c r="A541" s="10"/>
      <c r="B541" s="11"/>
      <c r="C541" s="10"/>
      <c r="D541" s="11"/>
      <c r="E541" s="10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0"/>
      <c r="V541" s="11"/>
      <c r="W541" s="10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2.75" customHeight="1">
      <c r="A542" s="10"/>
      <c r="B542" s="11"/>
      <c r="C542" s="10"/>
      <c r="D542" s="11"/>
      <c r="E542" s="10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0"/>
      <c r="V542" s="11"/>
      <c r="W542" s="10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2.75" customHeight="1">
      <c r="A543" s="10"/>
      <c r="B543" s="11"/>
      <c r="C543" s="10"/>
      <c r="D543" s="11"/>
      <c r="E543" s="10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0"/>
      <c r="V543" s="11"/>
      <c r="W543" s="10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2.75" customHeight="1">
      <c r="A544" s="10"/>
      <c r="B544" s="11"/>
      <c r="C544" s="10"/>
      <c r="D544" s="11"/>
      <c r="E544" s="10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0"/>
      <c r="V544" s="11"/>
      <c r="W544" s="10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2.75" customHeight="1">
      <c r="A545" s="10"/>
      <c r="B545" s="11"/>
      <c r="C545" s="10"/>
      <c r="D545" s="11"/>
      <c r="E545" s="10"/>
      <c r="F545" s="1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0"/>
      <c r="V545" s="11"/>
      <c r="W545" s="10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2.75" customHeight="1">
      <c r="A546" s="10"/>
      <c r="B546" s="11"/>
      <c r="C546" s="10"/>
      <c r="D546" s="11"/>
      <c r="E546" s="10"/>
      <c r="F546" s="1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0"/>
      <c r="V546" s="11"/>
      <c r="W546" s="10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2.75" customHeight="1">
      <c r="A547" s="10"/>
      <c r="B547" s="11"/>
      <c r="C547" s="10"/>
      <c r="D547" s="11"/>
      <c r="E547" s="10"/>
      <c r="F547" s="1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0"/>
      <c r="V547" s="11"/>
      <c r="W547" s="10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2.75" customHeight="1">
      <c r="A548" s="10"/>
      <c r="B548" s="11"/>
      <c r="C548" s="10"/>
      <c r="D548" s="11"/>
      <c r="E548" s="10"/>
      <c r="F548" s="1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0"/>
      <c r="V548" s="11"/>
      <c r="W548" s="10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2.75" customHeight="1">
      <c r="A549" s="10"/>
      <c r="B549" s="11"/>
      <c r="C549" s="10"/>
      <c r="D549" s="11"/>
      <c r="E549" s="10"/>
      <c r="F549" s="1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0"/>
      <c r="V549" s="11"/>
      <c r="W549" s="10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2.75" customHeight="1">
      <c r="A550" s="10"/>
      <c r="B550" s="11"/>
      <c r="C550" s="10"/>
      <c r="D550" s="11"/>
      <c r="E550" s="10"/>
      <c r="F550" s="1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0"/>
      <c r="V550" s="11"/>
      <c r="W550" s="10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2.75" customHeight="1">
      <c r="A551" s="10"/>
      <c r="B551" s="11"/>
      <c r="C551" s="10"/>
      <c r="D551" s="11"/>
      <c r="E551" s="10"/>
      <c r="F551" s="1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0"/>
      <c r="V551" s="11"/>
      <c r="W551" s="10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2.75" customHeight="1">
      <c r="A552" s="10"/>
      <c r="B552" s="11"/>
      <c r="C552" s="10"/>
      <c r="D552" s="11"/>
      <c r="E552" s="10"/>
      <c r="F552" s="1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0"/>
      <c r="V552" s="11"/>
      <c r="W552" s="10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2.75" customHeight="1">
      <c r="A553" s="10"/>
      <c r="B553" s="11"/>
      <c r="C553" s="10"/>
      <c r="D553" s="11"/>
      <c r="E553" s="10"/>
      <c r="F553" s="1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0"/>
      <c r="V553" s="11"/>
      <c r="W553" s="10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2.75" customHeight="1">
      <c r="A554" s="10"/>
      <c r="B554" s="11"/>
      <c r="C554" s="10"/>
      <c r="D554" s="11"/>
      <c r="E554" s="10"/>
      <c r="F554" s="1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0"/>
      <c r="V554" s="11"/>
      <c r="W554" s="10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2.75" customHeight="1">
      <c r="A555" s="10"/>
      <c r="B555" s="11"/>
      <c r="C555" s="10"/>
      <c r="D555" s="11"/>
      <c r="E555" s="10"/>
      <c r="F555" s="1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0"/>
      <c r="V555" s="11"/>
      <c r="W555" s="10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2.75" customHeight="1">
      <c r="A556" s="10"/>
      <c r="B556" s="11"/>
      <c r="C556" s="10"/>
      <c r="D556" s="11"/>
      <c r="E556" s="10"/>
      <c r="F556" s="1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0"/>
      <c r="V556" s="11"/>
      <c r="W556" s="10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2.75" customHeight="1">
      <c r="A557" s="10"/>
      <c r="B557" s="11"/>
      <c r="C557" s="10"/>
      <c r="D557" s="11"/>
      <c r="E557" s="10"/>
      <c r="F557" s="1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0"/>
      <c r="V557" s="11"/>
      <c r="W557" s="10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2.75" customHeight="1">
      <c r="A558" s="10"/>
      <c r="B558" s="11"/>
      <c r="C558" s="10"/>
      <c r="D558" s="11"/>
      <c r="E558" s="10"/>
      <c r="F558" s="1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0"/>
      <c r="V558" s="11"/>
      <c r="W558" s="10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2.75" customHeight="1">
      <c r="A559" s="10"/>
      <c r="B559" s="11"/>
      <c r="C559" s="10"/>
      <c r="D559" s="11"/>
      <c r="E559" s="10"/>
      <c r="F559" s="1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0"/>
      <c r="V559" s="11"/>
      <c r="W559" s="10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2.75" customHeight="1">
      <c r="A560" s="10"/>
      <c r="B560" s="11"/>
      <c r="C560" s="10"/>
      <c r="D560" s="11"/>
      <c r="E560" s="10"/>
      <c r="F560" s="1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0"/>
      <c r="V560" s="11"/>
      <c r="W560" s="10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2.75" customHeight="1">
      <c r="A561" s="10"/>
      <c r="B561" s="11"/>
      <c r="C561" s="10"/>
      <c r="D561" s="11"/>
      <c r="E561" s="10"/>
      <c r="F561" s="1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0"/>
      <c r="V561" s="11"/>
      <c r="W561" s="10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2.75" customHeight="1">
      <c r="A562" s="10"/>
      <c r="B562" s="11"/>
      <c r="C562" s="10"/>
      <c r="D562" s="11"/>
      <c r="E562" s="10"/>
      <c r="F562" s="1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0"/>
      <c r="V562" s="11"/>
      <c r="W562" s="10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2.75" customHeight="1">
      <c r="A563" s="10"/>
      <c r="B563" s="11"/>
      <c r="C563" s="10"/>
      <c r="D563" s="11"/>
      <c r="E563" s="10"/>
      <c r="F563" s="1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0"/>
      <c r="V563" s="11"/>
      <c r="W563" s="10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2.75" customHeight="1">
      <c r="A564" s="10"/>
      <c r="B564" s="11"/>
      <c r="C564" s="10"/>
      <c r="D564" s="11"/>
      <c r="E564" s="10"/>
      <c r="F564" s="1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0"/>
      <c r="V564" s="11"/>
      <c r="W564" s="10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2.75" customHeight="1">
      <c r="A565" s="10"/>
      <c r="B565" s="11"/>
      <c r="C565" s="10"/>
      <c r="D565" s="11"/>
      <c r="E565" s="10"/>
      <c r="F565" s="1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0"/>
      <c r="V565" s="11"/>
      <c r="W565" s="10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2.75" customHeight="1">
      <c r="A566" s="10"/>
      <c r="B566" s="11"/>
      <c r="C566" s="10"/>
      <c r="D566" s="11"/>
      <c r="E566" s="10"/>
      <c r="F566" s="1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0"/>
      <c r="V566" s="11"/>
      <c r="W566" s="10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2.75" customHeight="1">
      <c r="A567" s="10"/>
      <c r="B567" s="11"/>
      <c r="C567" s="10"/>
      <c r="D567" s="11"/>
      <c r="E567" s="10"/>
      <c r="F567" s="1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0"/>
      <c r="V567" s="11"/>
      <c r="W567" s="10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2.75" customHeight="1">
      <c r="A568" s="10"/>
      <c r="B568" s="11"/>
      <c r="C568" s="10"/>
      <c r="D568" s="11"/>
      <c r="E568" s="10"/>
      <c r="F568" s="1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0"/>
      <c r="V568" s="11"/>
      <c r="W568" s="10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2.75" customHeight="1">
      <c r="A569" s="10"/>
      <c r="B569" s="11"/>
      <c r="C569" s="10"/>
      <c r="D569" s="11"/>
      <c r="E569" s="10"/>
      <c r="F569" s="1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0"/>
      <c r="V569" s="11"/>
      <c r="W569" s="10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2.75" customHeight="1">
      <c r="A570" s="10"/>
      <c r="B570" s="11"/>
      <c r="C570" s="10"/>
      <c r="D570" s="11"/>
      <c r="E570" s="10"/>
      <c r="F570" s="1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0"/>
      <c r="V570" s="11"/>
      <c r="W570" s="10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2.75" customHeight="1">
      <c r="A571" s="10"/>
      <c r="B571" s="11"/>
      <c r="C571" s="10"/>
      <c r="D571" s="11"/>
      <c r="E571" s="10"/>
      <c r="F571" s="1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0"/>
      <c r="V571" s="11"/>
      <c r="W571" s="10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2.75" customHeight="1">
      <c r="A572" s="10"/>
      <c r="B572" s="11"/>
      <c r="C572" s="10"/>
      <c r="D572" s="11"/>
      <c r="E572" s="10"/>
      <c r="F572" s="1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0"/>
      <c r="V572" s="11"/>
      <c r="W572" s="10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2.75" customHeight="1">
      <c r="A573" s="10"/>
      <c r="B573" s="11"/>
      <c r="C573" s="10"/>
      <c r="D573" s="11"/>
      <c r="E573" s="10"/>
      <c r="F573" s="1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0"/>
      <c r="V573" s="11"/>
      <c r="W573" s="10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2.75" customHeight="1">
      <c r="A574" s="10"/>
      <c r="B574" s="11"/>
      <c r="C574" s="10"/>
      <c r="D574" s="11"/>
      <c r="E574" s="10"/>
      <c r="F574" s="1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0"/>
      <c r="V574" s="11"/>
      <c r="W574" s="10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2.75" customHeight="1">
      <c r="A575" s="10"/>
      <c r="B575" s="11"/>
      <c r="C575" s="10"/>
      <c r="D575" s="11"/>
      <c r="E575" s="10"/>
      <c r="F575" s="1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0"/>
      <c r="V575" s="11"/>
      <c r="W575" s="10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2.75" customHeight="1">
      <c r="A576" s="10"/>
      <c r="B576" s="11"/>
      <c r="C576" s="10"/>
      <c r="D576" s="11"/>
      <c r="E576" s="10"/>
      <c r="F576" s="1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0"/>
      <c r="V576" s="11"/>
      <c r="W576" s="10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2.75" customHeight="1">
      <c r="A577" s="10"/>
      <c r="B577" s="11"/>
      <c r="C577" s="10"/>
      <c r="D577" s="11"/>
      <c r="E577" s="10"/>
      <c r="F577" s="1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0"/>
      <c r="V577" s="11"/>
      <c r="W577" s="10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2.75" customHeight="1">
      <c r="A578" s="10"/>
      <c r="B578" s="11"/>
      <c r="C578" s="10"/>
      <c r="D578" s="11"/>
      <c r="E578" s="10"/>
      <c r="F578" s="1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0"/>
      <c r="V578" s="11"/>
      <c r="W578" s="10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2.75" customHeight="1">
      <c r="A579" s="10"/>
      <c r="B579" s="11"/>
      <c r="C579" s="10"/>
      <c r="D579" s="11"/>
      <c r="E579" s="10"/>
      <c r="F579" s="1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0"/>
      <c r="V579" s="11"/>
      <c r="W579" s="10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2.75" customHeight="1">
      <c r="A580" s="10"/>
      <c r="B580" s="11"/>
      <c r="C580" s="10"/>
      <c r="D580" s="11"/>
      <c r="E580" s="10"/>
      <c r="F580" s="1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0"/>
      <c r="V580" s="11"/>
      <c r="W580" s="10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2.75" customHeight="1">
      <c r="A581" s="10"/>
      <c r="B581" s="11"/>
      <c r="C581" s="10"/>
      <c r="D581" s="11"/>
      <c r="E581" s="10"/>
      <c r="F581" s="1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0"/>
      <c r="V581" s="11"/>
      <c r="W581" s="10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2.75" customHeight="1">
      <c r="A582" s="10"/>
      <c r="B582" s="11"/>
      <c r="C582" s="10"/>
      <c r="D582" s="11"/>
      <c r="E582" s="10"/>
      <c r="F582" s="1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0"/>
      <c r="V582" s="11"/>
      <c r="W582" s="10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2.75" customHeight="1">
      <c r="A583" s="10"/>
      <c r="B583" s="11"/>
      <c r="C583" s="10"/>
      <c r="D583" s="11"/>
      <c r="E583" s="10"/>
      <c r="F583" s="1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0"/>
      <c r="V583" s="11"/>
      <c r="W583" s="10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2.75" customHeight="1">
      <c r="A584" s="10"/>
      <c r="B584" s="11"/>
      <c r="C584" s="10"/>
      <c r="D584" s="11"/>
      <c r="E584" s="10"/>
      <c r="F584" s="1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0"/>
      <c r="V584" s="11"/>
      <c r="W584" s="10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2.75" customHeight="1">
      <c r="A585" s="10"/>
      <c r="B585" s="11"/>
      <c r="C585" s="10"/>
      <c r="D585" s="11"/>
      <c r="E585" s="10"/>
      <c r="F585" s="1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0"/>
      <c r="V585" s="11"/>
      <c r="W585" s="10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2.75" customHeight="1">
      <c r="A586" s="10"/>
      <c r="B586" s="11"/>
      <c r="C586" s="10"/>
      <c r="D586" s="11"/>
      <c r="E586" s="10"/>
      <c r="F586" s="1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0"/>
      <c r="V586" s="11"/>
      <c r="W586" s="10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2.75" customHeight="1">
      <c r="A587" s="10"/>
      <c r="B587" s="11"/>
      <c r="C587" s="10"/>
      <c r="D587" s="11"/>
      <c r="E587" s="10"/>
      <c r="F587" s="1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0"/>
      <c r="V587" s="11"/>
      <c r="W587" s="10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2.75" customHeight="1">
      <c r="A588" s="10"/>
      <c r="B588" s="11"/>
      <c r="C588" s="10"/>
      <c r="D588" s="11"/>
      <c r="E588" s="10"/>
      <c r="F588" s="1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0"/>
      <c r="V588" s="11"/>
      <c r="W588" s="10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2.75" customHeight="1">
      <c r="A589" s="10"/>
      <c r="B589" s="11"/>
      <c r="C589" s="10"/>
      <c r="D589" s="11"/>
      <c r="E589" s="10"/>
      <c r="F589" s="1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0"/>
      <c r="V589" s="11"/>
      <c r="W589" s="10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2.75" customHeight="1">
      <c r="A590" s="10"/>
      <c r="B590" s="11"/>
      <c r="C590" s="10"/>
      <c r="D590" s="11"/>
      <c r="E590" s="10"/>
      <c r="F590" s="1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0"/>
      <c r="V590" s="11"/>
      <c r="W590" s="10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2.75" customHeight="1">
      <c r="A591" s="10"/>
      <c r="B591" s="11"/>
      <c r="C591" s="10"/>
      <c r="D591" s="11"/>
      <c r="E591" s="10"/>
      <c r="F591" s="1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0"/>
      <c r="V591" s="11"/>
      <c r="W591" s="10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2.75" customHeight="1">
      <c r="A592" s="10"/>
      <c r="B592" s="11"/>
      <c r="C592" s="10"/>
      <c r="D592" s="11"/>
      <c r="E592" s="10"/>
      <c r="F592" s="1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0"/>
      <c r="V592" s="11"/>
      <c r="W592" s="10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2.75" customHeight="1">
      <c r="A593" s="10"/>
      <c r="B593" s="11"/>
      <c r="C593" s="10"/>
      <c r="D593" s="11"/>
      <c r="E593" s="10"/>
      <c r="F593" s="1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0"/>
      <c r="V593" s="11"/>
      <c r="W593" s="10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2.75" customHeight="1">
      <c r="A594" s="10"/>
      <c r="B594" s="11"/>
      <c r="C594" s="10"/>
      <c r="D594" s="11"/>
      <c r="E594" s="10"/>
      <c r="F594" s="1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0"/>
      <c r="V594" s="11"/>
      <c r="W594" s="10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2.75" customHeight="1">
      <c r="A595" s="10"/>
      <c r="B595" s="11"/>
      <c r="C595" s="10"/>
      <c r="D595" s="11"/>
      <c r="E595" s="10"/>
      <c r="F595" s="1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0"/>
      <c r="V595" s="11"/>
      <c r="W595" s="10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2.75" customHeight="1">
      <c r="A596" s="10"/>
      <c r="B596" s="11"/>
      <c r="C596" s="10"/>
      <c r="D596" s="11"/>
      <c r="E596" s="10"/>
      <c r="F596" s="1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0"/>
      <c r="V596" s="11"/>
      <c r="W596" s="10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2.75" customHeight="1">
      <c r="A597" s="10"/>
      <c r="B597" s="11"/>
      <c r="C597" s="10"/>
      <c r="D597" s="11"/>
      <c r="E597" s="10"/>
      <c r="F597" s="1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0"/>
      <c r="V597" s="11"/>
      <c r="W597" s="10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2.75" customHeight="1">
      <c r="A598" s="10"/>
      <c r="B598" s="11"/>
      <c r="C598" s="10"/>
      <c r="D598" s="11"/>
      <c r="E598" s="10"/>
      <c r="F598" s="1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0"/>
      <c r="V598" s="11"/>
      <c r="W598" s="10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2.75" customHeight="1">
      <c r="A599" s="10"/>
      <c r="B599" s="11"/>
      <c r="C599" s="10"/>
      <c r="D599" s="11"/>
      <c r="E599" s="10"/>
      <c r="F599" s="1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0"/>
      <c r="V599" s="11"/>
      <c r="W599" s="10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2.75" customHeight="1">
      <c r="A600" s="10"/>
      <c r="B600" s="11"/>
      <c r="C600" s="10"/>
      <c r="D600" s="11"/>
      <c r="E600" s="10"/>
      <c r="F600" s="1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0"/>
      <c r="V600" s="11"/>
      <c r="W600" s="10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2.75" customHeight="1">
      <c r="A601" s="10"/>
      <c r="B601" s="11"/>
      <c r="C601" s="10"/>
      <c r="D601" s="11"/>
      <c r="E601" s="10"/>
      <c r="F601" s="1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0"/>
      <c r="V601" s="11"/>
      <c r="W601" s="10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2.75" customHeight="1">
      <c r="A602" s="10"/>
      <c r="B602" s="11"/>
      <c r="C602" s="10"/>
      <c r="D602" s="11"/>
      <c r="E602" s="10"/>
      <c r="F602" s="1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0"/>
      <c r="V602" s="11"/>
      <c r="W602" s="10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2.75" customHeight="1">
      <c r="A603" s="10"/>
      <c r="B603" s="11"/>
      <c r="C603" s="10"/>
      <c r="D603" s="11"/>
      <c r="E603" s="10"/>
      <c r="F603" s="1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0"/>
      <c r="V603" s="11"/>
      <c r="W603" s="10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2.75" customHeight="1">
      <c r="A604" s="10"/>
      <c r="B604" s="11"/>
      <c r="C604" s="10"/>
      <c r="D604" s="11"/>
      <c r="E604" s="10"/>
      <c r="F604" s="1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0"/>
      <c r="V604" s="11"/>
      <c r="W604" s="10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2.75" customHeight="1">
      <c r="A605" s="10"/>
      <c r="B605" s="11"/>
      <c r="C605" s="10"/>
      <c r="D605" s="11"/>
      <c r="E605" s="10"/>
      <c r="F605" s="1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0"/>
      <c r="V605" s="11"/>
      <c r="W605" s="10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2.75" customHeight="1">
      <c r="A606" s="10"/>
      <c r="B606" s="11"/>
      <c r="C606" s="10"/>
      <c r="D606" s="11"/>
      <c r="E606" s="10"/>
      <c r="F606" s="1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0"/>
      <c r="V606" s="11"/>
      <c r="W606" s="10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2.75" customHeight="1">
      <c r="A607" s="10"/>
      <c r="B607" s="11"/>
      <c r="C607" s="10"/>
      <c r="D607" s="11"/>
      <c r="E607" s="10"/>
      <c r="F607" s="1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0"/>
      <c r="V607" s="11"/>
      <c r="W607" s="10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2.75" customHeight="1">
      <c r="A608" s="10"/>
      <c r="B608" s="11"/>
      <c r="C608" s="10"/>
      <c r="D608" s="11"/>
      <c r="E608" s="10"/>
      <c r="F608" s="1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0"/>
      <c r="V608" s="11"/>
      <c r="W608" s="10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2.75" customHeight="1">
      <c r="A609" s="10"/>
      <c r="B609" s="11"/>
      <c r="C609" s="10"/>
      <c r="D609" s="11"/>
      <c r="E609" s="10"/>
      <c r="F609" s="1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0"/>
      <c r="V609" s="11"/>
      <c r="W609" s="10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2.75" customHeight="1">
      <c r="A610" s="10"/>
      <c r="B610" s="11"/>
      <c r="C610" s="10"/>
      <c r="D610" s="11"/>
      <c r="E610" s="10"/>
      <c r="F610" s="1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0"/>
      <c r="V610" s="11"/>
      <c r="W610" s="10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2.75" customHeight="1">
      <c r="A611" s="10"/>
      <c r="B611" s="11"/>
      <c r="C611" s="10"/>
      <c r="D611" s="11"/>
      <c r="E611" s="10"/>
      <c r="F611" s="1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0"/>
      <c r="V611" s="11"/>
      <c r="W611" s="10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2.75" customHeight="1">
      <c r="A612" s="10"/>
      <c r="B612" s="11"/>
      <c r="C612" s="10"/>
      <c r="D612" s="11"/>
      <c r="E612" s="10"/>
      <c r="F612" s="1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0"/>
      <c r="V612" s="11"/>
      <c r="W612" s="10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2.75" customHeight="1">
      <c r="A613" s="10"/>
      <c r="B613" s="11"/>
      <c r="C613" s="10"/>
      <c r="D613" s="11"/>
      <c r="E613" s="10"/>
      <c r="F613" s="1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0"/>
      <c r="V613" s="11"/>
      <c r="W613" s="10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2.75" customHeight="1">
      <c r="A614" s="10"/>
      <c r="B614" s="11"/>
      <c r="C614" s="10"/>
      <c r="D614" s="11"/>
      <c r="E614" s="10"/>
      <c r="F614" s="1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0"/>
      <c r="V614" s="11"/>
      <c r="W614" s="10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2.75" customHeight="1">
      <c r="A615" s="10"/>
      <c r="B615" s="11"/>
      <c r="C615" s="10"/>
      <c r="D615" s="11"/>
      <c r="E615" s="10"/>
      <c r="F615" s="1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0"/>
      <c r="V615" s="11"/>
      <c r="W615" s="10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2.75" customHeight="1">
      <c r="A616" s="10"/>
      <c r="B616" s="11"/>
      <c r="C616" s="10"/>
      <c r="D616" s="11"/>
      <c r="E616" s="10"/>
      <c r="F616" s="1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0"/>
      <c r="V616" s="11"/>
      <c r="W616" s="10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2.75" customHeight="1">
      <c r="A617" s="10"/>
      <c r="B617" s="11"/>
      <c r="C617" s="10"/>
      <c r="D617" s="11"/>
      <c r="E617" s="10"/>
      <c r="F617" s="1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0"/>
      <c r="V617" s="11"/>
      <c r="W617" s="10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2.75" customHeight="1">
      <c r="A618" s="10"/>
      <c r="B618" s="11"/>
      <c r="C618" s="10"/>
      <c r="D618" s="11"/>
      <c r="E618" s="10"/>
      <c r="F618" s="1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0"/>
      <c r="V618" s="11"/>
      <c r="W618" s="10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2.75" customHeight="1">
      <c r="A619" s="10"/>
      <c r="B619" s="11"/>
      <c r="C619" s="10"/>
      <c r="D619" s="11"/>
      <c r="E619" s="10"/>
      <c r="F619" s="1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0"/>
      <c r="V619" s="11"/>
      <c r="W619" s="10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2.75" customHeight="1">
      <c r="A620" s="10"/>
      <c r="B620" s="11"/>
      <c r="C620" s="10"/>
      <c r="D620" s="11"/>
      <c r="E620" s="10"/>
      <c r="F620" s="1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0"/>
      <c r="V620" s="11"/>
      <c r="W620" s="10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2.75" customHeight="1">
      <c r="A621" s="10"/>
      <c r="B621" s="11"/>
      <c r="C621" s="10"/>
      <c r="D621" s="11"/>
      <c r="E621" s="10"/>
      <c r="F621" s="1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0"/>
      <c r="V621" s="11"/>
      <c r="W621" s="10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2.75" customHeight="1">
      <c r="A622" s="10"/>
      <c r="B622" s="11"/>
      <c r="C622" s="10"/>
      <c r="D622" s="11"/>
      <c r="E622" s="10"/>
      <c r="F622" s="1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0"/>
      <c r="V622" s="11"/>
      <c r="W622" s="10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2.75" customHeight="1">
      <c r="A623" s="10"/>
      <c r="B623" s="11"/>
      <c r="C623" s="10"/>
      <c r="D623" s="11"/>
      <c r="E623" s="10"/>
      <c r="F623" s="1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0"/>
      <c r="V623" s="11"/>
      <c r="W623" s="10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2.75" customHeight="1">
      <c r="A624" s="10"/>
      <c r="B624" s="11"/>
      <c r="C624" s="10"/>
      <c r="D624" s="11"/>
      <c r="E624" s="10"/>
      <c r="F624" s="1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0"/>
      <c r="V624" s="11"/>
      <c r="W624" s="10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2.75" customHeight="1">
      <c r="A625" s="10"/>
      <c r="B625" s="11"/>
      <c r="C625" s="10"/>
      <c r="D625" s="11"/>
      <c r="E625" s="10"/>
      <c r="F625" s="1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0"/>
      <c r="V625" s="11"/>
      <c r="W625" s="10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2.75" customHeight="1">
      <c r="A626" s="10"/>
      <c r="B626" s="11"/>
      <c r="C626" s="10"/>
      <c r="D626" s="11"/>
      <c r="E626" s="10"/>
      <c r="F626" s="1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0"/>
      <c r="V626" s="11"/>
      <c r="W626" s="10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2.75" customHeight="1">
      <c r="A627" s="10"/>
      <c r="B627" s="11"/>
      <c r="C627" s="10"/>
      <c r="D627" s="11"/>
      <c r="E627" s="10"/>
      <c r="F627" s="1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0"/>
      <c r="V627" s="11"/>
      <c r="W627" s="10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2.75" customHeight="1">
      <c r="A628" s="10"/>
      <c r="B628" s="11"/>
      <c r="C628" s="10"/>
      <c r="D628" s="11"/>
      <c r="E628" s="10"/>
      <c r="F628" s="1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0"/>
      <c r="V628" s="11"/>
      <c r="W628" s="10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2.75" customHeight="1">
      <c r="A629" s="10"/>
      <c r="B629" s="11"/>
      <c r="C629" s="10"/>
      <c r="D629" s="11"/>
      <c r="E629" s="10"/>
      <c r="F629" s="1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0"/>
      <c r="V629" s="11"/>
      <c r="W629" s="10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2.75" customHeight="1">
      <c r="A630" s="10"/>
      <c r="B630" s="11"/>
      <c r="C630" s="10"/>
      <c r="D630" s="11"/>
      <c r="E630" s="10"/>
      <c r="F630" s="1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0"/>
      <c r="V630" s="11"/>
      <c r="W630" s="10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2.75" customHeight="1">
      <c r="A631" s="10"/>
      <c r="B631" s="11"/>
      <c r="C631" s="10"/>
      <c r="D631" s="11"/>
      <c r="E631" s="10"/>
      <c r="F631" s="1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0"/>
      <c r="V631" s="11"/>
      <c r="W631" s="10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2.75" customHeight="1">
      <c r="A632" s="10"/>
      <c r="B632" s="11"/>
      <c r="C632" s="10"/>
      <c r="D632" s="11"/>
      <c r="E632" s="10"/>
      <c r="F632" s="1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0"/>
      <c r="V632" s="11"/>
      <c r="W632" s="10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2.75" customHeight="1">
      <c r="A633" s="10"/>
      <c r="B633" s="11"/>
      <c r="C633" s="10"/>
      <c r="D633" s="11"/>
      <c r="E633" s="10"/>
      <c r="F633" s="1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0"/>
      <c r="V633" s="11"/>
      <c r="W633" s="10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2.75" customHeight="1">
      <c r="A634" s="10"/>
      <c r="B634" s="11"/>
      <c r="C634" s="10"/>
      <c r="D634" s="11"/>
      <c r="E634" s="10"/>
      <c r="F634" s="1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0"/>
      <c r="V634" s="11"/>
      <c r="W634" s="10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2.75" customHeight="1">
      <c r="A635" s="10"/>
      <c r="B635" s="11"/>
      <c r="C635" s="10"/>
      <c r="D635" s="11"/>
      <c r="E635" s="10"/>
      <c r="F635" s="1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0"/>
      <c r="V635" s="11"/>
      <c r="W635" s="10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2.75" customHeight="1">
      <c r="A636" s="10"/>
      <c r="B636" s="11"/>
      <c r="C636" s="10"/>
      <c r="D636" s="11"/>
      <c r="E636" s="10"/>
      <c r="F636" s="1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0"/>
      <c r="V636" s="11"/>
      <c r="W636" s="10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2.75" customHeight="1">
      <c r="A637" s="10"/>
      <c r="B637" s="11"/>
      <c r="C637" s="10"/>
      <c r="D637" s="11"/>
      <c r="E637" s="10"/>
      <c r="F637" s="1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0"/>
      <c r="V637" s="11"/>
      <c r="W637" s="10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2.75" customHeight="1">
      <c r="A638" s="10"/>
      <c r="B638" s="11"/>
      <c r="C638" s="10"/>
      <c r="D638" s="11"/>
      <c r="E638" s="10"/>
      <c r="F638" s="1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0"/>
      <c r="V638" s="11"/>
      <c r="W638" s="10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2.75" customHeight="1">
      <c r="A639" s="10"/>
      <c r="B639" s="11"/>
      <c r="C639" s="10"/>
      <c r="D639" s="11"/>
      <c r="E639" s="10"/>
      <c r="F639" s="1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0"/>
      <c r="V639" s="11"/>
      <c r="W639" s="10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2.75" customHeight="1">
      <c r="A640" s="10"/>
      <c r="B640" s="11"/>
      <c r="C640" s="10"/>
      <c r="D640" s="11"/>
      <c r="E640" s="10"/>
      <c r="F640" s="1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0"/>
      <c r="V640" s="11"/>
      <c r="W640" s="10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2.75" customHeight="1">
      <c r="A641" s="10"/>
      <c r="B641" s="11"/>
      <c r="C641" s="10"/>
      <c r="D641" s="11"/>
      <c r="E641" s="10"/>
      <c r="F641" s="1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0"/>
      <c r="V641" s="11"/>
      <c r="W641" s="10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2.75" customHeight="1">
      <c r="A642" s="10"/>
      <c r="B642" s="11"/>
      <c r="C642" s="10"/>
      <c r="D642" s="11"/>
      <c r="E642" s="10"/>
      <c r="F642" s="1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0"/>
      <c r="V642" s="11"/>
      <c r="W642" s="10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2.75" customHeight="1">
      <c r="A643" s="10"/>
      <c r="B643" s="11"/>
      <c r="C643" s="10"/>
      <c r="D643" s="11"/>
      <c r="E643" s="10"/>
      <c r="F643" s="1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0"/>
      <c r="V643" s="11"/>
      <c r="W643" s="10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2.75" customHeight="1">
      <c r="A644" s="10"/>
      <c r="B644" s="11"/>
      <c r="C644" s="10"/>
      <c r="D644" s="11"/>
      <c r="E644" s="10"/>
      <c r="F644" s="1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0"/>
      <c r="V644" s="11"/>
      <c r="W644" s="10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2.75" customHeight="1">
      <c r="A645" s="10"/>
      <c r="B645" s="11"/>
      <c r="C645" s="10"/>
      <c r="D645" s="11"/>
      <c r="E645" s="10"/>
      <c r="F645" s="1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0"/>
      <c r="V645" s="11"/>
      <c r="W645" s="10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2.75" customHeight="1">
      <c r="A646" s="10"/>
      <c r="B646" s="11"/>
      <c r="C646" s="10"/>
      <c r="D646" s="11"/>
      <c r="E646" s="10"/>
      <c r="F646" s="1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0"/>
      <c r="V646" s="11"/>
      <c r="W646" s="10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2.75" customHeight="1">
      <c r="A647" s="10"/>
      <c r="B647" s="11"/>
      <c r="C647" s="10"/>
      <c r="D647" s="11"/>
      <c r="E647" s="10"/>
      <c r="F647" s="1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0"/>
      <c r="V647" s="11"/>
      <c r="W647" s="10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2.75" customHeight="1">
      <c r="A648" s="10"/>
      <c r="B648" s="11"/>
      <c r="C648" s="10"/>
      <c r="D648" s="11"/>
      <c r="E648" s="10"/>
      <c r="F648" s="1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0"/>
      <c r="V648" s="11"/>
      <c r="W648" s="10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2.75" customHeight="1">
      <c r="A649" s="10"/>
      <c r="B649" s="11"/>
      <c r="C649" s="10"/>
      <c r="D649" s="11"/>
      <c r="E649" s="10"/>
      <c r="F649" s="1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0"/>
      <c r="V649" s="11"/>
      <c r="W649" s="10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2.75" customHeight="1">
      <c r="A650" s="10"/>
      <c r="B650" s="11"/>
      <c r="C650" s="10"/>
      <c r="D650" s="11"/>
      <c r="E650" s="10"/>
      <c r="F650" s="1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0"/>
      <c r="V650" s="11"/>
      <c r="W650" s="10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2.75" customHeight="1">
      <c r="A651" s="10"/>
      <c r="B651" s="11"/>
      <c r="C651" s="10"/>
      <c r="D651" s="11"/>
      <c r="E651" s="10"/>
      <c r="F651" s="1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0"/>
      <c r="V651" s="11"/>
      <c r="W651" s="10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2.75" customHeight="1">
      <c r="A652" s="10"/>
      <c r="B652" s="11"/>
      <c r="C652" s="10"/>
      <c r="D652" s="11"/>
      <c r="E652" s="10"/>
      <c r="F652" s="1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0"/>
      <c r="V652" s="11"/>
      <c r="W652" s="10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2.75" customHeight="1">
      <c r="A653" s="10"/>
      <c r="B653" s="11"/>
      <c r="C653" s="10"/>
      <c r="D653" s="11"/>
      <c r="E653" s="10"/>
      <c r="F653" s="1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0"/>
      <c r="V653" s="11"/>
      <c r="W653" s="10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2.75" customHeight="1">
      <c r="A654" s="10"/>
      <c r="B654" s="11"/>
      <c r="C654" s="10"/>
      <c r="D654" s="11"/>
      <c r="E654" s="10"/>
      <c r="F654" s="1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0"/>
      <c r="V654" s="11"/>
      <c r="W654" s="10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2.75" customHeight="1">
      <c r="A655" s="10"/>
      <c r="B655" s="11"/>
      <c r="C655" s="10"/>
      <c r="D655" s="11"/>
      <c r="E655" s="10"/>
      <c r="F655" s="1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0"/>
      <c r="V655" s="11"/>
      <c r="W655" s="10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2.75" customHeight="1">
      <c r="A656" s="10"/>
      <c r="B656" s="11"/>
      <c r="C656" s="10"/>
      <c r="D656" s="11"/>
      <c r="E656" s="10"/>
      <c r="F656" s="1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0"/>
      <c r="V656" s="11"/>
      <c r="W656" s="10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2.75" customHeight="1">
      <c r="A657" s="10"/>
      <c r="B657" s="11"/>
      <c r="C657" s="10"/>
      <c r="D657" s="11"/>
      <c r="E657" s="10"/>
      <c r="F657" s="1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0"/>
      <c r="V657" s="11"/>
      <c r="W657" s="10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2.75" customHeight="1">
      <c r="A658" s="10"/>
      <c r="B658" s="11"/>
      <c r="C658" s="10"/>
      <c r="D658" s="11"/>
      <c r="E658" s="10"/>
      <c r="F658" s="1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0"/>
      <c r="V658" s="11"/>
      <c r="W658" s="10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2.75" customHeight="1">
      <c r="A659" s="10"/>
      <c r="B659" s="11"/>
      <c r="C659" s="10"/>
      <c r="D659" s="11"/>
      <c r="E659" s="10"/>
      <c r="F659" s="1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0"/>
      <c r="V659" s="11"/>
      <c r="W659" s="10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2.75" customHeight="1">
      <c r="A660" s="10"/>
      <c r="B660" s="11"/>
      <c r="C660" s="10"/>
      <c r="D660" s="11"/>
      <c r="E660" s="10"/>
      <c r="F660" s="1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0"/>
      <c r="V660" s="11"/>
      <c r="W660" s="10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2.75" customHeight="1">
      <c r="A661" s="10"/>
      <c r="B661" s="11"/>
      <c r="C661" s="10"/>
      <c r="D661" s="11"/>
      <c r="E661" s="10"/>
      <c r="F661" s="1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0"/>
      <c r="V661" s="11"/>
      <c r="W661" s="10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2.75" customHeight="1">
      <c r="A662" s="10"/>
      <c r="B662" s="11"/>
      <c r="C662" s="10"/>
      <c r="D662" s="11"/>
      <c r="E662" s="10"/>
      <c r="F662" s="1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0"/>
      <c r="V662" s="11"/>
      <c r="W662" s="10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2.75" customHeight="1">
      <c r="A663" s="10"/>
      <c r="B663" s="11"/>
      <c r="C663" s="10"/>
      <c r="D663" s="11"/>
      <c r="E663" s="10"/>
      <c r="F663" s="1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0"/>
      <c r="V663" s="11"/>
      <c r="W663" s="10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2.75" customHeight="1">
      <c r="A664" s="10"/>
      <c r="B664" s="11"/>
      <c r="C664" s="10"/>
      <c r="D664" s="11"/>
      <c r="E664" s="10"/>
      <c r="F664" s="1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0"/>
      <c r="V664" s="11"/>
      <c r="W664" s="10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2.75" customHeight="1">
      <c r="A665" s="10"/>
      <c r="B665" s="11"/>
      <c r="C665" s="10"/>
      <c r="D665" s="11"/>
      <c r="E665" s="10"/>
      <c r="F665" s="1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0"/>
      <c r="V665" s="11"/>
      <c r="W665" s="10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2.75" customHeight="1">
      <c r="A666" s="10"/>
      <c r="B666" s="11"/>
      <c r="C666" s="10"/>
      <c r="D666" s="11"/>
      <c r="E666" s="10"/>
      <c r="F666" s="1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0"/>
      <c r="V666" s="11"/>
      <c r="W666" s="10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2.75" customHeight="1">
      <c r="A667" s="10"/>
      <c r="B667" s="11"/>
      <c r="C667" s="10"/>
      <c r="D667" s="11"/>
      <c r="E667" s="10"/>
      <c r="F667" s="1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0"/>
      <c r="V667" s="11"/>
      <c r="W667" s="10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2.75" customHeight="1">
      <c r="A668" s="10"/>
      <c r="B668" s="11"/>
      <c r="C668" s="10"/>
      <c r="D668" s="11"/>
      <c r="E668" s="10"/>
      <c r="F668" s="1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0"/>
      <c r="V668" s="11"/>
      <c r="W668" s="10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2.75" customHeight="1">
      <c r="A669" s="10"/>
      <c r="B669" s="11"/>
      <c r="C669" s="10"/>
      <c r="D669" s="11"/>
      <c r="E669" s="10"/>
      <c r="F669" s="1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0"/>
      <c r="V669" s="11"/>
      <c r="W669" s="10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2.75" customHeight="1">
      <c r="A670" s="10"/>
      <c r="B670" s="11"/>
      <c r="C670" s="10"/>
      <c r="D670" s="11"/>
      <c r="E670" s="10"/>
      <c r="F670" s="1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0"/>
      <c r="V670" s="11"/>
      <c r="W670" s="10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2.75" customHeight="1">
      <c r="A671" s="10"/>
      <c r="B671" s="11"/>
      <c r="C671" s="10"/>
      <c r="D671" s="11"/>
      <c r="E671" s="10"/>
      <c r="F671" s="1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0"/>
      <c r="V671" s="11"/>
      <c r="W671" s="10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2.75" customHeight="1">
      <c r="A672" s="10"/>
      <c r="B672" s="11"/>
      <c r="C672" s="10"/>
      <c r="D672" s="11"/>
      <c r="E672" s="10"/>
      <c r="F672" s="1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0"/>
      <c r="V672" s="11"/>
      <c r="W672" s="10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2.75" customHeight="1">
      <c r="A673" s="10"/>
      <c r="B673" s="11"/>
      <c r="C673" s="10"/>
      <c r="D673" s="11"/>
      <c r="E673" s="10"/>
      <c r="F673" s="1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0"/>
      <c r="V673" s="11"/>
      <c r="W673" s="10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2.75" customHeight="1">
      <c r="A674" s="10"/>
      <c r="B674" s="11"/>
      <c r="C674" s="10"/>
      <c r="D674" s="11"/>
      <c r="E674" s="10"/>
      <c r="F674" s="1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0"/>
      <c r="V674" s="11"/>
      <c r="W674" s="10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2.75" customHeight="1">
      <c r="A675" s="10"/>
      <c r="B675" s="11"/>
      <c r="C675" s="10"/>
      <c r="D675" s="11"/>
      <c r="E675" s="10"/>
      <c r="F675" s="1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0"/>
      <c r="V675" s="11"/>
      <c r="W675" s="10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2.75" customHeight="1">
      <c r="A676" s="10"/>
      <c r="B676" s="11"/>
      <c r="C676" s="10"/>
      <c r="D676" s="11"/>
      <c r="E676" s="10"/>
      <c r="F676" s="1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0"/>
      <c r="V676" s="11"/>
      <c r="W676" s="10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2.75" customHeight="1">
      <c r="A677" s="10"/>
      <c r="B677" s="11"/>
      <c r="C677" s="10"/>
      <c r="D677" s="11"/>
      <c r="E677" s="10"/>
      <c r="F677" s="1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0"/>
      <c r="V677" s="11"/>
      <c r="W677" s="10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2.75" customHeight="1">
      <c r="A678" s="10"/>
      <c r="B678" s="11"/>
      <c r="C678" s="10"/>
      <c r="D678" s="11"/>
      <c r="E678" s="10"/>
      <c r="F678" s="1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0"/>
      <c r="V678" s="11"/>
      <c r="W678" s="10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2.75" customHeight="1">
      <c r="A679" s="10"/>
      <c r="B679" s="11"/>
      <c r="C679" s="10"/>
      <c r="D679" s="11"/>
      <c r="E679" s="10"/>
      <c r="F679" s="1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0"/>
      <c r="V679" s="11"/>
      <c r="W679" s="10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2.75" customHeight="1">
      <c r="A680" s="10"/>
      <c r="B680" s="11"/>
      <c r="C680" s="10"/>
      <c r="D680" s="11"/>
      <c r="E680" s="10"/>
      <c r="F680" s="1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0"/>
      <c r="V680" s="11"/>
      <c r="W680" s="10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2.75" customHeight="1">
      <c r="A681" s="10"/>
      <c r="B681" s="11"/>
      <c r="C681" s="10"/>
      <c r="D681" s="11"/>
      <c r="E681" s="10"/>
      <c r="F681" s="1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0"/>
      <c r="V681" s="11"/>
      <c r="W681" s="10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2.75" customHeight="1">
      <c r="A682" s="10"/>
      <c r="B682" s="11"/>
      <c r="C682" s="10"/>
      <c r="D682" s="11"/>
      <c r="E682" s="10"/>
      <c r="F682" s="1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0"/>
      <c r="V682" s="11"/>
      <c r="W682" s="10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2.75" customHeight="1">
      <c r="A683" s="10"/>
      <c r="B683" s="11"/>
      <c r="C683" s="10"/>
      <c r="D683" s="11"/>
      <c r="E683" s="10"/>
      <c r="F683" s="1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0"/>
      <c r="V683" s="11"/>
      <c r="W683" s="10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2.75" customHeight="1">
      <c r="A684" s="10"/>
      <c r="B684" s="11"/>
      <c r="C684" s="10"/>
      <c r="D684" s="11"/>
      <c r="E684" s="10"/>
      <c r="F684" s="1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0"/>
      <c r="V684" s="11"/>
      <c r="W684" s="10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2.75" customHeight="1">
      <c r="A685" s="10"/>
      <c r="B685" s="11"/>
      <c r="C685" s="10"/>
      <c r="D685" s="11"/>
      <c r="E685" s="10"/>
      <c r="F685" s="1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0"/>
      <c r="V685" s="11"/>
      <c r="W685" s="10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2.75" customHeight="1">
      <c r="A686" s="10"/>
      <c r="B686" s="11"/>
      <c r="C686" s="10"/>
      <c r="D686" s="11"/>
      <c r="E686" s="10"/>
      <c r="F686" s="1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0"/>
      <c r="V686" s="11"/>
      <c r="W686" s="10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2.75" customHeight="1">
      <c r="A687" s="10"/>
      <c r="B687" s="11"/>
      <c r="C687" s="10"/>
      <c r="D687" s="11"/>
      <c r="E687" s="10"/>
      <c r="F687" s="1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0"/>
      <c r="V687" s="11"/>
      <c r="W687" s="10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2.75" customHeight="1">
      <c r="A688" s="10"/>
      <c r="B688" s="11"/>
      <c r="C688" s="10"/>
      <c r="D688" s="11"/>
      <c r="E688" s="10"/>
      <c r="F688" s="1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0"/>
      <c r="V688" s="11"/>
      <c r="W688" s="10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2.75" customHeight="1">
      <c r="A689" s="10"/>
      <c r="B689" s="11"/>
      <c r="C689" s="10"/>
      <c r="D689" s="11"/>
      <c r="E689" s="10"/>
      <c r="F689" s="1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0"/>
      <c r="V689" s="11"/>
      <c r="W689" s="10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2.75" customHeight="1">
      <c r="A690" s="10"/>
      <c r="B690" s="11"/>
      <c r="C690" s="10"/>
      <c r="D690" s="11"/>
      <c r="E690" s="10"/>
      <c r="F690" s="1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0"/>
      <c r="V690" s="11"/>
      <c r="W690" s="10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2.75" customHeight="1">
      <c r="A691" s="10"/>
      <c r="B691" s="11"/>
      <c r="C691" s="10"/>
      <c r="D691" s="11"/>
      <c r="E691" s="10"/>
      <c r="F691" s="1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0"/>
      <c r="V691" s="11"/>
      <c r="W691" s="10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2.75" customHeight="1">
      <c r="A692" s="10"/>
      <c r="B692" s="11"/>
      <c r="C692" s="10"/>
      <c r="D692" s="11"/>
      <c r="E692" s="10"/>
      <c r="F692" s="1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0"/>
      <c r="V692" s="11"/>
      <c r="W692" s="10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2.75" customHeight="1">
      <c r="A693" s="10"/>
      <c r="B693" s="11"/>
      <c r="C693" s="10"/>
      <c r="D693" s="11"/>
      <c r="E693" s="10"/>
      <c r="F693" s="1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0"/>
      <c r="V693" s="11"/>
      <c r="W693" s="10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2.75" customHeight="1">
      <c r="A694" s="10"/>
      <c r="B694" s="11"/>
      <c r="C694" s="10"/>
      <c r="D694" s="11"/>
      <c r="E694" s="10"/>
      <c r="F694" s="1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0"/>
      <c r="V694" s="11"/>
      <c r="W694" s="10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2.75" customHeight="1">
      <c r="A695" s="10"/>
      <c r="B695" s="11"/>
      <c r="C695" s="10"/>
      <c r="D695" s="11"/>
      <c r="E695" s="10"/>
      <c r="F695" s="1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0"/>
      <c r="V695" s="11"/>
      <c r="W695" s="10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2.75" customHeight="1">
      <c r="A696" s="10"/>
      <c r="B696" s="11"/>
      <c r="C696" s="10"/>
      <c r="D696" s="11"/>
      <c r="E696" s="10"/>
      <c r="F696" s="1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0"/>
      <c r="V696" s="11"/>
      <c r="W696" s="10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2.75" customHeight="1">
      <c r="A697" s="10"/>
      <c r="B697" s="11"/>
      <c r="C697" s="10"/>
      <c r="D697" s="11"/>
      <c r="E697" s="10"/>
      <c r="F697" s="1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0"/>
      <c r="V697" s="11"/>
      <c r="W697" s="10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2.75" customHeight="1">
      <c r="A698" s="10"/>
      <c r="B698" s="11"/>
      <c r="C698" s="10"/>
      <c r="D698" s="11"/>
      <c r="E698" s="10"/>
      <c r="F698" s="1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0"/>
      <c r="V698" s="11"/>
      <c r="W698" s="10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2.75" customHeight="1">
      <c r="A699" s="10"/>
      <c r="B699" s="11"/>
      <c r="C699" s="10"/>
      <c r="D699" s="11"/>
      <c r="E699" s="10"/>
      <c r="F699" s="1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0"/>
      <c r="V699" s="11"/>
      <c r="W699" s="10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2.75" customHeight="1">
      <c r="A700" s="10"/>
      <c r="B700" s="11"/>
      <c r="C700" s="10"/>
      <c r="D700" s="11"/>
      <c r="E700" s="10"/>
      <c r="F700" s="1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0"/>
      <c r="V700" s="11"/>
      <c r="W700" s="10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2.75" customHeight="1">
      <c r="A701" s="10"/>
      <c r="B701" s="11"/>
      <c r="C701" s="10"/>
      <c r="D701" s="11"/>
      <c r="E701" s="10"/>
      <c r="F701" s="1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0"/>
      <c r="V701" s="11"/>
      <c r="W701" s="10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2.75" customHeight="1">
      <c r="A702" s="10"/>
      <c r="B702" s="11"/>
      <c r="C702" s="10"/>
      <c r="D702" s="11"/>
      <c r="E702" s="10"/>
      <c r="F702" s="1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0"/>
      <c r="V702" s="11"/>
      <c r="W702" s="10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2.75" customHeight="1">
      <c r="A703" s="10"/>
      <c r="B703" s="11"/>
      <c r="C703" s="10"/>
      <c r="D703" s="11"/>
      <c r="E703" s="10"/>
      <c r="F703" s="1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0"/>
      <c r="V703" s="11"/>
      <c r="W703" s="10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2.75" customHeight="1">
      <c r="A704" s="10"/>
      <c r="B704" s="11"/>
      <c r="C704" s="10"/>
      <c r="D704" s="11"/>
      <c r="E704" s="10"/>
      <c r="F704" s="1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0"/>
      <c r="V704" s="11"/>
      <c r="W704" s="10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2.75" customHeight="1">
      <c r="A705" s="10"/>
      <c r="B705" s="11"/>
      <c r="C705" s="10"/>
      <c r="D705" s="11"/>
      <c r="E705" s="10"/>
      <c r="F705" s="1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0"/>
      <c r="V705" s="11"/>
      <c r="W705" s="10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2.75" customHeight="1">
      <c r="A706" s="10"/>
      <c r="B706" s="11"/>
      <c r="C706" s="10"/>
      <c r="D706" s="11"/>
      <c r="E706" s="10"/>
      <c r="F706" s="1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0"/>
      <c r="V706" s="11"/>
      <c r="W706" s="10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2.75" customHeight="1">
      <c r="A707" s="10"/>
      <c r="B707" s="11"/>
      <c r="C707" s="10"/>
      <c r="D707" s="11"/>
      <c r="E707" s="10"/>
      <c r="F707" s="1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0"/>
      <c r="V707" s="11"/>
      <c r="W707" s="10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2.75" customHeight="1">
      <c r="A708" s="10"/>
      <c r="B708" s="11"/>
      <c r="C708" s="10"/>
      <c r="D708" s="11"/>
      <c r="E708" s="10"/>
      <c r="F708" s="1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0"/>
      <c r="V708" s="11"/>
      <c r="W708" s="10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2.75" customHeight="1">
      <c r="A709" s="10"/>
      <c r="B709" s="11"/>
      <c r="C709" s="10"/>
      <c r="D709" s="11"/>
      <c r="E709" s="10"/>
      <c r="F709" s="1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0"/>
      <c r="V709" s="11"/>
      <c r="W709" s="10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2.75" customHeight="1">
      <c r="A710" s="10"/>
      <c r="B710" s="11"/>
      <c r="C710" s="10"/>
      <c r="D710" s="11"/>
      <c r="E710" s="10"/>
      <c r="F710" s="1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0"/>
      <c r="V710" s="11"/>
      <c r="W710" s="10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2.75" customHeight="1">
      <c r="A711" s="10"/>
      <c r="B711" s="11"/>
      <c r="C711" s="10"/>
      <c r="D711" s="11"/>
      <c r="E711" s="10"/>
      <c r="F711" s="1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0"/>
      <c r="V711" s="11"/>
      <c r="W711" s="10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2.75" customHeight="1">
      <c r="A712" s="10"/>
      <c r="B712" s="11"/>
      <c r="C712" s="10"/>
      <c r="D712" s="11"/>
      <c r="E712" s="10"/>
      <c r="F712" s="1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0"/>
      <c r="V712" s="11"/>
      <c r="W712" s="10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2.75" customHeight="1">
      <c r="A713" s="10"/>
      <c r="B713" s="11"/>
      <c r="C713" s="10"/>
      <c r="D713" s="11"/>
      <c r="E713" s="10"/>
      <c r="F713" s="1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0"/>
      <c r="V713" s="11"/>
      <c r="W713" s="10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2.75" customHeight="1">
      <c r="A714" s="10"/>
      <c r="B714" s="11"/>
      <c r="C714" s="10"/>
      <c r="D714" s="11"/>
      <c r="E714" s="10"/>
      <c r="F714" s="1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0"/>
      <c r="V714" s="11"/>
      <c r="W714" s="10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2.75" customHeight="1">
      <c r="A715" s="10"/>
      <c r="B715" s="11"/>
      <c r="C715" s="10"/>
      <c r="D715" s="11"/>
      <c r="E715" s="10"/>
      <c r="F715" s="1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0"/>
      <c r="V715" s="11"/>
      <c r="W715" s="10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2.75" customHeight="1">
      <c r="A716" s="10"/>
      <c r="B716" s="11"/>
      <c r="C716" s="10"/>
      <c r="D716" s="11"/>
      <c r="E716" s="10"/>
      <c r="F716" s="1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0"/>
      <c r="V716" s="11"/>
      <c r="W716" s="10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2.75" customHeight="1">
      <c r="A717" s="10"/>
      <c r="B717" s="11"/>
      <c r="C717" s="10"/>
      <c r="D717" s="11"/>
      <c r="E717" s="10"/>
      <c r="F717" s="1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0"/>
      <c r="V717" s="11"/>
      <c r="W717" s="10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2.75" customHeight="1">
      <c r="A718" s="10"/>
      <c r="B718" s="11"/>
      <c r="C718" s="10"/>
      <c r="D718" s="11"/>
      <c r="E718" s="10"/>
      <c r="F718" s="1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0"/>
      <c r="V718" s="11"/>
      <c r="W718" s="10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2.75" customHeight="1">
      <c r="A719" s="10"/>
      <c r="B719" s="11"/>
      <c r="C719" s="10"/>
      <c r="D719" s="11"/>
      <c r="E719" s="10"/>
      <c r="F719" s="1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0"/>
      <c r="V719" s="11"/>
      <c r="W719" s="10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2.75" customHeight="1">
      <c r="A720" s="10"/>
      <c r="B720" s="11"/>
      <c r="C720" s="10"/>
      <c r="D720" s="11"/>
      <c r="E720" s="10"/>
      <c r="F720" s="1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0"/>
      <c r="V720" s="11"/>
      <c r="W720" s="10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2.75" customHeight="1">
      <c r="A721" s="10"/>
      <c r="B721" s="11"/>
      <c r="C721" s="10"/>
      <c r="D721" s="11"/>
      <c r="E721" s="10"/>
      <c r="F721" s="1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0"/>
      <c r="V721" s="11"/>
      <c r="W721" s="10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2.75" customHeight="1">
      <c r="A722" s="10"/>
      <c r="B722" s="11"/>
      <c r="C722" s="10"/>
      <c r="D722" s="11"/>
      <c r="E722" s="10"/>
      <c r="F722" s="1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0"/>
      <c r="V722" s="11"/>
      <c r="W722" s="10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2.75" customHeight="1">
      <c r="A723" s="10"/>
      <c r="B723" s="11"/>
      <c r="C723" s="10"/>
      <c r="D723" s="11"/>
      <c r="E723" s="10"/>
      <c r="F723" s="1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0"/>
      <c r="V723" s="11"/>
      <c r="W723" s="10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2.75" customHeight="1">
      <c r="A724" s="10"/>
      <c r="B724" s="11"/>
      <c r="C724" s="10"/>
      <c r="D724" s="11"/>
      <c r="E724" s="10"/>
      <c r="F724" s="1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0"/>
      <c r="V724" s="11"/>
      <c r="W724" s="10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2.75" customHeight="1">
      <c r="A725" s="10"/>
      <c r="B725" s="11"/>
      <c r="C725" s="10"/>
      <c r="D725" s="11"/>
      <c r="E725" s="10"/>
      <c r="F725" s="1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0"/>
      <c r="V725" s="11"/>
      <c r="W725" s="10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2.75" customHeight="1">
      <c r="A726" s="10"/>
      <c r="B726" s="11"/>
      <c r="C726" s="10"/>
      <c r="D726" s="11"/>
      <c r="E726" s="10"/>
      <c r="F726" s="1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0"/>
      <c r="V726" s="11"/>
      <c r="W726" s="10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2.75" customHeight="1">
      <c r="A727" s="10"/>
      <c r="B727" s="11"/>
      <c r="C727" s="10"/>
      <c r="D727" s="11"/>
      <c r="E727" s="10"/>
      <c r="F727" s="1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0"/>
      <c r="V727" s="11"/>
      <c r="W727" s="10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2.75" customHeight="1">
      <c r="A728" s="10"/>
      <c r="B728" s="11"/>
      <c r="C728" s="10"/>
      <c r="D728" s="11"/>
      <c r="E728" s="10"/>
      <c r="F728" s="1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0"/>
      <c r="V728" s="11"/>
      <c r="W728" s="10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2.75" customHeight="1">
      <c r="A729" s="10"/>
      <c r="B729" s="11"/>
      <c r="C729" s="10"/>
      <c r="D729" s="11"/>
      <c r="E729" s="10"/>
      <c r="F729" s="1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0"/>
      <c r="V729" s="11"/>
      <c r="W729" s="10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2.75" customHeight="1">
      <c r="A730" s="10"/>
      <c r="B730" s="11"/>
      <c r="C730" s="10"/>
      <c r="D730" s="11"/>
      <c r="E730" s="10"/>
      <c r="F730" s="1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0"/>
      <c r="V730" s="11"/>
      <c r="W730" s="10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2.75" customHeight="1">
      <c r="A731" s="10"/>
      <c r="B731" s="11"/>
      <c r="C731" s="10"/>
      <c r="D731" s="11"/>
      <c r="E731" s="10"/>
      <c r="F731" s="1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0"/>
      <c r="V731" s="11"/>
      <c r="W731" s="10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2.75" customHeight="1">
      <c r="A732" s="10"/>
      <c r="B732" s="11"/>
      <c r="C732" s="10"/>
      <c r="D732" s="11"/>
      <c r="E732" s="10"/>
      <c r="F732" s="1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0"/>
      <c r="V732" s="11"/>
      <c r="W732" s="10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2.75" customHeight="1">
      <c r="A733" s="10"/>
      <c r="B733" s="11"/>
      <c r="C733" s="10"/>
      <c r="D733" s="11"/>
      <c r="E733" s="10"/>
      <c r="F733" s="1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0"/>
      <c r="V733" s="11"/>
      <c r="W733" s="10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2.75" customHeight="1">
      <c r="A734" s="10"/>
      <c r="B734" s="11"/>
      <c r="C734" s="10"/>
      <c r="D734" s="11"/>
      <c r="E734" s="10"/>
      <c r="F734" s="1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0"/>
      <c r="V734" s="11"/>
      <c r="W734" s="10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2.75" customHeight="1">
      <c r="A735" s="10"/>
      <c r="B735" s="11"/>
      <c r="C735" s="10"/>
      <c r="D735" s="11"/>
      <c r="E735" s="10"/>
      <c r="F735" s="1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0"/>
      <c r="V735" s="11"/>
      <c r="W735" s="10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2.75" customHeight="1">
      <c r="A736" s="10"/>
      <c r="B736" s="11"/>
      <c r="C736" s="10"/>
      <c r="D736" s="11"/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0"/>
      <c r="V736" s="11"/>
      <c r="W736" s="10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2.75" customHeight="1">
      <c r="A737" s="10"/>
      <c r="B737" s="11"/>
      <c r="C737" s="10"/>
      <c r="D737" s="11"/>
      <c r="E737" s="10"/>
      <c r="F737" s="1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0"/>
      <c r="V737" s="11"/>
      <c r="W737" s="10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2.75" customHeight="1">
      <c r="A738" s="10"/>
      <c r="B738" s="11"/>
      <c r="C738" s="10"/>
      <c r="D738" s="11"/>
      <c r="E738" s="10"/>
      <c r="F738" s="1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0"/>
      <c r="V738" s="11"/>
      <c r="W738" s="10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2.75" customHeight="1">
      <c r="A739" s="10"/>
      <c r="B739" s="11"/>
      <c r="C739" s="10"/>
      <c r="D739" s="11"/>
      <c r="E739" s="10"/>
      <c r="F739" s="1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0"/>
      <c r="V739" s="11"/>
      <c r="W739" s="10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2.75" customHeight="1">
      <c r="A740" s="10"/>
      <c r="B740" s="11"/>
      <c r="C740" s="10"/>
      <c r="D740" s="11"/>
      <c r="E740" s="10"/>
      <c r="F740" s="1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0"/>
      <c r="V740" s="11"/>
      <c r="W740" s="10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2.75" customHeight="1">
      <c r="A741" s="10"/>
      <c r="B741" s="11"/>
      <c r="C741" s="10"/>
      <c r="D741" s="11"/>
      <c r="E741" s="10"/>
      <c r="F741" s="1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0"/>
      <c r="V741" s="11"/>
      <c r="W741" s="10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2.75" customHeight="1">
      <c r="A742" s="10"/>
      <c r="B742" s="11"/>
      <c r="C742" s="10"/>
      <c r="D742" s="11"/>
      <c r="E742" s="10"/>
      <c r="F742" s="1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0"/>
      <c r="V742" s="11"/>
      <c r="W742" s="10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2.75" customHeight="1">
      <c r="A743" s="10"/>
      <c r="B743" s="11"/>
      <c r="C743" s="10"/>
      <c r="D743" s="11"/>
      <c r="E743" s="10"/>
      <c r="F743" s="1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0"/>
      <c r="V743" s="11"/>
      <c r="W743" s="10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2.75" customHeight="1">
      <c r="A744" s="10"/>
      <c r="B744" s="11"/>
      <c r="C744" s="10"/>
      <c r="D744" s="11"/>
      <c r="E744" s="10"/>
      <c r="F744" s="1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0"/>
      <c r="V744" s="11"/>
      <c r="W744" s="10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2.75" customHeight="1">
      <c r="A745" s="10"/>
      <c r="B745" s="11"/>
      <c r="C745" s="10"/>
      <c r="D745" s="11"/>
      <c r="E745" s="10"/>
      <c r="F745" s="1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0"/>
      <c r="V745" s="11"/>
      <c r="W745" s="10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2.75" customHeight="1">
      <c r="A746" s="10"/>
      <c r="B746" s="11"/>
      <c r="C746" s="10"/>
      <c r="D746" s="11"/>
      <c r="E746" s="10"/>
      <c r="F746" s="1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0"/>
      <c r="V746" s="11"/>
      <c r="W746" s="10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2.75" customHeight="1">
      <c r="A747" s="10"/>
      <c r="B747" s="11"/>
      <c r="C747" s="10"/>
      <c r="D747" s="11"/>
      <c r="E747" s="10"/>
      <c r="F747" s="1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0"/>
      <c r="V747" s="11"/>
      <c r="W747" s="10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2.75" customHeight="1">
      <c r="A748" s="10"/>
      <c r="B748" s="11"/>
      <c r="C748" s="10"/>
      <c r="D748" s="11"/>
      <c r="E748" s="10"/>
      <c r="F748" s="1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0"/>
      <c r="V748" s="11"/>
      <c r="W748" s="10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2.75" customHeight="1">
      <c r="A749" s="10"/>
      <c r="B749" s="11"/>
      <c r="C749" s="10"/>
      <c r="D749" s="11"/>
      <c r="E749" s="10"/>
      <c r="F749" s="1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0"/>
      <c r="V749" s="11"/>
      <c r="W749" s="10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2.75" customHeight="1">
      <c r="A750" s="10"/>
      <c r="B750" s="11"/>
      <c r="C750" s="10"/>
      <c r="D750" s="11"/>
      <c r="E750" s="10"/>
      <c r="F750" s="1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0"/>
      <c r="V750" s="11"/>
      <c r="W750" s="10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2.75" customHeight="1">
      <c r="A751" s="10"/>
      <c r="B751" s="11"/>
      <c r="C751" s="10"/>
      <c r="D751" s="11"/>
      <c r="E751" s="10"/>
      <c r="F751" s="1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0"/>
      <c r="V751" s="11"/>
      <c r="W751" s="10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2.75" customHeight="1">
      <c r="A752" s="10"/>
      <c r="B752" s="11"/>
      <c r="C752" s="10"/>
      <c r="D752" s="11"/>
      <c r="E752" s="10"/>
      <c r="F752" s="1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0"/>
      <c r="V752" s="11"/>
      <c r="W752" s="10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2.75" customHeight="1">
      <c r="A753" s="10"/>
      <c r="B753" s="11"/>
      <c r="C753" s="10"/>
      <c r="D753" s="11"/>
      <c r="E753" s="10"/>
      <c r="F753" s="1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0"/>
      <c r="V753" s="11"/>
      <c r="W753" s="10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2.75" customHeight="1">
      <c r="A754" s="10"/>
      <c r="B754" s="11"/>
      <c r="C754" s="10"/>
      <c r="D754" s="11"/>
      <c r="E754" s="10"/>
      <c r="F754" s="1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0"/>
      <c r="V754" s="11"/>
      <c r="W754" s="10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2.75" customHeight="1">
      <c r="A755" s="10"/>
      <c r="B755" s="11"/>
      <c r="C755" s="10"/>
      <c r="D755" s="11"/>
      <c r="E755" s="10"/>
      <c r="F755" s="1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0"/>
      <c r="V755" s="11"/>
      <c r="W755" s="10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2.75" customHeight="1">
      <c r="A756" s="10"/>
      <c r="B756" s="11"/>
      <c r="C756" s="10"/>
      <c r="D756" s="11"/>
      <c r="E756" s="10"/>
      <c r="F756" s="1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0"/>
      <c r="V756" s="11"/>
      <c r="W756" s="10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2.75" customHeight="1">
      <c r="A757" s="10"/>
      <c r="B757" s="11"/>
      <c r="C757" s="10"/>
      <c r="D757" s="11"/>
      <c r="E757" s="10"/>
      <c r="F757" s="1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0"/>
      <c r="V757" s="11"/>
      <c r="W757" s="10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2.75" customHeight="1">
      <c r="A758" s="10"/>
      <c r="B758" s="11"/>
      <c r="C758" s="10"/>
      <c r="D758" s="11"/>
      <c r="E758" s="10"/>
      <c r="F758" s="1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0"/>
      <c r="V758" s="11"/>
      <c r="W758" s="10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2.75" customHeight="1">
      <c r="A759" s="10"/>
      <c r="B759" s="11"/>
      <c r="C759" s="10"/>
      <c r="D759" s="11"/>
      <c r="E759" s="10"/>
      <c r="F759" s="1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0"/>
      <c r="V759" s="11"/>
      <c r="W759" s="10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2.75" customHeight="1">
      <c r="A760" s="10"/>
      <c r="B760" s="11"/>
      <c r="C760" s="10"/>
      <c r="D760" s="11"/>
      <c r="E760" s="10"/>
      <c r="F760" s="1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0"/>
      <c r="V760" s="11"/>
      <c r="W760" s="10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2.75" customHeight="1">
      <c r="A761" s="10"/>
      <c r="B761" s="11"/>
      <c r="C761" s="10"/>
      <c r="D761" s="11"/>
      <c r="E761" s="10"/>
      <c r="F761" s="1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0"/>
      <c r="V761" s="11"/>
      <c r="W761" s="10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2.75" customHeight="1">
      <c r="A762" s="10"/>
      <c r="B762" s="11"/>
      <c r="C762" s="10"/>
      <c r="D762" s="11"/>
      <c r="E762" s="10"/>
      <c r="F762" s="1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0"/>
      <c r="V762" s="11"/>
      <c r="W762" s="10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2.75" customHeight="1">
      <c r="A763" s="10"/>
      <c r="B763" s="11"/>
      <c r="C763" s="10"/>
      <c r="D763" s="11"/>
      <c r="E763" s="10"/>
      <c r="F763" s="1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0"/>
      <c r="V763" s="11"/>
      <c r="W763" s="10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2.75" customHeight="1">
      <c r="A764" s="10"/>
      <c r="B764" s="11"/>
      <c r="C764" s="10"/>
      <c r="D764" s="11"/>
      <c r="E764" s="10"/>
      <c r="F764" s="1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0"/>
      <c r="V764" s="11"/>
      <c r="W764" s="10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2.75" customHeight="1">
      <c r="A765" s="10"/>
      <c r="B765" s="11"/>
      <c r="C765" s="10"/>
      <c r="D765" s="11"/>
      <c r="E765" s="10"/>
      <c r="F765" s="1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0"/>
      <c r="V765" s="11"/>
      <c r="W765" s="10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2.75" customHeight="1">
      <c r="A766" s="10"/>
      <c r="B766" s="11"/>
      <c r="C766" s="10"/>
      <c r="D766" s="11"/>
      <c r="E766" s="10"/>
      <c r="F766" s="1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0"/>
      <c r="V766" s="11"/>
      <c r="W766" s="10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2.75" customHeight="1">
      <c r="A767" s="10"/>
      <c r="B767" s="11"/>
      <c r="C767" s="10"/>
      <c r="D767" s="11"/>
      <c r="E767" s="10"/>
      <c r="F767" s="1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0"/>
      <c r="V767" s="11"/>
      <c r="W767" s="10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2.75" customHeight="1">
      <c r="A768" s="10"/>
      <c r="B768" s="11"/>
      <c r="C768" s="10"/>
      <c r="D768" s="11"/>
      <c r="E768" s="10"/>
      <c r="F768" s="1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0"/>
      <c r="V768" s="11"/>
      <c r="W768" s="10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2.75" customHeight="1">
      <c r="A769" s="10"/>
      <c r="B769" s="11"/>
      <c r="C769" s="10"/>
      <c r="D769" s="11"/>
      <c r="E769" s="10"/>
      <c r="F769" s="1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0"/>
      <c r="V769" s="11"/>
      <c r="W769" s="10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2.75" customHeight="1">
      <c r="A770" s="10"/>
      <c r="B770" s="11"/>
      <c r="C770" s="10"/>
      <c r="D770" s="11"/>
      <c r="E770" s="10"/>
      <c r="F770" s="1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0"/>
      <c r="V770" s="11"/>
      <c r="W770" s="10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2.75" customHeight="1">
      <c r="A771" s="10"/>
      <c r="B771" s="11"/>
      <c r="C771" s="10"/>
      <c r="D771" s="11"/>
      <c r="E771" s="10"/>
      <c r="F771" s="1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0"/>
      <c r="V771" s="11"/>
      <c r="W771" s="10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2.75" customHeight="1">
      <c r="A772" s="10"/>
      <c r="B772" s="11"/>
      <c r="C772" s="10"/>
      <c r="D772" s="11"/>
      <c r="E772" s="10"/>
      <c r="F772" s="1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0"/>
      <c r="V772" s="11"/>
      <c r="W772" s="10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2.75" customHeight="1">
      <c r="A773" s="10"/>
      <c r="B773" s="11"/>
      <c r="C773" s="10"/>
      <c r="D773" s="11"/>
      <c r="E773" s="10"/>
      <c r="F773" s="1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0"/>
      <c r="V773" s="11"/>
      <c r="W773" s="10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2.75" customHeight="1">
      <c r="A774" s="10"/>
      <c r="B774" s="11"/>
      <c r="C774" s="10"/>
      <c r="D774" s="11"/>
      <c r="E774" s="10"/>
      <c r="F774" s="1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0"/>
      <c r="V774" s="11"/>
      <c r="W774" s="10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2.75" customHeight="1">
      <c r="A775" s="10"/>
      <c r="B775" s="11"/>
      <c r="C775" s="10"/>
      <c r="D775" s="11"/>
      <c r="E775" s="10"/>
      <c r="F775" s="1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0"/>
      <c r="V775" s="11"/>
      <c r="W775" s="10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2.75" customHeight="1">
      <c r="A776" s="10"/>
      <c r="B776" s="11"/>
      <c r="C776" s="10"/>
      <c r="D776" s="11"/>
      <c r="E776" s="10"/>
      <c r="F776" s="1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0"/>
      <c r="V776" s="11"/>
      <c r="W776" s="10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2.75" customHeight="1">
      <c r="A777" s="10"/>
      <c r="B777" s="11"/>
      <c r="C777" s="10"/>
      <c r="D777" s="11"/>
      <c r="E777" s="10"/>
      <c r="F777" s="1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0"/>
      <c r="V777" s="11"/>
      <c r="W777" s="10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2.75" customHeight="1">
      <c r="A778" s="10"/>
      <c r="B778" s="11"/>
      <c r="C778" s="10"/>
      <c r="D778" s="11"/>
      <c r="E778" s="10"/>
      <c r="F778" s="1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0"/>
      <c r="V778" s="11"/>
      <c r="W778" s="10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2.75" customHeight="1">
      <c r="A779" s="10"/>
      <c r="B779" s="11"/>
      <c r="C779" s="10"/>
      <c r="D779" s="11"/>
      <c r="E779" s="10"/>
      <c r="F779" s="1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0"/>
      <c r="V779" s="11"/>
      <c r="W779" s="10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2.75" customHeight="1">
      <c r="A780" s="10"/>
      <c r="B780" s="11"/>
      <c r="C780" s="10"/>
      <c r="D780" s="11"/>
      <c r="E780" s="10"/>
      <c r="F780" s="1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0"/>
      <c r="V780" s="11"/>
      <c r="W780" s="10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2.75" customHeight="1">
      <c r="A781" s="10"/>
      <c r="B781" s="11"/>
      <c r="C781" s="10"/>
      <c r="D781" s="11"/>
      <c r="E781" s="10"/>
      <c r="F781" s="1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0"/>
      <c r="V781" s="11"/>
      <c r="W781" s="10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2.75" customHeight="1">
      <c r="A782" s="10"/>
      <c r="B782" s="11"/>
      <c r="C782" s="10"/>
      <c r="D782" s="11"/>
      <c r="E782" s="10"/>
      <c r="F782" s="1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0"/>
      <c r="V782" s="11"/>
      <c r="W782" s="10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2.75" customHeight="1">
      <c r="A783" s="10"/>
      <c r="B783" s="11"/>
      <c r="C783" s="10"/>
      <c r="D783" s="11"/>
      <c r="E783" s="10"/>
      <c r="F783" s="1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0"/>
      <c r="V783" s="11"/>
      <c r="W783" s="10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2.75" customHeight="1">
      <c r="A784" s="10"/>
      <c r="B784" s="11"/>
      <c r="C784" s="10"/>
      <c r="D784" s="11"/>
      <c r="E784" s="10"/>
      <c r="F784" s="1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0"/>
      <c r="V784" s="11"/>
      <c r="W784" s="10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2.75" customHeight="1">
      <c r="A785" s="10"/>
      <c r="B785" s="11"/>
      <c r="C785" s="10"/>
      <c r="D785" s="11"/>
      <c r="E785" s="10"/>
      <c r="F785" s="1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0"/>
      <c r="V785" s="11"/>
      <c r="W785" s="10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2.75" customHeight="1">
      <c r="A786" s="10"/>
      <c r="B786" s="11"/>
      <c r="C786" s="10"/>
      <c r="D786" s="11"/>
      <c r="E786" s="10"/>
      <c r="F786" s="1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0"/>
      <c r="V786" s="11"/>
      <c r="W786" s="10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2.75" customHeight="1">
      <c r="A787" s="10"/>
      <c r="B787" s="11"/>
      <c r="C787" s="10"/>
      <c r="D787" s="11"/>
      <c r="E787" s="10"/>
      <c r="F787" s="1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0"/>
      <c r="V787" s="11"/>
      <c r="W787" s="10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2.75" customHeight="1">
      <c r="A788" s="10"/>
      <c r="B788" s="11"/>
      <c r="C788" s="10"/>
      <c r="D788" s="11"/>
      <c r="E788" s="10"/>
      <c r="F788" s="1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0"/>
      <c r="V788" s="11"/>
      <c r="W788" s="10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2.75" customHeight="1">
      <c r="A789" s="10"/>
      <c r="B789" s="11"/>
      <c r="C789" s="10"/>
      <c r="D789" s="11"/>
      <c r="E789" s="10"/>
      <c r="F789" s="1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0"/>
      <c r="V789" s="11"/>
      <c r="W789" s="10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2.75" customHeight="1">
      <c r="A790" s="10"/>
      <c r="B790" s="11"/>
      <c r="C790" s="10"/>
      <c r="D790" s="11"/>
      <c r="E790" s="10"/>
      <c r="F790" s="1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0"/>
      <c r="V790" s="11"/>
      <c r="W790" s="10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2.75" customHeight="1">
      <c r="A791" s="10"/>
      <c r="B791" s="11"/>
      <c r="C791" s="10"/>
      <c r="D791" s="11"/>
      <c r="E791" s="10"/>
      <c r="F791" s="1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0"/>
      <c r="V791" s="11"/>
      <c r="W791" s="10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2.75" customHeight="1">
      <c r="A792" s="10"/>
      <c r="B792" s="11"/>
      <c r="C792" s="10"/>
      <c r="D792" s="11"/>
      <c r="E792" s="10"/>
      <c r="F792" s="1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0"/>
      <c r="V792" s="11"/>
      <c r="W792" s="10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2.75" customHeight="1">
      <c r="A793" s="10"/>
      <c r="B793" s="11"/>
      <c r="C793" s="10"/>
      <c r="D793" s="11"/>
      <c r="E793" s="10"/>
      <c r="F793" s="1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0"/>
      <c r="V793" s="11"/>
      <c r="W793" s="10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2.75" customHeight="1">
      <c r="A794" s="10"/>
      <c r="B794" s="11"/>
      <c r="C794" s="10"/>
      <c r="D794" s="11"/>
      <c r="E794" s="10"/>
      <c r="F794" s="1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0"/>
      <c r="V794" s="11"/>
      <c r="W794" s="10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2.75" customHeight="1">
      <c r="A795" s="10"/>
      <c r="B795" s="11"/>
      <c r="C795" s="10"/>
      <c r="D795" s="11"/>
      <c r="E795" s="10"/>
      <c r="F795" s="1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0"/>
      <c r="V795" s="11"/>
      <c r="W795" s="10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2.75" customHeight="1">
      <c r="A796" s="10"/>
      <c r="B796" s="11"/>
      <c r="C796" s="10"/>
      <c r="D796" s="11"/>
      <c r="E796" s="10"/>
      <c r="F796" s="1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0"/>
      <c r="V796" s="11"/>
      <c r="W796" s="10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2.75" customHeight="1">
      <c r="A797" s="10"/>
      <c r="B797" s="11"/>
      <c r="C797" s="10"/>
      <c r="D797" s="11"/>
      <c r="E797" s="10"/>
      <c r="F797" s="1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0"/>
      <c r="V797" s="11"/>
      <c r="W797" s="10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2.75" customHeight="1">
      <c r="A798" s="10"/>
      <c r="B798" s="11"/>
      <c r="C798" s="10"/>
      <c r="D798" s="11"/>
      <c r="E798" s="10"/>
      <c r="F798" s="1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0"/>
      <c r="V798" s="11"/>
      <c r="W798" s="10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2.75" customHeight="1">
      <c r="A799" s="10"/>
      <c r="B799" s="11"/>
      <c r="C799" s="10"/>
      <c r="D799" s="11"/>
      <c r="E799" s="10"/>
      <c r="F799" s="1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0"/>
      <c r="V799" s="11"/>
      <c r="W799" s="10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2.75" customHeight="1">
      <c r="A800" s="10"/>
      <c r="B800" s="11"/>
      <c r="C800" s="10"/>
      <c r="D800" s="11"/>
      <c r="E800" s="10"/>
      <c r="F800" s="1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0"/>
      <c r="V800" s="11"/>
      <c r="W800" s="10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2.75" customHeight="1">
      <c r="A801" s="10"/>
      <c r="B801" s="11"/>
      <c r="C801" s="10"/>
      <c r="D801" s="11"/>
      <c r="E801" s="10"/>
      <c r="F801" s="1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0"/>
      <c r="V801" s="11"/>
      <c r="W801" s="10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2.75" customHeight="1">
      <c r="A802" s="10"/>
      <c r="B802" s="11"/>
      <c r="C802" s="10"/>
      <c r="D802" s="11"/>
      <c r="E802" s="10"/>
      <c r="F802" s="1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0"/>
      <c r="V802" s="11"/>
      <c r="W802" s="10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2.75" customHeight="1">
      <c r="A803" s="10"/>
      <c r="B803" s="11"/>
      <c r="C803" s="10"/>
      <c r="D803" s="11"/>
      <c r="E803" s="10"/>
      <c r="F803" s="1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0"/>
      <c r="V803" s="11"/>
      <c r="W803" s="10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2.75" customHeight="1">
      <c r="A804" s="10"/>
      <c r="B804" s="11"/>
      <c r="C804" s="10"/>
      <c r="D804" s="11"/>
      <c r="E804" s="10"/>
      <c r="F804" s="1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0"/>
      <c r="V804" s="11"/>
      <c r="W804" s="10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2.75" customHeight="1">
      <c r="A805" s="10"/>
      <c r="B805" s="11"/>
      <c r="C805" s="10"/>
      <c r="D805" s="11"/>
      <c r="E805" s="10"/>
      <c r="F805" s="1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0"/>
      <c r="V805" s="11"/>
      <c r="W805" s="10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2.75" customHeight="1">
      <c r="A806" s="10"/>
      <c r="B806" s="11"/>
      <c r="C806" s="10"/>
      <c r="D806" s="11"/>
      <c r="E806" s="10"/>
      <c r="F806" s="1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0"/>
      <c r="V806" s="11"/>
      <c r="W806" s="10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2.75" customHeight="1">
      <c r="A807" s="10"/>
      <c r="B807" s="11"/>
      <c r="C807" s="10"/>
      <c r="D807" s="11"/>
      <c r="E807" s="10"/>
      <c r="F807" s="1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0"/>
      <c r="V807" s="11"/>
      <c r="W807" s="10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2.75" customHeight="1">
      <c r="A808" s="10"/>
      <c r="B808" s="11"/>
      <c r="C808" s="10"/>
      <c r="D808" s="11"/>
      <c r="E808" s="10"/>
      <c r="F808" s="1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0"/>
      <c r="V808" s="11"/>
      <c r="W808" s="10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2.75" customHeight="1">
      <c r="A809" s="10"/>
      <c r="B809" s="11"/>
      <c r="C809" s="10"/>
      <c r="D809" s="11"/>
      <c r="E809" s="10"/>
      <c r="F809" s="1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0"/>
      <c r="V809" s="11"/>
      <c r="W809" s="10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2.75" customHeight="1">
      <c r="A810" s="10"/>
      <c r="B810" s="11"/>
      <c r="C810" s="10"/>
      <c r="D810" s="11"/>
      <c r="E810" s="10"/>
      <c r="F810" s="1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0"/>
      <c r="V810" s="11"/>
      <c r="W810" s="10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2.75" customHeight="1">
      <c r="A811" s="10"/>
      <c r="B811" s="11"/>
      <c r="C811" s="10"/>
      <c r="D811" s="11"/>
      <c r="E811" s="10"/>
      <c r="F811" s="1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0"/>
      <c r="V811" s="11"/>
      <c r="W811" s="10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2.75" customHeight="1">
      <c r="A812" s="10"/>
      <c r="B812" s="11"/>
      <c r="C812" s="10"/>
      <c r="D812" s="11"/>
      <c r="E812" s="10"/>
      <c r="F812" s="1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0"/>
      <c r="V812" s="11"/>
      <c r="W812" s="10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2.75" customHeight="1">
      <c r="A813" s="10"/>
      <c r="B813" s="11"/>
      <c r="C813" s="10"/>
      <c r="D813" s="11"/>
      <c r="E813" s="10"/>
      <c r="F813" s="1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0"/>
      <c r="V813" s="11"/>
      <c r="W813" s="10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2.75" customHeight="1">
      <c r="A814" s="10"/>
      <c r="B814" s="11"/>
      <c r="C814" s="10"/>
      <c r="D814" s="11"/>
      <c r="E814" s="10"/>
      <c r="F814" s="1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0"/>
      <c r="V814" s="11"/>
      <c r="W814" s="10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2.75" customHeight="1">
      <c r="A815" s="10"/>
      <c r="B815" s="11"/>
      <c r="C815" s="10"/>
      <c r="D815" s="11"/>
      <c r="E815" s="10"/>
      <c r="F815" s="1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0"/>
      <c r="V815" s="11"/>
      <c r="W815" s="10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2.75" customHeight="1">
      <c r="A816" s="10"/>
      <c r="B816" s="11"/>
      <c r="C816" s="10"/>
      <c r="D816" s="11"/>
      <c r="E816" s="10"/>
      <c r="F816" s="1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0"/>
      <c r="V816" s="11"/>
      <c r="W816" s="10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2.75" customHeight="1">
      <c r="A817" s="10"/>
      <c r="B817" s="11"/>
      <c r="C817" s="10"/>
      <c r="D817" s="11"/>
      <c r="E817" s="10"/>
      <c r="F817" s="1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0"/>
      <c r="V817" s="11"/>
      <c r="W817" s="10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2.75" customHeight="1">
      <c r="A818" s="10"/>
      <c r="B818" s="11"/>
      <c r="C818" s="10"/>
      <c r="D818" s="11"/>
      <c r="E818" s="10"/>
      <c r="F818" s="1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0"/>
      <c r="V818" s="11"/>
      <c r="W818" s="10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2.75" customHeight="1">
      <c r="A819" s="10"/>
      <c r="B819" s="11"/>
      <c r="C819" s="10"/>
      <c r="D819" s="11"/>
      <c r="E819" s="10"/>
      <c r="F819" s="1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0"/>
      <c r="V819" s="11"/>
      <c r="W819" s="10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2.75" customHeight="1">
      <c r="A820" s="10"/>
      <c r="B820" s="11"/>
      <c r="C820" s="10"/>
      <c r="D820" s="11"/>
      <c r="E820" s="10"/>
      <c r="F820" s="1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0"/>
      <c r="V820" s="11"/>
      <c r="W820" s="10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2.75" customHeight="1">
      <c r="A821" s="10"/>
      <c r="B821" s="11"/>
      <c r="C821" s="10"/>
      <c r="D821" s="11"/>
      <c r="E821" s="10"/>
      <c r="F821" s="1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0"/>
      <c r="V821" s="11"/>
      <c r="W821" s="10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2.75" customHeight="1">
      <c r="A822" s="10"/>
      <c r="B822" s="11"/>
      <c r="C822" s="10"/>
      <c r="D822" s="11"/>
      <c r="E822" s="10"/>
      <c r="F822" s="1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0"/>
      <c r="V822" s="11"/>
      <c r="W822" s="10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2.75" customHeight="1">
      <c r="A823" s="10"/>
      <c r="B823" s="11"/>
      <c r="C823" s="10"/>
      <c r="D823" s="11"/>
      <c r="E823" s="10"/>
      <c r="F823" s="1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0"/>
      <c r="V823" s="11"/>
      <c r="W823" s="10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2.75" customHeight="1">
      <c r="A824" s="10"/>
      <c r="B824" s="11"/>
      <c r="C824" s="10"/>
      <c r="D824" s="11"/>
      <c r="E824" s="10"/>
      <c r="F824" s="1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0"/>
      <c r="V824" s="11"/>
      <c r="W824" s="10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2.75" customHeight="1">
      <c r="A825" s="10"/>
      <c r="B825" s="11"/>
      <c r="C825" s="10"/>
      <c r="D825" s="11"/>
      <c r="E825" s="10"/>
      <c r="F825" s="1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0"/>
      <c r="V825" s="11"/>
      <c r="W825" s="10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2.75" customHeight="1">
      <c r="A826" s="10"/>
      <c r="B826" s="11"/>
      <c r="C826" s="10"/>
      <c r="D826" s="11"/>
      <c r="E826" s="10"/>
      <c r="F826" s="1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0"/>
      <c r="V826" s="11"/>
      <c r="W826" s="10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2.75" customHeight="1">
      <c r="A827" s="10"/>
      <c r="B827" s="11"/>
      <c r="C827" s="10"/>
      <c r="D827" s="11"/>
      <c r="E827" s="10"/>
      <c r="F827" s="1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0"/>
      <c r="V827" s="11"/>
      <c r="W827" s="10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2.75" customHeight="1">
      <c r="A828" s="10"/>
      <c r="B828" s="11"/>
      <c r="C828" s="10"/>
      <c r="D828" s="11"/>
      <c r="E828" s="10"/>
      <c r="F828" s="1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0"/>
      <c r="V828" s="11"/>
      <c r="W828" s="10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2.75" customHeight="1">
      <c r="A829" s="10"/>
      <c r="B829" s="11"/>
      <c r="C829" s="10"/>
      <c r="D829" s="11"/>
      <c r="E829" s="10"/>
      <c r="F829" s="1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0"/>
      <c r="V829" s="11"/>
      <c r="W829" s="10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2.75" customHeight="1">
      <c r="A830" s="10"/>
      <c r="B830" s="11"/>
      <c r="C830" s="10"/>
      <c r="D830" s="11"/>
      <c r="E830" s="10"/>
      <c r="F830" s="1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0"/>
      <c r="V830" s="11"/>
      <c r="W830" s="10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2.75" customHeight="1">
      <c r="A831" s="10"/>
      <c r="B831" s="11"/>
      <c r="C831" s="10"/>
      <c r="D831" s="11"/>
      <c r="E831" s="10"/>
      <c r="F831" s="1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0"/>
      <c r="V831" s="11"/>
      <c r="W831" s="10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2.75" customHeight="1">
      <c r="A832" s="10"/>
      <c r="B832" s="11"/>
      <c r="C832" s="10"/>
      <c r="D832" s="11"/>
      <c r="E832" s="10"/>
      <c r="F832" s="1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0"/>
      <c r="V832" s="11"/>
      <c r="W832" s="10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2.75" customHeight="1">
      <c r="A833" s="10"/>
      <c r="B833" s="11"/>
      <c r="C833" s="10"/>
      <c r="D833" s="11"/>
      <c r="E833" s="10"/>
      <c r="F833" s="1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0"/>
      <c r="V833" s="11"/>
      <c r="W833" s="10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2.75" customHeight="1">
      <c r="A834" s="10"/>
      <c r="B834" s="11"/>
      <c r="C834" s="10"/>
      <c r="D834" s="11"/>
      <c r="E834" s="10"/>
      <c r="F834" s="1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0"/>
      <c r="V834" s="11"/>
      <c r="W834" s="10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2.75" customHeight="1">
      <c r="A835" s="10"/>
      <c r="B835" s="11"/>
      <c r="C835" s="10"/>
      <c r="D835" s="11"/>
      <c r="E835" s="10"/>
      <c r="F835" s="1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0"/>
      <c r="V835" s="11"/>
      <c r="W835" s="10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2.75" customHeight="1">
      <c r="A836" s="10"/>
      <c r="B836" s="11"/>
      <c r="C836" s="10"/>
      <c r="D836" s="11"/>
      <c r="E836" s="10"/>
      <c r="F836" s="1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0"/>
      <c r="V836" s="11"/>
      <c r="W836" s="10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2.75" customHeight="1">
      <c r="A837" s="10"/>
      <c r="B837" s="11"/>
      <c r="C837" s="10"/>
      <c r="D837" s="11"/>
      <c r="E837" s="10"/>
      <c r="F837" s="1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0"/>
      <c r="V837" s="11"/>
      <c r="W837" s="10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2.75" customHeight="1">
      <c r="A838" s="10"/>
      <c r="B838" s="11"/>
      <c r="C838" s="10"/>
      <c r="D838" s="11"/>
      <c r="E838" s="10"/>
      <c r="F838" s="1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0"/>
      <c r="V838" s="11"/>
      <c r="W838" s="10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2.75" customHeight="1">
      <c r="A839" s="10"/>
      <c r="B839" s="11"/>
      <c r="C839" s="10"/>
      <c r="D839" s="11"/>
      <c r="E839" s="10"/>
      <c r="F839" s="1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0"/>
      <c r="V839" s="11"/>
      <c r="W839" s="10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2.75" customHeight="1">
      <c r="A840" s="10"/>
      <c r="B840" s="11"/>
      <c r="C840" s="10"/>
      <c r="D840" s="11"/>
      <c r="E840" s="10"/>
      <c r="F840" s="1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0"/>
      <c r="V840" s="11"/>
      <c r="W840" s="10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2.75" customHeight="1">
      <c r="A841" s="10"/>
      <c r="B841" s="11"/>
      <c r="C841" s="10"/>
      <c r="D841" s="11"/>
      <c r="E841" s="10"/>
      <c r="F841" s="1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0"/>
      <c r="V841" s="11"/>
      <c r="W841" s="10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2.75" customHeight="1">
      <c r="A842" s="10"/>
      <c r="B842" s="11"/>
      <c r="C842" s="10"/>
      <c r="D842" s="11"/>
      <c r="E842" s="10"/>
      <c r="F842" s="1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0"/>
      <c r="V842" s="11"/>
      <c r="W842" s="10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2.75" customHeight="1">
      <c r="A843" s="10"/>
      <c r="B843" s="11"/>
      <c r="C843" s="10"/>
      <c r="D843" s="11"/>
      <c r="E843" s="10"/>
      <c r="F843" s="1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0"/>
      <c r="V843" s="11"/>
      <c r="W843" s="10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2.75" customHeight="1">
      <c r="A844" s="10"/>
      <c r="B844" s="11"/>
      <c r="C844" s="10"/>
      <c r="D844" s="11"/>
      <c r="E844" s="10"/>
      <c r="F844" s="1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0"/>
      <c r="V844" s="11"/>
      <c r="W844" s="10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2.75" customHeight="1">
      <c r="A845" s="10"/>
      <c r="B845" s="11"/>
      <c r="C845" s="10"/>
      <c r="D845" s="11"/>
      <c r="E845" s="10"/>
      <c r="F845" s="1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0"/>
      <c r="V845" s="11"/>
      <c r="W845" s="10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2.75" customHeight="1">
      <c r="A846" s="10"/>
      <c r="B846" s="11"/>
      <c r="C846" s="10"/>
      <c r="D846" s="11"/>
      <c r="E846" s="10"/>
      <c r="F846" s="1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0"/>
      <c r="V846" s="11"/>
      <c r="W846" s="10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2.75" customHeight="1">
      <c r="A847" s="10"/>
      <c r="B847" s="11"/>
      <c r="C847" s="10"/>
      <c r="D847" s="11"/>
      <c r="E847" s="10"/>
      <c r="F847" s="1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0"/>
      <c r="V847" s="11"/>
      <c r="W847" s="10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2.75" customHeight="1">
      <c r="A848" s="10"/>
      <c r="B848" s="11"/>
      <c r="C848" s="10"/>
      <c r="D848" s="11"/>
      <c r="E848" s="10"/>
      <c r="F848" s="1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0"/>
      <c r="V848" s="11"/>
      <c r="W848" s="10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2.75" customHeight="1">
      <c r="A849" s="10"/>
      <c r="B849" s="11"/>
      <c r="C849" s="10"/>
      <c r="D849" s="11"/>
      <c r="E849" s="10"/>
      <c r="F849" s="1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0"/>
      <c r="V849" s="11"/>
      <c r="W849" s="10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2.75" customHeight="1">
      <c r="A850" s="10"/>
      <c r="B850" s="11"/>
      <c r="C850" s="10"/>
      <c r="D850" s="11"/>
      <c r="E850" s="10"/>
      <c r="F850" s="1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0"/>
      <c r="V850" s="11"/>
      <c r="W850" s="10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2.75" customHeight="1">
      <c r="A851" s="10"/>
      <c r="B851" s="11"/>
      <c r="C851" s="10"/>
      <c r="D851" s="11"/>
      <c r="E851" s="10"/>
      <c r="F851" s="1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0"/>
      <c r="V851" s="11"/>
      <c r="W851" s="10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2.75" customHeight="1">
      <c r="A852" s="10"/>
      <c r="B852" s="11"/>
      <c r="C852" s="10"/>
      <c r="D852" s="11"/>
      <c r="E852" s="10"/>
      <c r="F852" s="1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0"/>
      <c r="V852" s="11"/>
      <c r="W852" s="10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2.75" customHeight="1">
      <c r="A853" s="10"/>
      <c r="B853" s="11"/>
      <c r="C853" s="10"/>
      <c r="D853" s="11"/>
      <c r="E853" s="10"/>
      <c r="F853" s="1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0"/>
      <c r="V853" s="11"/>
      <c r="W853" s="10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2.75" customHeight="1">
      <c r="A854" s="10"/>
      <c r="B854" s="11"/>
      <c r="C854" s="10"/>
      <c r="D854" s="11"/>
      <c r="E854" s="10"/>
      <c r="F854" s="1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0"/>
      <c r="V854" s="11"/>
      <c r="W854" s="10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2.75" customHeight="1">
      <c r="A855" s="10"/>
      <c r="B855" s="11"/>
      <c r="C855" s="10"/>
      <c r="D855" s="11"/>
      <c r="E855" s="10"/>
      <c r="F855" s="1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0"/>
      <c r="V855" s="11"/>
      <c r="W855" s="10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2.75" customHeight="1">
      <c r="A856" s="10"/>
      <c r="B856" s="11"/>
      <c r="C856" s="10"/>
      <c r="D856" s="11"/>
      <c r="E856" s="10"/>
      <c r="F856" s="1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0"/>
      <c r="V856" s="11"/>
      <c r="W856" s="10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2.75" customHeight="1">
      <c r="A857" s="10"/>
      <c r="B857" s="11"/>
      <c r="C857" s="10"/>
      <c r="D857" s="11"/>
      <c r="E857" s="10"/>
      <c r="F857" s="1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0"/>
      <c r="V857" s="11"/>
      <c r="W857" s="10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2.75" customHeight="1">
      <c r="A858" s="10"/>
      <c r="B858" s="11"/>
      <c r="C858" s="10"/>
      <c r="D858" s="11"/>
      <c r="E858" s="10"/>
      <c r="F858" s="1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0"/>
      <c r="V858" s="11"/>
      <c r="W858" s="10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2.75" customHeight="1">
      <c r="A859" s="10"/>
      <c r="B859" s="11"/>
      <c r="C859" s="10"/>
      <c r="D859" s="11"/>
      <c r="E859" s="10"/>
      <c r="F859" s="1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0"/>
      <c r="V859" s="11"/>
      <c r="W859" s="10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2.75" customHeight="1">
      <c r="A860" s="10"/>
      <c r="B860" s="11"/>
      <c r="C860" s="10"/>
      <c r="D860" s="11"/>
      <c r="E860" s="10"/>
      <c r="F860" s="1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0"/>
      <c r="V860" s="11"/>
      <c r="W860" s="10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2.75" customHeight="1">
      <c r="A861" s="10"/>
      <c r="B861" s="11"/>
      <c r="C861" s="10"/>
      <c r="D861" s="11"/>
      <c r="E861" s="10"/>
      <c r="F861" s="1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0"/>
      <c r="V861" s="11"/>
      <c r="W861" s="10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2.75" customHeight="1">
      <c r="A862" s="10"/>
      <c r="B862" s="11"/>
      <c r="C862" s="10"/>
      <c r="D862" s="11"/>
      <c r="E862" s="10"/>
      <c r="F862" s="1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0"/>
      <c r="V862" s="11"/>
      <c r="W862" s="10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2.75" customHeight="1">
      <c r="A863" s="10"/>
      <c r="B863" s="11"/>
      <c r="C863" s="10"/>
      <c r="D863" s="11"/>
      <c r="E863" s="10"/>
      <c r="F863" s="1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0"/>
      <c r="V863" s="11"/>
      <c r="W863" s="10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2.75" customHeight="1">
      <c r="A864" s="10"/>
      <c r="B864" s="11"/>
      <c r="C864" s="10"/>
      <c r="D864" s="11"/>
      <c r="E864" s="10"/>
      <c r="F864" s="1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0"/>
      <c r="V864" s="11"/>
      <c r="W864" s="10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2.75" customHeight="1">
      <c r="A865" s="10"/>
      <c r="B865" s="11"/>
      <c r="C865" s="10"/>
      <c r="D865" s="11"/>
      <c r="E865" s="10"/>
      <c r="F865" s="1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0"/>
      <c r="V865" s="11"/>
      <c r="W865" s="10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2.75" customHeight="1">
      <c r="A866" s="10"/>
      <c r="B866" s="11"/>
      <c r="C866" s="10"/>
      <c r="D866" s="11"/>
      <c r="E866" s="10"/>
      <c r="F866" s="1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0"/>
      <c r="V866" s="11"/>
      <c r="W866" s="10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2.75" customHeight="1">
      <c r="A867" s="10"/>
      <c r="B867" s="11"/>
      <c r="C867" s="10"/>
      <c r="D867" s="11"/>
      <c r="E867" s="10"/>
      <c r="F867" s="1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0"/>
      <c r="V867" s="11"/>
      <c r="W867" s="10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2.75" customHeight="1">
      <c r="A868" s="10"/>
      <c r="B868" s="11"/>
      <c r="C868" s="10"/>
      <c r="D868" s="11"/>
      <c r="E868" s="10"/>
      <c r="F868" s="1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0"/>
      <c r="V868" s="11"/>
      <c r="W868" s="10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2.75" customHeight="1">
      <c r="A869" s="10"/>
      <c r="B869" s="11"/>
      <c r="C869" s="10"/>
      <c r="D869" s="11"/>
      <c r="E869" s="10"/>
      <c r="F869" s="1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0"/>
      <c r="V869" s="11"/>
      <c r="W869" s="10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2.75" customHeight="1">
      <c r="A870" s="10"/>
      <c r="B870" s="11"/>
      <c r="C870" s="10"/>
      <c r="D870" s="11"/>
      <c r="E870" s="10"/>
      <c r="F870" s="1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0"/>
      <c r="V870" s="11"/>
      <c r="W870" s="10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2.75" customHeight="1">
      <c r="A871" s="10"/>
      <c r="B871" s="11"/>
      <c r="C871" s="10"/>
      <c r="D871" s="11"/>
      <c r="E871" s="10"/>
      <c r="F871" s="1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0"/>
      <c r="V871" s="11"/>
      <c r="W871" s="10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2.75" customHeight="1">
      <c r="A872" s="10"/>
      <c r="B872" s="11"/>
      <c r="C872" s="10"/>
      <c r="D872" s="11"/>
      <c r="E872" s="10"/>
      <c r="F872" s="1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0"/>
      <c r="V872" s="11"/>
      <c r="W872" s="10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2.75" customHeight="1">
      <c r="A873" s="10"/>
      <c r="B873" s="11"/>
      <c r="C873" s="10"/>
      <c r="D873" s="11"/>
      <c r="E873" s="10"/>
      <c r="F873" s="1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0"/>
      <c r="V873" s="11"/>
      <c r="W873" s="10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2.75" customHeight="1">
      <c r="A874" s="10"/>
      <c r="B874" s="11"/>
      <c r="C874" s="10"/>
      <c r="D874" s="11"/>
      <c r="E874" s="10"/>
      <c r="F874" s="1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0"/>
      <c r="V874" s="11"/>
      <c r="W874" s="10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2.75" customHeight="1">
      <c r="A875" s="10"/>
      <c r="B875" s="11"/>
      <c r="C875" s="10"/>
      <c r="D875" s="11"/>
      <c r="E875" s="10"/>
      <c r="F875" s="1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0"/>
      <c r="V875" s="11"/>
      <c r="W875" s="10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2.75" customHeight="1">
      <c r="A876" s="10"/>
      <c r="B876" s="11"/>
      <c r="C876" s="10"/>
      <c r="D876" s="11"/>
      <c r="E876" s="10"/>
      <c r="F876" s="1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0"/>
      <c r="V876" s="11"/>
      <c r="W876" s="10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2.75" customHeight="1">
      <c r="A877" s="10"/>
      <c r="B877" s="11"/>
      <c r="C877" s="10"/>
      <c r="D877" s="11"/>
      <c r="E877" s="10"/>
      <c r="F877" s="1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0"/>
      <c r="V877" s="11"/>
      <c r="W877" s="10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2.75" customHeight="1">
      <c r="A878" s="10"/>
      <c r="B878" s="11"/>
      <c r="C878" s="10"/>
      <c r="D878" s="11"/>
      <c r="E878" s="10"/>
      <c r="F878" s="1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0"/>
      <c r="V878" s="11"/>
      <c r="W878" s="10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2.75" customHeight="1">
      <c r="A879" s="10"/>
      <c r="B879" s="11"/>
      <c r="C879" s="10"/>
      <c r="D879" s="11"/>
      <c r="E879" s="10"/>
      <c r="F879" s="1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0"/>
      <c r="V879" s="11"/>
      <c r="W879" s="10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2.75" customHeight="1">
      <c r="A880" s="10"/>
      <c r="B880" s="11"/>
      <c r="C880" s="10"/>
      <c r="D880" s="11"/>
      <c r="E880" s="10"/>
      <c r="F880" s="1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0"/>
      <c r="V880" s="11"/>
      <c r="W880" s="10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2.75" customHeight="1">
      <c r="A881" s="10"/>
      <c r="B881" s="11"/>
      <c r="C881" s="10"/>
      <c r="D881" s="11"/>
      <c r="E881" s="10"/>
      <c r="F881" s="1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0"/>
      <c r="V881" s="11"/>
      <c r="W881" s="10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2.75" customHeight="1">
      <c r="A882" s="10"/>
      <c r="B882" s="11"/>
      <c r="C882" s="10"/>
      <c r="D882" s="11"/>
      <c r="E882" s="10"/>
      <c r="F882" s="1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0"/>
      <c r="V882" s="11"/>
      <c r="W882" s="10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2.75" customHeight="1">
      <c r="A883" s="10"/>
      <c r="B883" s="11"/>
      <c r="C883" s="10"/>
      <c r="D883" s="11"/>
      <c r="E883" s="10"/>
      <c r="F883" s="1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0"/>
      <c r="V883" s="11"/>
      <c r="W883" s="10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2.75" customHeight="1">
      <c r="A884" s="10"/>
      <c r="B884" s="11"/>
      <c r="C884" s="10"/>
      <c r="D884" s="11"/>
      <c r="E884" s="10"/>
      <c r="F884" s="1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0"/>
      <c r="V884" s="11"/>
      <c r="W884" s="10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2.75" customHeight="1">
      <c r="A885" s="10"/>
      <c r="B885" s="11"/>
      <c r="C885" s="10"/>
      <c r="D885" s="11"/>
      <c r="E885" s="10"/>
      <c r="F885" s="1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0"/>
      <c r="V885" s="11"/>
      <c r="W885" s="10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2.75" customHeight="1">
      <c r="A886" s="10"/>
      <c r="B886" s="11"/>
      <c r="C886" s="10"/>
      <c r="D886" s="11"/>
      <c r="E886" s="10"/>
      <c r="F886" s="1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0"/>
      <c r="V886" s="11"/>
      <c r="W886" s="10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2.75" customHeight="1">
      <c r="A887" s="10"/>
      <c r="B887" s="11"/>
      <c r="C887" s="10"/>
      <c r="D887" s="11"/>
      <c r="E887" s="10"/>
      <c r="F887" s="1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0"/>
      <c r="V887" s="11"/>
      <c r="W887" s="10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2.75" customHeight="1">
      <c r="A888" s="10"/>
      <c r="B888" s="11"/>
      <c r="C888" s="10"/>
      <c r="D888" s="11"/>
      <c r="E888" s="10"/>
      <c r="F888" s="1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0"/>
      <c r="V888" s="11"/>
      <c r="W888" s="10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2.75" customHeight="1">
      <c r="A889" s="10"/>
      <c r="B889" s="11"/>
      <c r="C889" s="10"/>
      <c r="D889" s="11"/>
      <c r="E889" s="10"/>
      <c r="F889" s="1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0"/>
      <c r="V889" s="11"/>
      <c r="W889" s="10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2.75" customHeight="1">
      <c r="A890" s="10"/>
      <c r="B890" s="11"/>
      <c r="C890" s="10"/>
      <c r="D890" s="11"/>
      <c r="E890" s="10"/>
      <c r="F890" s="1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0"/>
      <c r="V890" s="11"/>
      <c r="W890" s="10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2.75" customHeight="1">
      <c r="A891" s="10"/>
      <c r="B891" s="11"/>
      <c r="C891" s="10"/>
      <c r="D891" s="11"/>
      <c r="E891" s="10"/>
      <c r="F891" s="1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0"/>
      <c r="V891" s="11"/>
      <c r="W891" s="10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2.75" customHeight="1">
      <c r="A892" s="10"/>
      <c r="B892" s="11"/>
      <c r="C892" s="10"/>
      <c r="D892" s="11"/>
      <c r="E892" s="10"/>
      <c r="F892" s="1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0"/>
      <c r="V892" s="11"/>
      <c r="W892" s="10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2.75" customHeight="1">
      <c r="A893" s="10"/>
      <c r="B893" s="11"/>
      <c r="C893" s="10"/>
      <c r="D893" s="11"/>
      <c r="E893" s="10"/>
      <c r="F893" s="1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0"/>
      <c r="V893" s="11"/>
      <c r="W893" s="10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2.75" customHeight="1">
      <c r="A894" s="10"/>
      <c r="B894" s="11"/>
      <c r="C894" s="10"/>
      <c r="D894" s="11"/>
      <c r="E894" s="10"/>
      <c r="F894" s="1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0"/>
      <c r="V894" s="11"/>
      <c r="W894" s="10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2.75" customHeight="1">
      <c r="A895" s="10"/>
      <c r="B895" s="11"/>
      <c r="C895" s="10"/>
      <c r="D895" s="11"/>
      <c r="E895" s="10"/>
      <c r="F895" s="1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0"/>
      <c r="V895" s="11"/>
      <c r="W895" s="10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2.75" customHeight="1">
      <c r="A896" s="10"/>
      <c r="B896" s="11"/>
      <c r="C896" s="10"/>
      <c r="D896" s="11"/>
      <c r="E896" s="10"/>
      <c r="F896" s="1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0"/>
      <c r="V896" s="11"/>
      <c r="W896" s="10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2.75" customHeight="1">
      <c r="A897" s="10"/>
      <c r="B897" s="11"/>
      <c r="C897" s="10"/>
      <c r="D897" s="11"/>
      <c r="E897" s="10"/>
      <c r="F897" s="1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0"/>
      <c r="V897" s="11"/>
      <c r="W897" s="10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2.75" customHeight="1">
      <c r="A898" s="10"/>
      <c r="B898" s="11"/>
      <c r="C898" s="10"/>
      <c r="D898" s="11"/>
      <c r="E898" s="10"/>
      <c r="F898" s="1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0"/>
      <c r="V898" s="11"/>
      <c r="W898" s="10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2.75" customHeight="1">
      <c r="A899" s="10"/>
      <c r="B899" s="11"/>
      <c r="C899" s="10"/>
      <c r="D899" s="11"/>
      <c r="E899" s="10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0"/>
      <c r="V899" s="11"/>
      <c r="W899" s="10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2.75" customHeight="1">
      <c r="A900" s="10"/>
      <c r="B900" s="11"/>
      <c r="C900" s="10"/>
      <c r="D900" s="11"/>
      <c r="E900" s="10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0"/>
      <c r="V900" s="11"/>
      <c r="W900" s="10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2.75" customHeight="1">
      <c r="A901" s="10"/>
      <c r="B901" s="11"/>
      <c r="C901" s="10"/>
      <c r="D901" s="11"/>
      <c r="E901" s="10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0"/>
      <c r="V901" s="11"/>
      <c r="W901" s="10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2.75" customHeight="1">
      <c r="A902" s="10"/>
      <c r="B902" s="11"/>
      <c r="C902" s="10"/>
      <c r="D902" s="11"/>
      <c r="E902" s="10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0"/>
      <c r="V902" s="11"/>
      <c r="W902" s="10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2.75" customHeight="1">
      <c r="A903" s="10"/>
      <c r="B903" s="11"/>
      <c r="C903" s="10"/>
      <c r="D903" s="11"/>
      <c r="E903" s="10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0"/>
      <c r="V903" s="11"/>
      <c r="W903" s="10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2.75" customHeight="1">
      <c r="A904" s="10"/>
      <c r="B904" s="11"/>
      <c r="C904" s="10"/>
      <c r="D904" s="11"/>
      <c r="E904" s="10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0"/>
      <c r="V904" s="11"/>
      <c r="W904" s="10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2.75" customHeight="1">
      <c r="A905" s="10"/>
      <c r="B905" s="11"/>
      <c r="C905" s="10"/>
      <c r="D905" s="11"/>
      <c r="E905" s="10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0"/>
      <c r="V905" s="11"/>
      <c r="W905" s="10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2.75" customHeight="1">
      <c r="A906" s="10"/>
      <c r="B906" s="11"/>
      <c r="C906" s="10"/>
      <c r="D906" s="11"/>
      <c r="E906" s="10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0"/>
      <c r="V906" s="11"/>
      <c r="W906" s="10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2.75" customHeight="1">
      <c r="A907" s="10"/>
      <c r="B907" s="11"/>
      <c r="C907" s="10"/>
      <c r="D907" s="11"/>
      <c r="E907" s="10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0"/>
      <c r="V907" s="11"/>
      <c r="W907" s="10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2.75" customHeight="1">
      <c r="A908" s="10"/>
      <c r="B908" s="11"/>
      <c r="C908" s="10"/>
      <c r="D908" s="11"/>
      <c r="E908" s="10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0"/>
      <c r="V908" s="11"/>
      <c r="W908" s="10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2.75" customHeight="1">
      <c r="A909" s="10"/>
      <c r="B909" s="11"/>
      <c r="C909" s="10"/>
      <c r="D909" s="11"/>
      <c r="E909" s="10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0"/>
      <c r="V909" s="11"/>
      <c r="W909" s="10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2.75" customHeight="1">
      <c r="A910" s="10"/>
      <c r="B910" s="11"/>
      <c r="C910" s="10"/>
      <c r="D910" s="11"/>
      <c r="E910" s="10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0"/>
      <c r="V910" s="11"/>
      <c r="W910" s="10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2.75" customHeight="1">
      <c r="A911" s="10"/>
      <c r="B911" s="11"/>
      <c r="C911" s="10"/>
      <c r="D911" s="11"/>
      <c r="E911" s="10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0"/>
      <c r="V911" s="11"/>
      <c r="W911" s="10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2.75" customHeight="1">
      <c r="A912" s="10"/>
      <c r="B912" s="11"/>
      <c r="C912" s="10"/>
      <c r="D912" s="11"/>
      <c r="E912" s="10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0"/>
      <c r="V912" s="11"/>
      <c r="W912" s="10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2.75" customHeight="1">
      <c r="A913" s="10"/>
      <c r="B913" s="11"/>
      <c r="C913" s="10"/>
      <c r="D913" s="11"/>
      <c r="E913" s="10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0"/>
      <c r="V913" s="11"/>
      <c r="W913" s="10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2.75" customHeight="1">
      <c r="A914" s="10"/>
      <c r="B914" s="11"/>
      <c r="C914" s="10"/>
      <c r="D914" s="11"/>
      <c r="E914" s="10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0"/>
      <c r="V914" s="11"/>
      <c r="W914" s="10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2.75" customHeight="1">
      <c r="A915" s="10"/>
      <c r="B915" s="11"/>
      <c r="C915" s="10"/>
      <c r="D915" s="11"/>
      <c r="E915" s="10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0"/>
      <c r="V915" s="11"/>
      <c r="W915" s="10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2.75" customHeight="1">
      <c r="A916" s="10"/>
      <c r="B916" s="11"/>
      <c r="C916" s="10"/>
      <c r="D916" s="11"/>
      <c r="E916" s="10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0"/>
      <c r="V916" s="11"/>
      <c r="W916" s="10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2.75" customHeight="1">
      <c r="A917" s="10"/>
      <c r="B917" s="11"/>
      <c r="C917" s="10"/>
      <c r="D917" s="11"/>
      <c r="E917" s="10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0"/>
      <c r="V917" s="11"/>
      <c r="W917" s="10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2.75" customHeight="1">
      <c r="A918" s="10"/>
      <c r="B918" s="11"/>
      <c r="C918" s="10"/>
      <c r="D918" s="11"/>
      <c r="E918" s="10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0"/>
      <c r="V918" s="11"/>
      <c r="W918" s="10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2.75" customHeight="1">
      <c r="A919" s="10"/>
      <c r="B919" s="11"/>
      <c r="C919" s="10"/>
      <c r="D919" s="11"/>
      <c r="E919" s="10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0"/>
      <c r="V919" s="11"/>
      <c r="W919" s="10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2.75" customHeight="1">
      <c r="A920" s="10"/>
      <c r="B920" s="11"/>
      <c r="C920" s="10"/>
      <c r="D920" s="11"/>
      <c r="E920" s="10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0"/>
      <c r="V920" s="11"/>
      <c r="W920" s="10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2.75" customHeight="1">
      <c r="A921" s="10"/>
      <c r="B921" s="11"/>
      <c r="C921" s="10"/>
      <c r="D921" s="11"/>
      <c r="E921" s="10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0"/>
      <c r="V921" s="11"/>
      <c r="W921" s="10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2.75" customHeight="1">
      <c r="A922" s="10"/>
      <c r="B922" s="11"/>
      <c r="C922" s="10"/>
      <c r="D922" s="11"/>
      <c r="E922" s="10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0"/>
      <c r="V922" s="11"/>
      <c r="W922" s="10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2.75" customHeight="1">
      <c r="A923" s="10"/>
      <c r="B923" s="11"/>
      <c r="C923" s="10"/>
      <c r="D923" s="11"/>
      <c r="E923" s="10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0"/>
      <c r="V923" s="11"/>
      <c r="W923" s="10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2.75" customHeight="1">
      <c r="A924" s="10"/>
      <c r="B924" s="11"/>
      <c r="C924" s="10"/>
      <c r="D924" s="11"/>
      <c r="E924" s="10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0"/>
      <c r="V924" s="11"/>
      <c r="W924" s="10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2.75" customHeight="1">
      <c r="A925" s="10"/>
      <c r="B925" s="11"/>
      <c r="C925" s="10"/>
      <c r="D925" s="11"/>
      <c r="E925" s="10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0"/>
      <c r="V925" s="11"/>
      <c r="W925" s="10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2.75" customHeight="1">
      <c r="A926" s="10"/>
      <c r="B926" s="11"/>
      <c r="C926" s="10"/>
      <c r="D926" s="11"/>
      <c r="E926" s="10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0"/>
      <c r="V926" s="11"/>
      <c r="W926" s="10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2.75" customHeight="1">
      <c r="A927" s="10"/>
      <c r="B927" s="11"/>
      <c r="C927" s="10"/>
      <c r="D927" s="11"/>
      <c r="E927" s="10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0"/>
      <c r="V927" s="11"/>
      <c r="W927" s="10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2.75" customHeight="1">
      <c r="A928" s="10"/>
      <c r="B928" s="11"/>
      <c r="C928" s="10"/>
      <c r="D928" s="11"/>
      <c r="E928" s="10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0"/>
      <c r="V928" s="11"/>
      <c r="W928" s="10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2.75" customHeight="1">
      <c r="A929" s="10"/>
      <c r="B929" s="11"/>
      <c r="C929" s="10"/>
      <c r="D929" s="11"/>
      <c r="E929" s="10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0"/>
      <c r="V929" s="11"/>
      <c r="W929" s="10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2.75" customHeight="1">
      <c r="A930" s="10"/>
      <c r="B930" s="11"/>
      <c r="C930" s="10"/>
      <c r="D930" s="11"/>
      <c r="E930" s="10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0"/>
      <c r="V930" s="11"/>
      <c r="W930" s="10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2.75" customHeight="1">
      <c r="A931" s="10"/>
      <c r="B931" s="11"/>
      <c r="C931" s="10"/>
      <c r="D931" s="11"/>
      <c r="E931" s="10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0"/>
      <c r="V931" s="11"/>
      <c r="W931" s="10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2.75" customHeight="1">
      <c r="A932" s="10"/>
      <c r="B932" s="11"/>
      <c r="C932" s="10"/>
      <c r="D932" s="11"/>
      <c r="E932" s="10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0"/>
      <c r="V932" s="11"/>
      <c r="W932" s="10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2.75" customHeight="1">
      <c r="A933" s="10"/>
      <c r="B933" s="11"/>
      <c r="C933" s="10"/>
      <c r="D933" s="11"/>
      <c r="E933" s="10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0"/>
      <c r="V933" s="11"/>
      <c r="W933" s="10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2.75" customHeight="1">
      <c r="A934" s="10"/>
      <c r="B934" s="11"/>
      <c r="C934" s="10"/>
      <c r="D934" s="11"/>
      <c r="E934" s="10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0"/>
      <c r="V934" s="11"/>
      <c r="W934" s="10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2.75" customHeight="1">
      <c r="A935" s="10"/>
      <c r="B935" s="11"/>
      <c r="C935" s="10"/>
      <c r="D935" s="11"/>
      <c r="E935" s="10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0"/>
      <c r="V935" s="11"/>
      <c r="W935" s="10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2.75" customHeight="1">
      <c r="A936" s="10"/>
      <c r="B936" s="11"/>
      <c r="C936" s="10"/>
      <c r="D936" s="11"/>
      <c r="E936" s="10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0"/>
      <c r="V936" s="11"/>
      <c r="W936" s="10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2.75" customHeight="1">
      <c r="A937" s="10"/>
      <c r="B937" s="11"/>
      <c r="C937" s="10"/>
      <c r="D937" s="11"/>
      <c r="E937" s="10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0"/>
      <c r="V937" s="11"/>
      <c r="W937" s="10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2.75" customHeight="1">
      <c r="A938" s="10"/>
      <c r="B938" s="11"/>
      <c r="C938" s="10"/>
      <c r="D938" s="11"/>
      <c r="E938" s="10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0"/>
      <c r="V938" s="11"/>
      <c r="W938" s="10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2.75" customHeight="1">
      <c r="A939" s="10"/>
      <c r="B939" s="11"/>
      <c r="C939" s="10"/>
      <c r="D939" s="11"/>
      <c r="E939" s="10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0"/>
      <c r="V939" s="11"/>
      <c r="W939" s="10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2.75" customHeight="1">
      <c r="A940" s="10"/>
      <c r="B940" s="11"/>
      <c r="C940" s="10"/>
      <c r="D940" s="11"/>
      <c r="E940" s="10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0"/>
      <c r="V940" s="11"/>
      <c r="W940" s="10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2.75" customHeight="1">
      <c r="A941" s="10"/>
      <c r="B941" s="11"/>
      <c r="C941" s="10"/>
      <c r="D941" s="11"/>
      <c r="E941" s="10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0"/>
      <c r="V941" s="11"/>
      <c r="W941" s="10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2.75" customHeight="1">
      <c r="A942" s="10"/>
      <c r="B942" s="11"/>
      <c r="C942" s="10"/>
      <c r="D942" s="11"/>
      <c r="E942" s="10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0"/>
      <c r="V942" s="11"/>
      <c r="W942" s="10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2.75" customHeight="1">
      <c r="A943" s="10"/>
      <c r="B943" s="11"/>
      <c r="C943" s="10"/>
      <c r="D943" s="11"/>
      <c r="E943" s="10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0"/>
      <c r="V943" s="11"/>
      <c r="W943" s="10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2.75" customHeight="1">
      <c r="A944" s="10"/>
      <c r="B944" s="11"/>
      <c r="C944" s="10"/>
      <c r="D944" s="11"/>
      <c r="E944" s="10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0"/>
      <c r="V944" s="11"/>
      <c r="W944" s="10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2.75" customHeight="1">
      <c r="A945" s="10"/>
      <c r="B945" s="11"/>
      <c r="C945" s="10"/>
      <c r="D945" s="11"/>
      <c r="E945" s="10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0"/>
      <c r="V945" s="11"/>
      <c r="W945" s="10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2.75" customHeight="1">
      <c r="A946" s="10"/>
      <c r="B946" s="11"/>
      <c r="C946" s="10"/>
      <c r="D946" s="11"/>
      <c r="E946" s="10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0"/>
      <c r="V946" s="11"/>
      <c r="W946" s="10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2.75" customHeight="1">
      <c r="A947" s="10"/>
      <c r="B947" s="11"/>
      <c r="C947" s="10"/>
      <c r="D947" s="11"/>
      <c r="E947" s="10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0"/>
      <c r="V947" s="11"/>
      <c r="W947" s="10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2.75" customHeight="1">
      <c r="A948" s="10"/>
      <c r="B948" s="11"/>
      <c r="C948" s="10"/>
      <c r="D948" s="11"/>
      <c r="E948" s="10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0"/>
      <c r="V948" s="11"/>
      <c r="W948" s="10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2.75" customHeight="1">
      <c r="A949" s="10"/>
      <c r="B949" s="11"/>
      <c r="C949" s="10"/>
      <c r="D949" s="11"/>
      <c r="E949" s="10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0"/>
      <c r="V949" s="11"/>
      <c r="W949" s="10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2.75" customHeight="1">
      <c r="A950" s="10"/>
      <c r="B950" s="11"/>
      <c r="C950" s="10"/>
      <c r="D950" s="11"/>
      <c r="E950" s="10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0"/>
      <c r="V950" s="11"/>
      <c r="W950" s="10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2.75" customHeight="1">
      <c r="A951" s="10"/>
      <c r="B951" s="11"/>
      <c r="C951" s="10"/>
      <c r="D951" s="11"/>
      <c r="E951" s="10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0"/>
      <c r="V951" s="11"/>
      <c r="W951" s="10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2.75" customHeight="1">
      <c r="A952" s="10"/>
      <c r="B952" s="11"/>
      <c r="C952" s="10"/>
      <c r="D952" s="11"/>
      <c r="E952" s="10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0"/>
      <c r="V952" s="11"/>
      <c r="W952" s="10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2.75" customHeight="1">
      <c r="A953" s="10"/>
      <c r="B953" s="11"/>
      <c r="C953" s="10"/>
      <c r="D953" s="11"/>
      <c r="E953" s="10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0"/>
      <c r="V953" s="11"/>
      <c r="W953" s="10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2.75" customHeight="1">
      <c r="A954" s="10"/>
      <c r="B954" s="11"/>
      <c r="C954" s="10"/>
      <c r="D954" s="11"/>
      <c r="E954" s="10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0"/>
      <c r="V954" s="11"/>
      <c r="W954" s="10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2.75" customHeight="1">
      <c r="A955" s="10"/>
      <c r="B955" s="11"/>
      <c r="C955" s="10"/>
      <c r="D955" s="11"/>
      <c r="E955" s="10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0"/>
      <c r="V955" s="11"/>
      <c r="W955" s="10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2.75" customHeight="1">
      <c r="A956" s="10"/>
      <c r="B956" s="11"/>
      <c r="C956" s="10"/>
      <c r="D956" s="11"/>
      <c r="E956" s="10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0"/>
      <c r="V956" s="11"/>
      <c r="W956" s="10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2.75" customHeight="1">
      <c r="A957" s="10"/>
      <c r="B957" s="11"/>
      <c r="C957" s="10"/>
      <c r="D957" s="11"/>
      <c r="E957" s="10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0"/>
      <c r="V957" s="11"/>
      <c r="W957" s="10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2.75" customHeight="1">
      <c r="A958" s="10"/>
      <c r="B958" s="11"/>
      <c r="C958" s="10"/>
      <c r="D958" s="11"/>
      <c r="E958" s="10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0"/>
      <c r="V958" s="11"/>
      <c r="W958" s="10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2.75" customHeight="1">
      <c r="A959" s="10"/>
      <c r="B959" s="11"/>
      <c r="C959" s="10"/>
      <c r="D959" s="11"/>
      <c r="E959" s="10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0"/>
      <c r="V959" s="11"/>
      <c r="W959" s="10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2.75" customHeight="1">
      <c r="A960" s="10"/>
      <c r="B960" s="11"/>
      <c r="C960" s="10"/>
      <c r="D960" s="11"/>
      <c r="E960" s="10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0"/>
      <c r="V960" s="11"/>
      <c r="W960" s="10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2.75" customHeight="1">
      <c r="A961" s="10"/>
      <c r="B961" s="11"/>
      <c r="C961" s="10"/>
      <c r="D961" s="11"/>
      <c r="E961" s="10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0"/>
      <c r="V961" s="11"/>
      <c r="W961" s="10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2.75" customHeight="1">
      <c r="A962" s="10"/>
      <c r="B962" s="11"/>
      <c r="C962" s="10"/>
      <c r="D962" s="11"/>
      <c r="E962" s="10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0"/>
      <c r="V962" s="11"/>
      <c r="W962" s="10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2.75" customHeight="1">
      <c r="A963" s="10"/>
      <c r="B963" s="11"/>
      <c r="C963" s="10"/>
      <c r="D963" s="11"/>
      <c r="E963" s="10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0"/>
      <c r="V963" s="11"/>
      <c r="W963" s="10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2.75" customHeight="1">
      <c r="A964" s="10"/>
      <c r="B964" s="11"/>
      <c r="C964" s="10"/>
      <c r="D964" s="11"/>
      <c r="E964" s="10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0"/>
      <c r="V964" s="11"/>
      <c r="W964" s="10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2.75" customHeight="1">
      <c r="A965" s="10"/>
      <c r="B965" s="11"/>
      <c r="C965" s="10"/>
      <c r="D965" s="11"/>
      <c r="E965" s="10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0"/>
      <c r="V965" s="11"/>
      <c r="W965" s="10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2.75" customHeight="1">
      <c r="A966" s="10"/>
      <c r="B966" s="11"/>
      <c r="C966" s="10"/>
      <c r="D966" s="11"/>
      <c r="E966" s="10"/>
      <c r="F966" s="1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0"/>
      <c r="V966" s="11"/>
      <c r="W966" s="10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2.75" customHeight="1">
      <c r="A967" s="10"/>
      <c r="B967" s="11"/>
      <c r="C967" s="10"/>
      <c r="D967" s="11"/>
      <c r="E967" s="10"/>
      <c r="F967" s="1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0"/>
      <c r="V967" s="11"/>
      <c r="W967" s="10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2.75" customHeight="1">
      <c r="A968" s="10"/>
      <c r="B968" s="11"/>
      <c r="C968" s="10"/>
      <c r="D968" s="11"/>
      <c r="E968" s="10"/>
      <c r="F968" s="1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0"/>
      <c r="V968" s="11"/>
      <c r="W968" s="10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2.75" customHeight="1">
      <c r="A969" s="10"/>
      <c r="B969" s="11"/>
      <c r="C969" s="10"/>
      <c r="D969" s="11"/>
      <c r="E969" s="10"/>
      <c r="F969" s="1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0"/>
      <c r="V969" s="11"/>
      <c r="W969" s="10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2.75" customHeight="1">
      <c r="A970" s="10"/>
      <c r="B970" s="11"/>
      <c r="C970" s="10"/>
      <c r="D970" s="11"/>
      <c r="E970" s="10"/>
      <c r="F970" s="1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0"/>
      <c r="V970" s="11"/>
      <c r="W970" s="10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2.75" customHeight="1">
      <c r="A971" s="10"/>
      <c r="B971" s="11"/>
      <c r="C971" s="10"/>
      <c r="D971" s="11"/>
      <c r="E971" s="10"/>
      <c r="F971" s="1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0"/>
      <c r="V971" s="11"/>
      <c r="W971" s="10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2.75" customHeight="1">
      <c r="A972" s="10"/>
      <c r="B972" s="11"/>
      <c r="C972" s="10"/>
      <c r="D972" s="11"/>
      <c r="E972" s="10"/>
      <c r="F972" s="1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0"/>
      <c r="V972" s="11"/>
      <c r="W972" s="10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2.75" customHeight="1">
      <c r="A973" s="10"/>
      <c r="B973" s="11"/>
      <c r="C973" s="10"/>
      <c r="D973" s="11"/>
      <c r="E973" s="10"/>
      <c r="F973" s="1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0"/>
      <c r="V973" s="11"/>
      <c r="W973" s="10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2.75" customHeight="1">
      <c r="A974" s="10"/>
      <c r="B974" s="11"/>
      <c r="C974" s="10"/>
      <c r="D974" s="11"/>
      <c r="E974" s="10"/>
      <c r="F974" s="1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0"/>
      <c r="V974" s="11"/>
      <c r="W974" s="10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2.75" customHeight="1">
      <c r="A975" s="10"/>
      <c r="B975" s="11"/>
      <c r="C975" s="10"/>
      <c r="D975" s="11"/>
      <c r="E975" s="10"/>
      <c r="F975" s="1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0"/>
      <c r="V975" s="11"/>
      <c r="W975" s="10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2.75" customHeight="1">
      <c r="A976" s="10"/>
      <c r="B976" s="11"/>
      <c r="C976" s="10"/>
      <c r="D976" s="11"/>
      <c r="E976" s="10"/>
      <c r="F976" s="1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0"/>
      <c r="V976" s="11"/>
      <c r="W976" s="10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2.75" customHeight="1">
      <c r="A977" s="10"/>
      <c r="B977" s="11"/>
      <c r="C977" s="10"/>
      <c r="D977" s="11"/>
      <c r="E977" s="10"/>
      <c r="F977" s="1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0"/>
      <c r="V977" s="11"/>
      <c r="W977" s="10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2.75" customHeight="1">
      <c r="A978" s="10"/>
      <c r="B978" s="11"/>
      <c r="C978" s="10"/>
      <c r="D978" s="11"/>
      <c r="E978" s="10"/>
      <c r="F978" s="1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0"/>
      <c r="V978" s="11"/>
      <c r="W978" s="10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2.75" customHeight="1">
      <c r="A979" s="10"/>
      <c r="B979" s="11"/>
      <c r="C979" s="10"/>
      <c r="D979" s="11"/>
      <c r="E979" s="10"/>
      <c r="F979" s="1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0"/>
      <c r="V979" s="11"/>
      <c r="W979" s="10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2.75" customHeight="1">
      <c r="A980" s="10"/>
      <c r="B980" s="11"/>
      <c r="C980" s="10"/>
      <c r="D980" s="11"/>
      <c r="E980" s="10"/>
      <c r="F980" s="1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0"/>
      <c r="V980" s="11"/>
      <c r="W980" s="10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2.75" customHeight="1">
      <c r="A981" s="10"/>
      <c r="B981" s="11"/>
      <c r="C981" s="10"/>
      <c r="D981" s="11"/>
      <c r="E981" s="10"/>
      <c r="F981" s="1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0"/>
      <c r="V981" s="11"/>
      <c r="W981" s="10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2.75" customHeight="1">
      <c r="A982" s="10"/>
      <c r="B982" s="11"/>
      <c r="C982" s="10"/>
      <c r="D982" s="11"/>
      <c r="E982" s="10"/>
      <c r="F982" s="1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0"/>
      <c r="V982" s="11"/>
      <c r="W982" s="10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2.75" customHeight="1">
      <c r="A983" s="10"/>
      <c r="B983" s="11"/>
      <c r="C983" s="10"/>
      <c r="D983" s="11"/>
      <c r="E983" s="10"/>
      <c r="F983" s="1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0"/>
      <c r="V983" s="11"/>
      <c r="W983" s="10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2.75" customHeight="1">
      <c r="A984" s="10"/>
      <c r="B984" s="11"/>
      <c r="C984" s="10"/>
      <c r="D984" s="11"/>
      <c r="E984" s="10"/>
      <c r="F984" s="1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0"/>
      <c r="V984" s="11"/>
      <c r="W984" s="10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2.75" customHeight="1">
      <c r="A985" s="10"/>
      <c r="B985" s="11"/>
      <c r="C985" s="10"/>
      <c r="D985" s="11"/>
      <c r="E985" s="10"/>
      <c r="F985" s="1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0"/>
      <c r="V985" s="11"/>
      <c r="W985" s="10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2.75" customHeight="1">
      <c r="A986" s="10"/>
      <c r="B986" s="11"/>
      <c r="C986" s="10"/>
      <c r="D986" s="11"/>
      <c r="E986" s="10"/>
      <c r="F986" s="1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0"/>
      <c r="V986" s="11"/>
      <c r="W986" s="10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2.75" customHeight="1">
      <c r="A987" s="10"/>
      <c r="B987" s="11"/>
      <c r="C987" s="10"/>
      <c r="D987" s="11"/>
      <c r="E987" s="10"/>
      <c r="F987" s="1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0"/>
      <c r="V987" s="11"/>
      <c r="W987" s="10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2.75" customHeight="1">
      <c r="A988" s="10"/>
      <c r="B988" s="11"/>
      <c r="C988" s="10"/>
      <c r="D988" s="11"/>
      <c r="E988" s="10"/>
      <c r="F988" s="1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0"/>
      <c r="V988" s="11"/>
      <c r="W988" s="10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2.75" customHeight="1">
      <c r="A989" s="10"/>
      <c r="B989" s="11"/>
      <c r="C989" s="10"/>
      <c r="D989" s="11"/>
      <c r="E989" s="10"/>
      <c r="F989" s="1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0"/>
      <c r="V989" s="11"/>
      <c r="W989" s="10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2.75" customHeight="1">
      <c r="A990" s="10"/>
      <c r="B990" s="11"/>
      <c r="C990" s="10"/>
      <c r="D990" s="11"/>
      <c r="E990" s="10"/>
      <c r="F990" s="1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0"/>
      <c r="V990" s="11"/>
      <c r="W990" s="10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2.75" customHeight="1">
      <c r="A991" s="10"/>
      <c r="B991" s="11"/>
      <c r="C991" s="10"/>
      <c r="D991" s="11"/>
      <c r="E991" s="10"/>
      <c r="F991" s="1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0"/>
      <c r="V991" s="11"/>
      <c r="W991" s="10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2.75" customHeight="1">
      <c r="A992" s="10"/>
      <c r="B992" s="11"/>
      <c r="C992" s="10"/>
      <c r="D992" s="11"/>
      <c r="E992" s="10"/>
      <c r="F992" s="1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0"/>
      <c r="V992" s="11"/>
      <c r="W992" s="10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2.75" customHeight="1">
      <c r="A993" s="10"/>
      <c r="B993" s="11"/>
      <c r="C993" s="10"/>
      <c r="D993" s="11"/>
      <c r="E993" s="10"/>
      <c r="F993" s="1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0"/>
      <c r="V993" s="11"/>
      <c r="W993" s="10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2.75" customHeight="1">
      <c r="A994" s="10"/>
      <c r="B994" s="11"/>
      <c r="C994" s="10"/>
      <c r="D994" s="11"/>
      <c r="E994" s="10"/>
      <c r="F994" s="1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0"/>
      <c r="V994" s="11"/>
      <c r="W994" s="10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2.75" customHeight="1">
      <c r="A995" s="10"/>
      <c r="B995" s="11"/>
      <c r="C995" s="10"/>
      <c r="D995" s="11"/>
      <c r="E995" s="10"/>
      <c r="F995" s="1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0"/>
      <c r="V995" s="11"/>
      <c r="W995" s="10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2.75" customHeight="1">
      <c r="A996" s="10"/>
      <c r="B996" s="11"/>
      <c r="C996" s="10"/>
      <c r="D996" s="11"/>
      <c r="E996" s="10"/>
      <c r="F996" s="1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0"/>
      <c r="V996" s="11"/>
      <c r="W996" s="10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2.75" customHeight="1">
      <c r="A997" s="10"/>
      <c r="B997" s="11"/>
      <c r="C997" s="10"/>
      <c r="D997" s="11"/>
      <c r="E997" s="10"/>
      <c r="F997" s="1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0"/>
      <c r="V997" s="11"/>
      <c r="W997" s="10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2.75" customHeight="1">
      <c r="A998" s="10"/>
      <c r="B998" s="11"/>
      <c r="C998" s="10"/>
      <c r="D998" s="11"/>
      <c r="E998" s="10"/>
      <c r="F998" s="1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0"/>
      <c r="V998" s="11"/>
      <c r="W998" s="10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2.75" customHeight="1">
      <c r="A999" s="10"/>
      <c r="B999" s="11"/>
      <c r="C999" s="10"/>
      <c r="D999" s="11"/>
      <c r="E999" s="10"/>
      <c r="F999" s="1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0"/>
      <c r="V999" s="11"/>
      <c r="W999" s="10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2.75" customHeight="1">
      <c r="A1000" s="10"/>
      <c r="B1000" s="11"/>
      <c r="C1000" s="10"/>
      <c r="D1000" s="11"/>
      <c r="E1000" s="10"/>
      <c r="F1000" s="1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0"/>
      <c r="V1000" s="11"/>
      <c r="W1000" s="10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5.13" defaultRowHeight="15.0"/>
  <cols>
    <col customWidth="1" min="1" max="1" width="4.0"/>
    <col customWidth="1" min="2" max="2" width="7.75"/>
    <col customWidth="1" min="3" max="3" width="10.88"/>
    <col customWidth="1" min="4" max="4" width="3.0"/>
    <col customWidth="1" min="5" max="5" width="2.63"/>
    <col customWidth="1" min="6" max="6" width="6.63"/>
    <col customWidth="1" min="7" max="7" width="2.75"/>
    <col customWidth="1" min="8" max="9" width="3.5"/>
    <col customWidth="1" min="10" max="10" width="2.63"/>
    <col customWidth="1" min="11" max="11" width="3.25"/>
    <col customWidth="1" min="12" max="12" width="3.13"/>
    <col customWidth="1" min="13" max="13" width="4.63"/>
    <col customWidth="1" min="14" max="19" width="3.63"/>
    <col customWidth="1" min="20" max="20" width="5.38"/>
    <col customWidth="1" min="21" max="21" width="3.13"/>
    <col customWidth="1" min="22" max="22" width="9.0"/>
    <col customWidth="1" min="23" max="23" width="3.13"/>
    <col customWidth="1" min="24" max="24" width="10.75"/>
    <col customWidth="1" min="25" max="25" width="7.5"/>
    <col customWidth="1" min="26" max="26" width="7.88"/>
    <col customWidth="1" min="27" max="3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3">
        <v>1.0</v>
      </c>
      <c r="B2" s="4" t="s">
        <v>26</v>
      </c>
      <c r="C2" s="3"/>
      <c r="D2" s="4">
        <v>10.0</v>
      </c>
      <c r="E2" s="3">
        <v>6.0</v>
      </c>
      <c r="F2" s="3">
        <f t="shared" ref="F2:F49" si="1">D2-E2</f>
        <v>4</v>
      </c>
      <c r="G2" s="4">
        <v>2.0</v>
      </c>
      <c r="H2" s="4">
        <v>0.0</v>
      </c>
      <c r="I2" s="4">
        <v>2.0</v>
      </c>
      <c r="J2" s="4">
        <v>0.0</v>
      </c>
      <c r="K2" s="4">
        <v>0.0</v>
      </c>
      <c r="L2" s="4">
        <v>0.0</v>
      </c>
      <c r="M2" s="4" t="s">
        <v>36</v>
      </c>
      <c r="N2" s="5">
        <f>(E2-1)+VLOOKUP(M2,Size,2,0)</f>
        <v>6</v>
      </c>
      <c r="O2" s="5">
        <f>VLOOKUP(E2,LevelData,4)</f>
        <v>6</v>
      </c>
      <c r="P2" s="5">
        <f>O2+VLOOKUP(M2,Size,3,0)</f>
        <v>7</v>
      </c>
      <c r="Q2" s="5">
        <f t="shared" ref="Q2:Q49" si="2">R2</f>
        <v>5</v>
      </c>
      <c r="R2" s="5">
        <f>VLOOKUP(E2,LevelData,2)</f>
        <v>5</v>
      </c>
      <c r="S2" s="5">
        <f t="shared" ref="S2:S49" si="3">R2</f>
        <v>5</v>
      </c>
      <c r="T2" s="4" t="s">
        <v>92</v>
      </c>
      <c r="U2" s="3">
        <v>14.0</v>
      </c>
      <c r="V2" s="6"/>
      <c r="W2" s="3"/>
      <c r="X2" s="4" t="s">
        <v>93</v>
      </c>
      <c r="Y2" s="3" t="s">
        <v>94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3">
        <f t="shared" ref="A3:A49" si="4">A2+1</f>
        <v>2</v>
      </c>
      <c r="B3" s="4"/>
      <c r="C3" s="3"/>
      <c r="D3" s="4">
        <f t="shared" ref="D3:D49" si="5">D2+1</f>
        <v>11</v>
      </c>
      <c r="E3" s="3">
        <v>7.0</v>
      </c>
      <c r="F3" s="3">
        <f t="shared" si="1"/>
        <v>4</v>
      </c>
      <c r="G3" s="4">
        <v>1.0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 t="s">
        <v>36</v>
      </c>
      <c r="N3" s="5">
        <f>(E3-1)+VLOOKUP(M3,Size,2,0)</f>
        <v>7</v>
      </c>
      <c r="O3" s="5">
        <f>VLOOKUP(E3,LevelData,4)</f>
        <v>7</v>
      </c>
      <c r="P3" s="5">
        <f>O3+VLOOKUP(M3,Size,3,0)</f>
        <v>8</v>
      </c>
      <c r="Q3" s="5">
        <f t="shared" si="2"/>
        <v>5</v>
      </c>
      <c r="R3" s="5">
        <f>VLOOKUP(E3,LevelData,2)</f>
        <v>5</v>
      </c>
      <c r="S3" s="5">
        <f t="shared" si="3"/>
        <v>5</v>
      </c>
      <c r="T3" s="4" t="s">
        <v>92</v>
      </c>
      <c r="U3" s="3">
        <v>14.0</v>
      </c>
      <c r="V3" s="4"/>
      <c r="W3" s="3"/>
      <c r="X3" s="4" t="s">
        <v>95</v>
      </c>
      <c r="Y3" s="3" t="s">
        <v>96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7">
        <f t="shared" si="4"/>
        <v>3</v>
      </c>
      <c r="B4" s="8"/>
      <c r="C4" s="7"/>
      <c r="D4" s="8">
        <f t="shared" si="5"/>
        <v>12</v>
      </c>
      <c r="E4" s="7">
        <v>8.0</v>
      </c>
      <c r="F4" s="7">
        <f t="shared" si="1"/>
        <v>4</v>
      </c>
      <c r="G4" s="8">
        <v>0.0</v>
      </c>
      <c r="H4" s="8">
        <v>0.0</v>
      </c>
      <c r="I4" s="8">
        <v>1.0</v>
      </c>
      <c r="J4" s="8">
        <v>0.0</v>
      </c>
      <c r="K4" s="8">
        <v>0.0</v>
      </c>
      <c r="L4" s="8">
        <v>0.0</v>
      </c>
      <c r="M4" s="8" t="s">
        <v>36</v>
      </c>
      <c r="N4" s="9">
        <f>(E4-1)+VLOOKUP(M4,Size,2,0)</f>
        <v>8</v>
      </c>
      <c r="O4" s="9">
        <f>VLOOKUP(E4,LevelData,4)</f>
        <v>8</v>
      </c>
      <c r="P4" s="9">
        <f>O4+VLOOKUP(M4,Size,3,0)</f>
        <v>9</v>
      </c>
      <c r="Q4" s="9">
        <f t="shared" si="2"/>
        <v>6</v>
      </c>
      <c r="R4" s="9">
        <f>VLOOKUP(E4,LevelData,2)</f>
        <v>6</v>
      </c>
      <c r="S4" s="9">
        <f t="shared" si="3"/>
        <v>6</v>
      </c>
      <c r="T4" s="8" t="s">
        <v>97</v>
      </c>
      <c r="U4" s="7">
        <v>15.0</v>
      </c>
      <c r="V4" s="8"/>
      <c r="W4" s="7"/>
      <c r="X4" s="8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12.75" customHeight="1">
      <c r="A5" s="10">
        <f t="shared" si="4"/>
        <v>4</v>
      </c>
      <c r="B5" s="11" t="s">
        <v>35</v>
      </c>
      <c r="C5" s="10"/>
      <c r="D5" s="11">
        <f t="shared" si="5"/>
        <v>13</v>
      </c>
      <c r="E5" s="10">
        <v>8.0</v>
      </c>
      <c r="F5" s="10">
        <f t="shared" si="1"/>
        <v>5</v>
      </c>
      <c r="G5" s="11">
        <v>1.0</v>
      </c>
      <c r="H5" s="11">
        <v>0.0</v>
      </c>
      <c r="I5" s="11">
        <v>1.0</v>
      </c>
      <c r="J5" s="11">
        <v>0.0</v>
      </c>
      <c r="K5" s="11">
        <v>0.0</v>
      </c>
      <c r="L5" s="11">
        <v>0.0</v>
      </c>
      <c r="M5" s="11" t="s">
        <v>40</v>
      </c>
      <c r="N5" s="12">
        <f>(E5-1)+VLOOKUP(M5,Size,2,0)</f>
        <v>7</v>
      </c>
      <c r="O5" s="12">
        <f>VLOOKUP(E5,LevelData,4)</f>
        <v>8</v>
      </c>
      <c r="P5" s="12">
        <f>O5+VLOOKUP(M5,Size,3,0)</f>
        <v>8</v>
      </c>
      <c r="Q5" s="12">
        <f t="shared" si="2"/>
        <v>6</v>
      </c>
      <c r="R5" s="12">
        <f>VLOOKUP(E5,LevelData,2)</f>
        <v>6</v>
      </c>
      <c r="S5" s="12">
        <f t="shared" si="3"/>
        <v>6</v>
      </c>
      <c r="T5" s="11" t="s">
        <v>98</v>
      </c>
      <c r="U5" s="10">
        <v>16.0</v>
      </c>
      <c r="V5" s="11"/>
      <c r="W5" s="10"/>
      <c r="X5" s="11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ht="12.75" customHeight="1">
      <c r="A6" s="10">
        <f t="shared" si="4"/>
        <v>5</v>
      </c>
      <c r="B6" s="11"/>
      <c r="C6" s="10"/>
      <c r="D6" s="11">
        <f t="shared" si="5"/>
        <v>14</v>
      </c>
      <c r="E6" s="10">
        <v>10.0</v>
      </c>
      <c r="F6" s="10">
        <f t="shared" si="1"/>
        <v>4</v>
      </c>
      <c r="G6" s="11">
        <v>0.0</v>
      </c>
      <c r="H6" s="11">
        <v>0.0</v>
      </c>
      <c r="I6" s="11">
        <v>0.0</v>
      </c>
      <c r="J6" s="11">
        <v>1.0</v>
      </c>
      <c r="K6" s="11">
        <v>1.0</v>
      </c>
      <c r="L6" s="11">
        <v>1.0</v>
      </c>
      <c r="M6" s="11" t="s">
        <v>40</v>
      </c>
      <c r="N6" s="12">
        <f>(E6-1)+VLOOKUP(M6,Size,2,0)</f>
        <v>9</v>
      </c>
      <c r="O6" s="12">
        <f>VLOOKUP(E6,LevelData,4)</f>
        <v>10</v>
      </c>
      <c r="P6" s="12">
        <f>O6+VLOOKUP(M6,Size,3,0)</f>
        <v>10</v>
      </c>
      <c r="Q6" s="12">
        <f t="shared" si="2"/>
        <v>7</v>
      </c>
      <c r="R6" s="12">
        <f>VLOOKUP(E6,LevelData,2)</f>
        <v>7</v>
      </c>
      <c r="S6" s="12">
        <f t="shared" si="3"/>
        <v>7</v>
      </c>
      <c r="T6" s="11" t="s">
        <v>98</v>
      </c>
      <c r="U6" s="10">
        <v>16.0</v>
      </c>
      <c r="V6" s="11"/>
      <c r="W6" s="10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2.75" customHeight="1">
      <c r="A7" s="10">
        <f t="shared" si="4"/>
        <v>6</v>
      </c>
      <c r="B7" s="11"/>
      <c r="C7" s="10"/>
      <c r="D7" s="11">
        <f t="shared" si="5"/>
        <v>15</v>
      </c>
      <c r="E7" s="10">
        <v>11.0</v>
      </c>
      <c r="F7" s="10">
        <f t="shared" si="1"/>
        <v>4</v>
      </c>
      <c r="G7" s="11">
        <v>1.0</v>
      </c>
      <c r="H7" s="11">
        <v>0.0</v>
      </c>
      <c r="I7" s="11">
        <v>0.0</v>
      </c>
      <c r="J7" s="11">
        <v>0.0</v>
      </c>
      <c r="K7" s="11">
        <v>0.0</v>
      </c>
      <c r="L7" s="11">
        <v>0.0</v>
      </c>
      <c r="M7" s="11" t="s">
        <v>40</v>
      </c>
      <c r="N7" s="12">
        <f>(E7-1)+VLOOKUP(M7,Size,2,0)</f>
        <v>10</v>
      </c>
      <c r="O7" s="12">
        <f>VLOOKUP(E7,LevelData,4)</f>
        <v>11</v>
      </c>
      <c r="P7" s="12">
        <f>O7+VLOOKUP(M7,Size,3,0)</f>
        <v>11</v>
      </c>
      <c r="Q7" s="12">
        <f t="shared" si="2"/>
        <v>7</v>
      </c>
      <c r="R7" s="12">
        <f>VLOOKUP(E7,LevelData,2)</f>
        <v>7</v>
      </c>
      <c r="S7" s="12">
        <f t="shared" si="3"/>
        <v>7</v>
      </c>
      <c r="T7" s="11" t="s">
        <v>99</v>
      </c>
      <c r="U7" s="10">
        <v>17.0</v>
      </c>
      <c r="V7" s="11"/>
      <c r="W7" s="10"/>
      <c r="X7" s="11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2.75" customHeight="1">
      <c r="A8" s="1">
        <f t="shared" si="4"/>
        <v>7</v>
      </c>
      <c r="B8" s="2"/>
      <c r="C8" s="1"/>
      <c r="D8" s="2">
        <f t="shared" si="5"/>
        <v>16</v>
      </c>
      <c r="E8" s="1">
        <v>11.0</v>
      </c>
      <c r="F8" s="1">
        <f t="shared" si="1"/>
        <v>5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 t="s">
        <v>40</v>
      </c>
      <c r="N8" s="13">
        <f>(E8-1)+VLOOKUP(M8,Size,2,0)</f>
        <v>10</v>
      </c>
      <c r="O8" s="13">
        <f>VLOOKUP(E8,LevelData,4)</f>
        <v>11</v>
      </c>
      <c r="P8" s="13">
        <f>O8+VLOOKUP(M8,Size,3,0)</f>
        <v>11</v>
      </c>
      <c r="Q8" s="13">
        <f t="shared" si="2"/>
        <v>7</v>
      </c>
      <c r="R8" s="13">
        <f>VLOOKUP(E8,LevelData,2)</f>
        <v>7</v>
      </c>
      <c r="S8" s="13">
        <f t="shared" si="3"/>
        <v>7</v>
      </c>
      <c r="T8" s="2" t="s">
        <v>99</v>
      </c>
      <c r="U8" s="1">
        <v>17.0</v>
      </c>
      <c r="V8" s="2"/>
      <c r="W8" s="1"/>
      <c r="X8" s="2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12.75" customHeight="1">
      <c r="A9" s="3">
        <f t="shared" si="4"/>
        <v>8</v>
      </c>
      <c r="B9" s="4" t="s">
        <v>39</v>
      </c>
      <c r="C9" s="3"/>
      <c r="D9" s="4">
        <f t="shared" si="5"/>
        <v>17</v>
      </c>
      <c r="E9" s="3">
        <v>12.0</v>
      </c>
      <c r="F9" s="3">
        <f t="shared" si="1"/>
        <v>5</v>
      </c>
      <c r="G9" s="4">
        <v>1.0</v>
      </c>
      <c r="H9" s="4">
        <v>0.0</v>
      </c>
      <c r="I9" s="4">
        <v>0.0</v>
      </c>
      <c r="J9" s="4">
        <v>1.0</v>
      </c>
      <c r="K9" s="4">
        <v>1.0</v>
      </c>
      <c r="L9" s="4">
        <v>1.0</v>
      </c>
      <c r="M9" s="4" t="s">
        <v>40</v>
      </c>
      <c r="N9" s="5">
        <f>(E9-1)+VLOOKUP(M9,Size,2,0)</f>
        <v>11</v>
      </c>
      <c r="O9" s="5">
        <f>VLOOKUP(E9,LevelData,4)</f>
        <v>12</v>
      </c>
      <c r="P9" s="5">
        <f>O9+VLOOKUP(M9,Size,3,0)</f>
        <v>12</v>
      </c>
      <c r="Q9" s="5">
        <f t="shared" si="2"/>
        <v>8</v>
      </c>
      <c r="R9" s="5">
        <f>VLOOKUP(E9,LevelData,2)</f>
        <v>8</v>
      </c>
      <c r="S9" s="5">
        <f t="shared" si="3"/>
        <v>8</v>
      </c>
      <c r="T9" s="4" t="s">
        <v>100</v>
      </c>
      <c r="U9" s="3">
        <v>18.0</v>
      </c>
      <c r="V9" s="4"/>
      <c r="W9" s="3"/>
      <c r="X9" s="4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12.75" customHeight="1">
      <c r="A10" s="3">
        <f t="shared" si="4"/>
        <v>9</v>
      </c>
      <c r="B10" s="4"/>
      <c r="C10" s="3"/>
      <c r="D10" s="4">
        <f t="shared" si="5"/>
        <v>18</v>
      </c>
      <c r="E10" s="3">
        <v>13.0</v>
      </c>
      <c r="F10" s="3">
        <f t="shared" si="1"/>
        <v>5</v>
      </c>
      <c r="G10" s="4">
        <v>0.0</v>
      </c>
      <c r="H10" s="4">
        <v>0.0</v>
      </c>
      <c r="I10" s="4">
        <v>1.0</v>
      </c>
      <c r="J10" s="4">
        <v>0.0</v>
      </c>
      <c r="K10" s="4">
        <v>0.0</v>
      </c>
      <c r="L10" s="4">
        <v>0.0</v>
      </c>
      <c r="M10" s="4" t="s">
        <v>40</v>
      </c>
      <c r="N10" s="5">
        <f>(E10-1)+VLOOKUP(M10,Size,2,0)</f>
        <v>12</v>
      </c>
      <c r="O10" s="5">
        <f>VLOOKUP(E10,LevelData,4)</f>
        <v>13</v>
      </c>
      <c r="P10" s="5">
        <f>O10+VLOOKUP(M10,Size,3,0)</f>
        <v>13</v>
      </c>
      <c r="Q10" s="5">
        <f t="shared" si="2"/>
        <v>8</v>
      </c>
      <c r="R10" s="5">
        <f>VLOOKUP(E10,LevelData,2)</f>
        <v>8</v>
      </c>
      <c r="S10" s="5">
        <f t="shared" si="3"/>
        <v>8</v>
      </c>
      <c r="T10" s="4" t="s">
        <v>100</v>
      </c>
      <c r="U10" s="3">
        <v>18.0</v>
      </c>
      <c r="V10" s="4"/>
      <c r="W10" s="3"/>
      <c r="X10" s="4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3">
        <f t="shared" si="4"/>
        <v>10</v>
      </c>
      <c r="B11" s="4"/>
      <c r="C11" s="3"/>
      <c r="D11" s="4">
        <f t="shared" si="5"/>
        <v>19</v>
      </c>
      <c r="E11" s="3">
        <v>14.0</v>
      </c>
      <c r="F11" s="3">
        <f t="shared" si="1"/>
        <v>5</v>
      </c>
      <c r="G11" s="4">
        <v>1.0</v>
      </c>
      <c r="H11" s="4">
        <v>0.0</v>
      </c>
      <c r="I11" s="4">
        <v>0.0</v>
      </c>
      <c r="J11" s="4">
        <v>1.0</v>
      </c>
      <c r="K11" s="4">
        <v>1.0</v>
      </c>
      <c r="L11" s="4">
        <v>1.0</v>
      </c>
      <c r="M11" s="4" t="s">
        <v>40</v>
      </c>
      <c r="N11" s="5">
        <f>(E11-1)+VLOOKUP(M11,Size,2,0)</f>
        <v>13</v>
      </c>
      <c r="O11" s="5">
        <f>VLOOKUP(E11,LevelData,4)</f>
        <v>14</v>
      </c>
      <c r="P11" s="5">
        <f>O11+VLOOKUP(M11,Size,3,0)</f>
        <v>14</v>
      </c>
      <c r="Q11" s="5">
        <f t="shared" si="2"/>
        <v>9</v>
      </c>
      <c r="R11" s="5">
        <f>VLOOKUP(E11,LevelData,2)</f>
        <v>9</v>
      </c>
      <c r="S11" s="5">
        <f t="shared" si="3"/>
        <v>9</v>
      </c>
      <c r="T11" s="4" t="s">
        <v>101</v>
      </c>
      <c r="U11" s="3">
        <v>19.0</v>
      </c>
      <c r="V11" s="4"/>
      <c r="W11" s="3"/>
      <c r="X11" s="4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2.75" customHeight="1">
      <c r="A12" s="7">
        <f t="shared" si="4"/>
        <v>11</v>
      </c>
      <c r="B12" s="8"/>
      <c r="C12" s="7"/>
      <c r="D12" s="8">
        <f t="shared" si="5"/>
        <v>20</v>
      </c>
      <c r="E12" s="7">
        <v>14.0</v>
      </c>
      <c r="F12" s="7">
        <f t="shared" si="1"/>
        <v>6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 t="s">
        <v>40</v>
      </c>
      <c r="N12" s="9">
        <f>(E12-1)+VLOOKUP(M12,Size,2,0)</f>
        <v>13</v>
      </c>
      <c r="O12" s="9">
        <f>VLOOKUP(E12,LevelData,4)</f>
        <v>14</v>
      </c>
      <c r="P12" s="9">
        <f>O12+VLOOKUP(M12,Size,3,0)</f>
        <v>14</v>
      </c>
      <c r="Q12" s="9">
        <f t="shared" si="2"/>
        <v>9</v>
      </c>
      <c r="R12" s="9">
        <f>VLOOKUP(E12,LevelData,2)</f>
        <v>9</v>
      </c>
      <c r="S12" s="9">
        <f t="shared" si="3"/>
        <v>9</v>
      </c>
      <c r="T12" s="8" t="s">
        <v>101</v>
      </c>
      <c r="U12" s="7">
        <v>19.0</v>
      </c>
      <c r="V12" s="8"/>
      <c r="W12" s="7"/>
      <c r="X12" s="8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ht="12.75" customHeight="1">
      <c r="A13" s="10">
        <f t="shared" si="4"/>
        <v>12</v>
      </c>
      <c r="B13" s="11" t="s">
        <v>44</v>
      </c>
      <c r="C13" s="10"/>
      <c r="D13" s="11">
        <f t="shared" si="5"/>
        <v>21</v>
      </c>
      <c r="E13" s="10">
        <v>15.0</v>
      </c>
      <c r="F13" s="10">
        <f t="shared" si="1"/>
        <v>6</v>
      </c>
      <c r="G13" s="11">
        <v>1.0</v>
      </c>
      <c r="H13" s="11">
        <v>0.0</v>
      </c>
      <c r="I13" s="11">
        <v>1.0</v>
      </c>
      <c r="J13" s="11">
        <v>1.0</v>
      </c>
      <c r="K13" s="11">
        <v>1.0</v>
      </c>
      <c r="L13" s="11">
        <v>1.0</v>
      </c>
      <c r="M13" s="11" t="s">
        <v>49</v>
      </c>
      <c r="N13" s="12">
        <f>(E13-1)+VLOOKUP(M13,Size,2,0)</f>
        <v>13</v>
      </c>
      <c r="O13" s="12">
        <f>VLOOKUP(E13,LevelData,4)</f>
        <v>15</v>
      </c>
      <c r="P13" s="12">
        <f>O13+VLOOKUP(M13,Size,3,0)</f>
        <v>14</v>
      </c>
      <c r="Q13" s="12">
        <f t="shared" si="2"/>
        <v>9</v>
      </c>
      <c r="R13" s="12">
        <f>VLOOKUP(E13,LevelData,2)</f>
        <v>9</v>
      </c>
      <c r="S13" s="12">
        <f t="shared" si="3"/>
        <v>9</v>
      </c>
      <c r="T13" s="11" t="s">
        <v>102</v>
      </c>
      <c r="U13" s="10">
        <v>20.0</v>
      </c>
      <c r="V13" s="11"/>
      <c r="W13" s="10"/>
      <c r="X13" s="11" t="s">
        <v>103</v>
      </c>
      <c r="Y13" s="10">
        <v>1.0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12.75" customHeight="1">
      <c r="A14" s="10">
        <f t="shared" si="4"/>
        <v>13</v>
      </c>
      <c r="B14" s="11"/>
      <c r="C14" s="10">
        <v>26.0</v>
      </c>
      <c r="D14" s="11">
        <f t="shared" si="5"/>
        <v>22</v>
      </c>
      <c r="E14" s="10">
        <v>16.0</v>
      </c>
      <c r="F14" s="10">
        <f t="shared" si="1"/>
        <v>6</v>
      </c>
      <c r="G14" s="11">
        <v>1.0</v>
      </c>
      <c r="H14" s="11">
        <v>0.0</v>
      </c>
      <c r="I14" s="11">
        <v>0.0</v>
      </c>
      <c r="J14" s="11">
        <v>0.0</v>
      </c>
      <c r="K14" s="11">
        <v>0.0</v>
      </c>
      <c r="L14" s="11">
        <v>0.0</v>
      </c>
      <c r="M14" s="11" t="s">
        <v>49</v>
      </c>
      <c r="N14" s="12">
        <f>(E14-1)+VLOOKUP(M14,Size,2,0)</f>
        <v>14</v>
      </c>
      <c r="O14" s="12">
        <f>VLOOKUP(E14,LevelData,4)</f>
        <v>16</v>
      </c>
      <c r="P14" s="12">
        <f>O14+VLOOKUP(M14,Size,3,0)</f>
        <v>15</v>
      </c>
      <c r="Q14" s="12">
        <f t="shared" si="2"/>
        <v>10</v>
      </c>
      <c r="R14" s="12">
        <f>VLOOKUP(E14,LevelData,2)</f>
        <v>10</v>
      </c>
      <c r="S14" s="12">
        <f t="shared" si="3"/>
        <v>10</v>
      </c>
      <c r="T14" s="11" t="s">
        <v>102</v>
      </c>
      <c r="U14" s="10">
        <v>20.0</v>
      </c>
      <c r="V14" s="11"/>
      <c r="W14" s="10"/>
      <c r="X14" s="11" t="s">
        <v>104</v>
      </c>
      <c r="Y14" s="10">
        <v>1.0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2.75" customHeight="1">
      <c r="A15" s="10">
        <f t="shared" si="4"/>
        <v>14</v>
      </c>
      <c r="B15" s="11"/>
      <c r="C15" s="10">
        <v>32.0</v>
      </c>
      <c r="D15" s="11">
        <f t="shared" si="5"/>
        <v>23</v>
      </c>
      <c r="E15" s="10">
        <v>17.0</v>
      </c>
      <c r="F15" s="10">
        <f t="shared" si="1"/>
        <v>6</v>
      </c>
      <c r="G15" s="11">
        <v>1.0</v>
      </c>
      <c r="H15" s="11">
        <v>0.0</v>
      </c>
      <c r="I15" s="11">
        <v>1.0</v>
      </c>
      <c r="J15" s="11">
        <v>0.0</v>
      </c>
      <c r="K15" s="11">
        <v>0.0</v>
      </c>
      <c r="L15" s="11">
        <v>0.0</v>
      </c>
      <c r="M15" s="11" t="s">
        <v>49</v>
      </c>
      <c r="N15" s="12">
        <f>(E15-1)+VLOOKUP(M15,Size,2,0)</f>
        <v>15</v>
      </c>
      <c r="O15" s="12">
        <f>VLOOKUP(E15,LevelData,4)</f>
        <v>17</v>
      </c>
      <c r="P15" s="12">
        <f>O15+VLOOKUP(M15,Size,3,0)</f>
        <v>16</v>
      </c>
      <c r="Q15" s="12">
        <f t="shared" si="2"/>
        <v>10</v>
      </c>
      <c r="R15" s="12">
        <f>VLOOKUP(E15,LevelData,2)</f>
        <v>10</v>
      </c>
      <c r="S15" s="12">
        <f t="shared" si="3"/>
        <v>10</v>
      </c>
      <c r="T15" s="11" t="s">
        <v>105</v>
      </c>
      <c r="U15" s="10">
        <v>21.0</v>
      </c>
      <c r="V15" s="11"/>
      <c r="W15" s="10"/>
      <c r="X15" s="11"/>
      <c r="Y15" s="10">
        <v>2.0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2.75" customHeight="1">
      <c r="A16" s="1">
        <f t="shared" si="4"/>
        <v>15</v>
      </c>
      <c r="B16" s="2"/>
      <c r="C16" s="1">
        <v>39.0</v>
      </c>
      <c r="D16" s="2">
        <f t="shared" si="5"/>
        <v>24</v>
      </c>
      <c r="E16" s="1">
        <v>17.0</v>
      </c>
      <c r="F16" s="1">
        <f t="shared" si="1"/>
        <v>7</v>
      </c>
      <c r="G16" s="2">
        <v>1.0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 t="s">
        <v>49</v>
      </c>
      <c r="N16" s="13">
        <f>(E16-1)+VLOOKUP(M16,Size,2,0)</f>
        <v>15</v>
      </c>
      <c r="O16" s="13">
        <f>VLOOKUP(E16,LevelData,4)</f>
        <v>17</v>
      </c>
      <c r="P16" s="13">
        <f>O16+VLOOKUP(M16,Size,3,0)</f>
        <v>16</v>
      </c>
      <c r="Q16" s="13">
        <f t="shared" si="2"/>
        <v>10</v>
      </c>
      <c r="R16" s="13">
        <f>VLOOKUP(E16,LevelData,2)</f>
        <v>10</v>
      </c>
      <c r="S16" s="13">
        <f t="shared" si="3"/>
        <v>10</v>
      </c>
      <c r="T16" s="2" t="s">
        <v>105</v>
      </c>
      <c r="U16" s="1">
        <v>22.0</v>
      </c>
      <c r="V16" s="2"/>
      <c r="W16" s="1"/>
      <c r="X16" s="2"/>
      <c r="Y16" s="1">
        <v>2.0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12.75" customHeight="1">
      <c r="A17" s="3">
        <f t="shared" si="4"/>
        <v>16</v>
      </c>
      <c r="B17" s="4" t="s">
        <v>48</v>
      </c>
      <c r="C17" s="3">
        <v>45.0</v>
      </c>
      <c r="D17" s="4">
        <f t="shared" si="5"/>
        <v>25</v>
      </c>
      <c r="E17" s="3">
        <v>18.0</v>
      </c>
      <c r="F17" s="3">
        <f t="shared" si="1"/>
        <v>7</v>
      </c>
      <c r="G17" s="4">
        <v>1.0</v>
      </c>
      <c r="H17" s="4">
        <v>0.0</v>
      </c>
      <c r="I17" s="4">
        <v>1.0</v>
      </c>
      <c r="J17" s="4">
        <v>0.0</v>
      </c>
      <c r="K17" s="4">
        <v>0.0</v>
      </c>
      <c r="L17" s="4">
        <v>0.0</v>
      </c>
      <c r="M17" s="4" t="s">
        <v>49</v>
      </c>
      <c r="N17" s="5">
        <f>(E17-1)+VLOOKUP(M17,Size,2,0)</f>
        <v>16</v>
      </c>
      <c r="O17" s="5">
        <f>VLOOKUP(E17,LevelData,4)</f>
        <v>18</v>
      </c>
      <c r="P17" s="5">
        <f>O17+VLOOKUP(M17,Size,3,0)</f>
        <v>17</v>
      </c>
      <c r="Q17" s="5">
        <f t="shared" si="2"/>
        <v>11</v>
      </c>
      <c r="R17" s="5">
        <f>VLOOKUP(E17,LevelData,2)</f>
        <v>11</v>
      </c>
      <c r="S17" s="5">
        <f t="shared" si="3"/>
        <v>11</v>
      </c>
      <c r="T17" s="4" t="s">
        <v>106</v>
      </c>
      <c r="U17" s="3">
        <v>23.0</v>
      </c>
      <c r="V17" s="4">
        <f>INT(11+(E17/2))-VLOOKUP(M17,Size,2,0)</f>
        <v>21</v>
      </c>
      <c r="W17" s="3">
        <f t="shared" ref="W17:W43" si="6">INT((E17/2)+10)</f>
        <v>19</v>
      </c>
      <c r="X17" s="4" t="s">
        <v>51</v>
      </c>
      <c r="Y17" s="3">
        <v>3.0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2.75" customHeight="1">
      <c r="A18" s="3">
        <f t="shared" si="4"/>
        <v>17</v>
      </c>
      <c r="B18" s="4"/>
      <c r="C18" s="3">
        <v>51.0</v>
      </c>
      <c r="D18" s="4">
        <f t="shared" si="5"/>
        <v>26</v>
      </c>
      <c r="E18" s="3">
        <v>19.0</v>
      </c>
      <c r="F18" s="3">
        <f t="shared" si="1"/>
        <v>7</v>
      </c>
      <c r="G18" s="4">
        <v>1.0</v>
      </c>
      <c r="H18" s="4">
        <v>0.0</v>
      </c>
      <c r="I18" s="4">
        <v>0.0</v>
      </c>
      <c r="J18" s="4">
        <v>1.0</v>
      </c>
      <c r="K18" s="4">
        <v>1.0</v>
      </c>
      <c r="L18" s="4">
        <v>1.0</v>
      </c>
      <c r="M18" s="4" t="s">
        <v>49</v>
      </c>
      <c r="N18" s="5">
        <f>(E18-1)+VLOOKUP(M18,Size,2,0)</f>
        <v>17</v>
      </c>
      <c r="O18" s="5">
        <f>VLOOKUP(E18,LevelData,4)</f>
        <v>19</v>
      </c>
      <c r="P18" s="5">
        <f>O18+VLOOKUP(M18,Size,3,0)</f>
        <v>18</v>
      </c>
      <c r="Q18" s="5">
        <f t="shared" si="2"/>
        <v>11</v>
      </c>
      <c r="R18" s="5">
        <f>VLOOKUP(E18,LevelData,2)</f>
        <v>11</v>
      </c>
      <c r="S18" s="5">
        <f t="shared" si="3"/>
        <v>11</v>
      </c>
      <c r="T18" s="4" t="s">
        <v>106</v>
      </c>
      <c r="U18" s="3">
        <v>23.0</v>
      </c>
      <c r="V18" s="4">
        <f>INT(11+(E18/2))-VLOOKUP(M18,Size,2,0)</f>
        <v>21</v>
      </c>
      <c r="W18" s="3">
        <f t="shared" si="6"/>
        <v>19</v>
      </c>
      <c r="X18" s="4"/>
      <c r="Y18" s="3">
        <v>3.0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3">
        <f t="shared" si="4"/>
        <v>18</v>
      </c>
      <c r="B19" s="4"/>
      <c r="C19" s="3">
        <v>63.0</v>
      </c>
      <c r="D19" s="4">
        <f t="shared" si="5"/>
        <v>27</v>
      </c>
      <c r="E19" s="3">
        <v>20.0</v>
      </c>
      <c r="F19" s="3">
        <f t="shared" si="1"/>
        <v>7</v>
      </c>
      <c r="G19" s="4">
        <v>1.0</v>
      </c>
      <c r="H19" s="4">
        <v>0.0</v>
      </c>
      <c r="I19" s="4">
        <v>1.0</v>
      </c>
      <c r="J19" s="4">
        <v>0.0</v>
      </c>
      <c r="K19" s="4">
        <v>0.0</v>
      </c>
      <c r="L19" s="4">
        <v>0.0</v>
      </c>
      <c r="M19" s="4" t="s">
        <v>49</v>
      </c>
      <c r="N19" s="5">
        <f>(E19-1)+VLOOKUP(M19,Size,2,0)</f>
        <v>18</v>
      </c>
      <c r="O19" s="5">
        <f>VLOOKUP(E19,LevelData,4)</f>
        <v>20</v>
      </c>
      <c r="P19" s="5">
        <f>O19+VLOOKUP(M19,Size,3,0)</f>
        <v>19</v>
      </c>
      <c r="Q19" s="5">
        <f t="shared" si="2"/>
        <v>12</v>
      </c>
      <c r="R19" s="5">
        <f>VLOOKUP(E19,LevelData,2)</f>
        <v>12</v>
      </c>
      <c r="S19" s="5">
        <f t="shared" si="3"/>
        <v>12</v>
      </c>
      <c r="T19" s="4" t="s">
        <v>107</v>
      </c>
      <c r="U19" s="3">
        <v>24.0</v>
      </c>
      <c r="V19" s="4">
        <f>INT(11+(E19/2))-VLOOKUP(M19,Size,2,0)</f>
        <v>22</v>
      </c>
      <c r="W19" s="3">
        <f t="shared" si="6"/>
        <v>20</v>
      </c>
      <c r="X19" s="4"/>
      <c r="Y19" s="3">
        <v>4.0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7">
        <f t="shared" si="4"/>
        <v>19</v>
      </c>
      <c r="B20" s="8"/>
      <c r="C20" s="7">
        <v>75.0</v>
      </c>
      <c r="D20" s="8">
        <f t="shared" si="5"/>
        <v>28</v>
      </c>
      <c r="E20" s="7">
        <v>20.0</v>
      </c>
      <c r="F20" s="7">
        <f t="shared" si="1"/>
        <v>8</v>
      </c>
      <c r="G20" s="8">
        <v>1.0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 t="s">
        <v>49</v>
      </c>
      <c r="N20" s="9">
        <f>(E20-1)+VLOOKUP(M20,Size,2,0)</f>
        <v>18</v>
      </c>
      <c r="O20" s="9">
        <f>VLOOKUP(E20,LevelData,4)</f>
        <v>20</v>
      </c>
      <c r="P20" s="9">
        <f>O20+VLOOKUP(M20,Size,3,0)</f>
        <v>19</v>
      </c>
      <c r="Q20" s="9">
        <f t="shared" si="2"/>
        <v>12</v>
      </c>
      <c r="R20" s="9">
        <f>VLOOKUP(E20,LevelData,2)</f>
        <v>12</v>
      </c>
      <c r="S20" s="9">
        <f t="shared" si="3"/>
        <v>12</v>
      </c>
      <c r="T20" s="8" t="s">
        <v>107</v>
      </c>
      <c r="U20" s="7">
        <v>24.0</v>
      </c>
      <c r="V20" s="8">
        <f>INT(11+(E20/2))-VLOOKUP(M20,Size,2,0)</f>
        <v>22</v>
      </c>
      <c r="W20" s="7">
        <f t="shared" si="6"/>
        <v>20</v>
      </c>
      <c r="X20" s="8"/>
      <c r="Y20" s="7">
        <v>4.0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ht="12.75" customHeight="1">
      <c r="A21" s="10">
        <f t="shared" si="4"/>
        <v>20</v>
      </c>
      <c r="B21" s="11" t="s">
        <v>53</v>
      </c>
      <c r="C21" s="10">
        <v>87.0</v>
      </c>
      <c r="D21" s="11">
        <f t="shared" si="5"/>
        <v>29</v>
      </c>
      <c r="E21" s="10">
        <v>21.0</v>
      </c>
      <c r="F21" s="10">
        <f t="shared" si="1"/>
        <v>8</v>
      </c>
      <c r="G21" s="11">
        <v>1.0</v>
      </c>
      <c r="H21" s="11">
        <v>0.0</v>
      </c>
      <c r="I21" s="11">
        <v>1.0</v>
      </c>
      <c r="J21" s="11">
        <v>1.0</v>
      </c>
      <c r="K21" s="11">
        <v>1.0</v>
      </c>
      <c r="L21" s="11">
        <v>1.0</v>
      </c>
      <c r="M21" s="11" t="s">
        <v>58</v>
      </c>
      <c r="N21" s="12">
        <f>(E21-1)+VLOOKUP(M21,Size,2,0)</f>
        <v>18</v>
      </c>
      <c r="O21" s="12">
        <f>VLOOKUP(E21,LevelData,4)</f>
        <v>21</v>
      </c>
      <c r="P21" s="12">
        <f>O21+VLOOKUP(M21,Size,3,0)</f>
        <v>19</v>
      </c>
      <c r="Q21" s="12">
        <f t="shared" si="2"/>
        <v>12</v>
      </c>
      <c r="R21" s="12">
        <f>VLOOKUP(E21,LevelData,2)</f>
        <v>12</v>
      </c>
      <c r="S21" s="12">
        <f t="shared" si="3"/>
        <v>12</v>
      </c>
      <c r="T21" s="11" t="s">
        <v>108</v>
      </c>
      <c r="U21" s="10">
        <v>25.0</v>
      </c>
      <c r="V21" s="11">
        <f>INT(11+(E21/2))-VLOOKUP(M21,Size,2,0)</f>
        <v>23</v>
      </c>
      <c r="W21" s="10">
        <f t="shared" si="6"/>
        <v>20</v>
      </c>
      <c r="X21" s="11" t="s">
        <v>109</v>
      </c>
      <c r="Y21" s="10">
        <v>5.0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12.75" customHeight="1">
      <c r="A22" s="10">
        <f t="shared" si="4"/>
        <v>21</v>
      </c>
      <c r="B22" s="11"/>
      <c r="C22" s="10">
        <v>101.0</v>
      </c>
      <c r="D22" s="11">
        <f t="shared" si="5"/>
        <v>30</v>
      </c>
      <c r="E22" s="10">
        <v>22.0</v>
      </c>
      <c r="F22" s="10">
        <f t="shared" si="1"/>
        <v>8</v>
      </c>
      <c r="G22" s="11">
        <v>0.0</v>
      </c>
      <c r="H22" s="11">
        <v>0.0</v>
      </c>
      <c r="I22" s="11">
        <v>0.0</v>
      </c>
      <c r="J22" s="11">
        <v>0.0</v>
      </c>
      <c r="K22" s="11">
        <v>0.0</v>
      </c>
      <c r="L22" s="11">
        <v>0.0</v>
      </c>
      <c r="M22" s="11" t="s">
        <v>58</v>
      </c>
      <c r="N22" s="12">
        <f>(E22-1)+VLOOKUP(M22,Size,2,0)</f>
        <v>19</v>
      </c>
      <c r="O22" s="12">
        <f>VLOOKUP(E22,LevelData,4)</f>
        <v>22</v>
      </c>
      <c r="P22" s="12">
        <f>O22+VLOOKUP(M22,Size,3,0)</f>
        <v>20</v>
      </c>
      <c r="Q22" s="12">
        <f t="shared" si="2"/>
        <v>13</v>
      </c>
      <c r="R22" s="12">
        <f>VLOOKUP(E22,LevelData,2)</f>
        <v>13</v>
      </c>
      <c r="S22" s="12">
        <f t="shared" si="3"/>
        <v>13</v>
      </c>
      <c r="T22" s="11" t="s">
        <v>108</v>
      </c>
      <c r="U22" s="10">
        <v>25.0</v>
      </c>
      <c r="V22" s="11">
        <f>INT(11+(E22/2))-VLOOKUP(M22,Size,2,0)</f>
        <v>24</v>
      </c>
      <c r="W22" s="10">
        <f t="shared" si="6"/>
        <v>21</v>
      </c>
      <c r="X22" s="11"/>
      <c r="Y22" s="10">
        <v>5.0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2.75" customHeight="1">
      <c r="A23" s="10">
        <f t="shared" si="4"/>
        <v>22</v>
      </c>
      <c r="B23" s="11"/>
      <c r="C23" s="10">
        <v>126.0</v>
      </c>
      <c r="D23" s="11">
        <f t="shared" si="5"/>
        <v>31</v>
      </c>
      <c r="E23" s="10">
        <v>23.0</v>
      </c>
      <c r="F23" s="10">
        <f t="shared" si="1"/>
        <v>8</v>
      </c>
      <c r="G23" s="11">
        <v>0.0</v>
      </c>
      <c r="H23" s="11">
        <v>0.0</v>
      </c>
      <c r="I23" s="11">
        <v>0.0</v>
      </c>
      <c r="J23" s="11">
        <v>0.0</v>
      </c>
      <c r="K23" s="11">
        <v>0.0</v>
      </c>
      <c r="L23" s="11">
        <v>0.0</v>
      </c>
      <c r="M23" s="11" t="s">
        <v>58</v>
      </c>
      <c r="N23" s="12">
        <f>(E23-1)+VLOOKUP(M23,Size,2,0)</f>
        <v>20</v>
      </c>
      <c r="O23" s="12">
        <f>VLOOKUP(E23,LevelData,4)</f>
        <v>23</v>
      </c>
      <c r="P23" s="12">
        <f>O23+VLOOKUP(M23,Size,3,0)</f>
        <v>21</v>
      </c>
      <c r="Q23" s="12">
        <f t="shared" si="2"/>
        <v>13</v>
      </c>
      <c r="R23" s="12">
        <f>VLOOKUP(E23,LevelData,2)</f>
        <v>13</v>
      </c>
      <c r="S23" s="12">
        <f t="shared" si="3"/>
        <v>13</v>
      </c>
      <c r="T23" s="11" t="s">
        <v>110</v>
      </c>
      <c r="U23" s="10">
        <v>26.0</v>
      </c>
      <c r="V23" s="11">
        <f>INT(11+(E23/2))-VLOOKUP(M23,Size,2,0)</f>
        <v>24</v>
      </c>
      <c r="W23" s="10">
        <f t="shared" si="6"/>
        <v>21</v>
      </c>
      <c r="X23" s="11"/>
      <c r="Y23" s="10">
        <v>6.0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12.75" customHeight="1">
      <c r="A24" s="1">
        <f t="shared" si="4"/>
        <v>23</v>
      </c>
      <c r="B24" s="2"/>
      <c r="C24" s="1">
        <v>151.0</v>
      </c>
      <c r="D24" s="2">
        <f t="shared" si="5"/>
        <v>32</v>
      </c>
      <c r="E24" s="1">
        <v>23.0</v>
      </c>
      <c r="F24" s="1">
        <f t="shared" si="1"/>
        <v>9</v>
      </c>
      <c r="G24" s="2">
        <v>1.0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 t="s">
        <v>58</v>
      </c>
      <c r="N24" s="13">
        <f>(E24-1)+VLOOKUP(M24,Size,2,0)</f>
        <v>20</v>
      </c>
      <c r="O24" s="13">
        <f>VLOOKUP(E24,LevelData,4)</f>
        <v>23</v>
      </c>
      <c r="P24" s="13">
        <f>O24+VLOOKUP(M24,Size,3,0)</f>
        <v>21</v>
      </c>
      <c r="Q24" s="13">
        <f t="shared" si="2"/>
        <v>13</v>
      </c>
      <c r="R24" s="13">
        <f>VLOOKUP(E24,LevelData,2)</f>
        <v>13</v>
      </c>
      <c r="S24" s="13">
        <f t="shared" si="3"/>
        <v>13</v>
      </c>
      <c r="T24" s="2" t="s">
        <v>110</v>
      </c>
      <c r="U24" s="1">
        <v>26.0</v>
      </c>
      <c r="V24" s="2">
        <f>INT(11+(E24/2))-VLOOKUP(M24,Size,2,0)</f>
        <v>24</v>
      </c>
      <c r="W24" s="1">
        <f t="shared" si="6"/>
        <v>21</v>
      </c>
      <c r="X24" s="2"/>
      <c r="Y24" s="1">
        <v>6.0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2.75" customHeight="1">
      <c r="A25" s="3">
        <f t="shared" si="4"/>
        <v>24</v>
      </c>
      <c r="B25" s="4" t="s">
        <v>57</v>
      </c>
      <c r="C25" s="3">
        <v>176.0</v>
      </c>
      <c r="D25" s="4">
        <f t="shared" si="5"/>
        <v>33</v>
      </c>
      <c r="E25" s="3">
        <v>24.0</v>
      </c>
      <c r="F25" s="3">
        <f t="shared" si="1"/>
        <v>9</v>
      </c>
      <c r="G25" s="4">
        <v>1.0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 t="s">
        <v>58</v>
      </c>
      <c r="N25" s="5">
        <f>(E25-1)+VLOOKUP(M25,Size,2,0)</f>
        <v>21</v>
      </c>
      <c r="O25" s="5">
        <f>VLOOKUP(E25,LevelData,4)</f>
        <v>24</v>
      </c>
      <c r="P25" s="5">
        <f>O25+VLOOKUP(M25,Size,3,0)</f>
        <v>22</v>
      </c>
      <c r="Q25" s="5">
        <f t="shared" si="2"/>
        <v>14</v>
      </c>
      <c r="R25" s="5">
        <f>VLOOKUP(E25,LevelData,2)</f>
        <v>14</v>
      </c>
      <c r="S25" s="5">
        <f t="shared" si="3"/>
        <v>14</v>
      </c>
      <c r="T25" s="4" t="s">
        <v>111</v>
      </c>
      <c r="U25" s="3">
        <v>27.0</v>
      </c>
      <c r="V25" s="4">
        <f>INT(11+(E25/2))-VLOOKUP(M25,Size,2,0)</f>
        <v>25</v>
      </c>
      <c r="W25" s="3">
        <f t="shared" si="6"/>
        <v>22</v>
      </c>
      <c r="X25" s="4" t="s">
        <v>60</v>
      </c>
      <c r="Y25" s="3">
        <v>7.0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2.75" customHeight="1">
      <c r="A26" s="3">
        <f t="shared" si="4"/>
        <v>25</v>
      </c>
      <c r="B26" s="4"/>
      <c r="C26" s="3">
        <v>201.0</v>
      </c>
      <c r="D26" s="4">
        <f t="shared" si="5"/>
        <v>34</v>
      </c>
      <c r="E26" s="3">
        <v>25.0</v>
      </c>
      <c r="F26" s="3">
        <f t="shared" si="1"/>
        <v>9</v>
      </c>
      <c r="G26" s="4">
        <v>0.0</v>
      </c>
      <c r="H26" s="4">
        <v>0.0</v>
      </c>
      <c r="I26" s="4">
        <v>1.0</v>
      </c>
      <c r="J26" s="4">
        <v>1.0</v>
      </c>
      <c r="K26" s="4">
        <v>1.0</v>
      </c>
      <c r="L26" s="4">
        <v>1.0</v>
      </c>
      <c r="M26" s="4" t="s">
        <v>58</v>
      </c>
      <c r="N26" s="5">
        <f>(E26-1)+VLOOKUP(M26,Size,2,0)</f>
        <v>22</v>
      </c>
      <c r="O26" s="5">
        <f>VLOOKUP(E26,LevelData,4)</f>
        <v>25</v>
      </c>
      <c r="P26" s="5">
        <f>O26+VLOOKUP(M26,Size,3,0)</f>
        <v>23</v>
      </c>
      <c r="Q26" s="5">
        <f t="shared" si="2"/>
        <v>14</v>
      </c>
      <c r="R26" s="5">
        <f>VLOOKUP(E26,LevelData,2)</f>
        <v>14</v>
      </c>
      <c r="S26" s="5">
        <f t="shared" si="3"/>
        <v>14</v>
      </c>
      <c r="T26" s="4" t="s">
        <v>111</v>
      </c>
      <c r="U26" s="3">
        <v>27.0</v>
      </c>
      <c r="V26" s="4">
        <f>INT(11+(E26/2))-VLOOKUP(M26,Size,2,0)</f>
        <v>25</v>
      </c>
      <c r="W26" s="3">
        <f t="shared" si="6"/>
        <v>22</v>
      </c>
      <c r="X26" s="4"/>
      <c r="Y26" s="3">
        <v>7.0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3">
        <f t="shared" si="4"/>
        <v>26</v>
      </c>
      <c r="B27" s="4"/>
      <c r="C27" s="3">
        <v>251.0</v>
      </c>
      <c r="D27" s="4">
        <f t="shared" si="5"/>
        <v>35</v>
      </c>
      <c r="E27" s="3">
        <v>26.0</v>
      </c>
      <c r="F27" s="3">
        <f t="shared" si="1"/>
        <v>9</v>
      </c>
      <c r="G27" s="4">
        <v>1.0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 t="s">
        <v>58</v>
      </c>
      <c r="N27" s="5">
        <f>(E27-1)+VLOOKUP(M27,Size,2,0)</f>
        <v>23</v>
      </c>
      <c r="O27" s="5">
        <f>VLOOKUP(E27,LevelData,4)</f>
        <v>26</v>
      </c>
      <c r="P27" s="5">
        <f>O27+VLOOKUP(M27,Size,3,0)</f>
        <v>24</v>
      </c>
      <c r="Q27" s="5">
        <f t="shared" si="2"/>
        <v>15</v>
      </c>
      <c r="R27" s="5">
        <f>VLOOKUP(E27,LevelData,2)</f>
        <v>15</v>
      </c>
      <c r="S27" s="5">
        <f t="shared" si="3"/>
        <v>15</v>
      </c>
      <c r="T27" s="4" t="s">
        <v>112</v>
      </c>
      <c r="U27" s="3">
        <v>28.0</v>
      </c>
      <c r="V27" s="4">
        <f>INT(11+(E27/2))-VLOOKUP(M27,Size,2,0)</f>
        <v>26</v>
      </c>
      <c r="W27" s="3">
        <f t="shared" si="6"/>
        <v>23</v>
      </c>
      <c r="X27" s="4"/>
      <c r="Y27" s="3">
        <v>8.0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7">
        <f t="shared" si="4"/>
        <v>27</v>
      </c>
      <c r="B28" s="8"/>
      <c r="C28" s="7">
        <v>301.0</v>
      </c>
      <c r="D28" s="8">
        <f t="shared" si="5"/>
        <v>36</v>
      </c>
      <c r="E28" s="7">
        <v>26.0</v>
      </c>
      <c r="F28" s="7">
        <f t="shared" si="1"/>
        <v>10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 t="s">
        <v>58</v>
      </c>
      <c r="N28" s="9">
        <f>(E28-1)+VLOOKUP(M28,Size,2,0)</f>
        <v>23</v>
      </c>
      <c r="O28" s="9">
        <f>VLOOKUP(E28,LevelData,4)</f>
        <v>26</v>
      </c>
      <c r="P28" s="9">
        <f>O28+VLOOKUP(M28,Size,3,0)</f>
        <v>24</v>
      </c>
      <c r="Q28" s="9">
        <f t="shared" si="2"/>
        <v>15</v>
      </c>
      <c r="R28" s="9">
        <f>VLOOKUP(E28,LevelData,2)</f>
        <v>15</v>
      </c>
      <c r="S28" s="9">
        <f t="shared" si="3"/>
        <v>15</v>
      </c>
      <c r="T28" s="8" t="s">
        <v>112</v>
      </c>
      <c r="U28" s="7">
        <v>28.0</v>
      </c>
      <c r="V28" s="8">
        <f>INT(11+(E28/2))-VLOOKUP(M28,Size,2,0)</f>
        <v>26</v>
      </c>
      <c r="W28" s="7">
        <f t="shared" si="6"/>
        <v>23</v>
      </c>
      <c r="X28" s="8"/>
      <c r="Y28" s="7">
        <v>8.0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ht="12.75" customHeight="1">
      <c r="A29" s="10">
        <f t="shared" si="4"/>
        <v>28</v>
      </c>
      <c r="B29" s="11" t="s">
        <v>62</v>
      </c>
      <c r="C29" s="10">
        <v>351.0</v>
      </c>
      <c r="D29" s="11">
        <f t="shared" si="5"/>
        <v>37</v>
      </c>
      <c r="E29" s="10">
        <v>27.0</v>
      </c>
      <c r="F29" s="10">
        <f t="shared" si="1"/>
        <v>10</v>
      </c>
      <c r="G29" s="11">
        <v>1.0</v>
      </c>
      <c r="H29" s="11">
        <v>0.0</v>
      </c>
      <c r="I29" s="11">
        <v>1.0</v>
      </c>
      <c r="J29" s="11">
        <v>1.0</v>
      </c>
      <c r="K29" s="11">
        <v>1.0</v>
      </c>
      <c r="L29" s="11">
        <v>1.0</v>
      </c>
      <c r="M29" s="11" t="s">
        <v>58</v>
      </c>
      <c r="N29" s="12">
        <f>(E29-1)+VLOOKUP(M29,Size,2,0)</f>
        <v>24</v>
      </c>
      <c r="O29" s="12">
        <f>VLOOKUP(E29,LevelData,4)</f>
        <v>27</v>
      </c>
      <c r="P29" s="12">
        <f>O29+VLOOKUP(M29,Size,3,0)</f>
        <v>25</v>
      </c>
      <c r="Q29" s="12">
        <f t="shared" si="2"/>
        <v>15</v>
      </c>
      <c r="R29" s="12">
        <f>VLOOKUP(E29,LevelData,2)</f>
        <v>15</v>
      </c>
      <c r="S29" s="12">
        <f t="shared" si="3"/>
        <v>15</v>
      </c>
      <c r="T29" s="11" t="s">
        <v>113</v>
      </c>
      <c r="U29" s="10">
        <v>29.0</v>
      </c>
      <c r="V29" s="11">
        <f>INT(12+(E29/2))-VLOOKUP(M29,Size,2,0)</f>
        <v>27</v>
      </c>
      <c r="W29" s="10">
        <f t="shared" si="6"/>
        <v>23</v>
      </c>
      <c r="X29" s="11" t="s">
        <v>114</v>
      </c>
      <c r="Y29" s="10">
        <v>9.0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12.75" customHeight="1">
      <c r="A30" s="10">
        <f t="shared" si="4"/>
        <v>29</v>
      </c>
      <c r="B30" s="11"/>
      <c r="C30" s="10">
        <v>401.0</v>
      </c>
      <c r="D30" s="11">
        <f t="shared" si="5"/>
        <v>38</v>
      </c>
      <c r="E30" s="10">
        <v>29.0</v>
      </c>
      <c r="F30" s="10">
        <f t="shared" si="1"/>
        <v>9</v>
      </c>
      <c r="G30" s="11">
        <v>0.0</v>
      </c>
      <c r="H30" s="11">
        <v>0.0</v>
      </c>
      <c r="I30" s="11">
        <v>0.0</v>
      </c>
      <c r="J30" s="11">
        <v>0.0</v>
      </c>
      <c r="K30" s="11">
        <v>0.0</v>
      </c>
      <c r="L30" s="11">
        <v>0.0</v>
      </c>
      <c r="M30" s="11" t="s">
        <v>58</v>
      </c>
      <c r="N30" s="12">
        <f>(E30-1)+VLOOKUP(M30,Size,2,0)</f>
        <v>26</v>
      </c>
      <c r="O30" s="12">
        <f>VLOOKUP(E30,LevelData,4)</f>
        <v>29</v>
      </c>
      <c r="P30" s="12">
        <f>O30+VLOOKUP(M30,Size,3,0)</f>
        <v>27</v>
      </c>
      <c r="Q30" s="12">
        <f t="shared" si="2"/>
        <v>16</v>
      </c>
      <c r="R30" s="12">
        <f>VLOOKUP(E30,LevelData,2)</f>
        <v>16</v>
      </c>
      <c r="S30" s="12">
        <f t="shared" si="3"/>
        <v>16</v>
      </c>
      <c r="T30" s="11" t="s">
        <v>113</v>
      </c>
      <c r="U30" s="10">
        <v>29.0</v>
      </c>
      <c r="V30" s="11">
        <f>INT(12+(E30/2))-VLOOKUP(M30,Size,2,0)</f>
        <v>28</v>
      </c>
      <c r="W30" s="10">
        <f t="shared" si="6"/>
        <v>24</v>
      </c>
      <c r="X30" s="11" t="s">
        <v>115</v>
      </c>
      <c r="Y30" s="10">
        <v>9.0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2.75" customHeight="1">
      <c r="A31" s="10">
        <f t="shared" si="4"/>
        <v>30</v>
      </c>
      <c r="B31" s="11"/>
      <c r="C31" s="10">
        <v>451.0</v>
      </c>
      <c r="D31" s="11">
        <f t="shared" si="5"/>
        <v>39</v>
      </c>
      <c r="E31" s="10">
        <v>30.0</v>
      </c>
      <c r="F31" s="10">
        <f t="shared" si="1"/>
        <v>9</v>
      </c>
      <c r="G31" s="11">
        <v>1.0</v>
      </c>
      <c r="H31" s="11">
        <v>0.0</v>
      </c>
      <c r="I31" s="11">
        <v>0.0</v>
      </c>
      <c r="J31" s="11">
        <v>0.0</v>
      </c>
      <c r="K31" s="11">
        <v>0.0</v>
      </c>
      <c r="L31" s="11">
        <v>0.0</v>
      </c>
      <c r="M31" s="11" t="s">
        <v>58</v>
      </c>
      <c r="N31" s="12">
        <f>(E31-1)+VLOOKUP(M31,Size,2,0)</f>
        <v>27</v>
      </c>
      <c r="O31" s="12">
        <f>VLOOKUP(E31,LevelData,4)</f>
        <v>30</v>
      </c>
      <c r="P31" s="12">
        <f>O31+VLOOKUP(M31,Size,3,0)</f>
        <v>28</v>
      </c>
      <c r="Q31" s="12">
        <f t="shared" si="2"/>
        <v>17</v>
      </c>
      <c r="R31" s="12">
        <f>VLOOKUP(E31,LevelData,2)</f>
        <v>17</v>
      </c>
      <c r="S31" s="12">
        <f t="shared" si="3"/>
        <v>17</v>
      </c>
      <c r="T31" s="11" t="s">
        <v>116</v>
      </c>
      <c r="U31" s="10">
        <v>30.0</v>
      </c>
      <c r="V31" s="11">
        <f>INT(12+(E31/2))-VLOOKUP(M31,Size,2,0)</f>
        <v>29</v>
      </c>
      <c r="W31" s="10">
        <f t="shared" si="6"/>
        <v>25</v>
      </c>
      <c r="X31" s="11"/>
      <c r="Y31" s="10">
        <v>10.0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12.75" customHeight="1">
      <c r="A32" s="1">
        <f t="shared" si="4"/>
        <v>31</v>
      </c>
      <c r="B32" s="2"/>
      <c r="C32" s="1">
        <v>501.0</v>
      </c>
      <c r="D32" s="2">
        <f t="shared" si="5"/>
        <v>40</v>
      </c>
      <c r="E32" s="1">
        <v>30.0</v>
      </c>
      <c r="F32" s="1">
        <f t="shared" si="1"/>
        <v>10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 t="s">
        <v>58</v>
      </c>
      <c r="N32" s="13">
        <f>(E32-1)+VLOOKUP(M32,Size,2,0)</f>
        <v>27</v>
      </c>
      <c r="O32" s="13">
        <f>VLOOKUP(E32,LevelData,4)</f>
        <v>30</v>
      </c>
      <c r="P32" s="13">
        <f>O32+VLOOKUP(M32,Size,3,0)</f>
        <v>28</v>
      </c>
      <c r="Q32" s="13">
        <f t="shared" si="2"/>
        <v>17</v>
      </c>
      <c r="R32" s="13">
        <f>VLOOKUP(E32,LevelData,2)</f>
        <v>17</v>
      </c>
      <c r="S32" s="13">
        <f t="shared" si="3"/>
        <v>17</v>
      </c>
      <c r="T32" s="2" t="s">
        <v>116</v>
      </c>
      <c r="U32" s="1">
        <v>30.0</v>
      </c>
      <c r="V32" s="2">
        <f>INT(12+(E32/2))-VLOOKUP(M32,Size,2,0)</f>
        <v>29</v>
      </c>
      <c r="W32" s="1">
        <f t="shared" si="6"/>
        <v>25</v>
      </c>
      <c r="X32" s="2"/>
      <c r="Y32" s="1">
        <v>10.0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2.75" customHeight="1">
      <c r="A33" s="3">
        <f t="shared" si="4"/>
        <v>32</v>
      </c>
      <c r="B33" s="4" t="s">
        <v>67</v>
      </c>
      <c r="C33" s="3">
        <v>551.0</v>
      </c>
      <c r="D33" s="4">
        <f t="shared" si="5"/>
        <v>41</v>
      </c>
      <c r="E33" s="3">
        <v>31.0</v>
      </c>
      <c r="F33" s="3">
        <f t="shared" si="1"/>
        <v>10</v>
      </c>
      <c r="G33" s="4">
        <v>1.0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 t="s">
        <v>58</v>
      </c>
      <c r="N33" s="5">
        <f>(E33-1)+VLOOKUP(M33,Size,2,0)</f>
        <v>28</v>
      </c>
      <c r="O33" s="5">
        <f>VLOOKUP(E33,LevelData,4)</f>
        <v>31</v>
      </c>
      <c r="P33" s="5">
        <f>O33+VLOOKUP(M33,Size,3,0)</f>
        <v>29</v>
      </c>
      <c r="Q33" s="5">
        <f t="shared" si="2"/>
        <v>17</v>
      </c>
      <c r="R33" s="5">
        <f>VLOOKUP(E33,LevelData,2)</f>
        <v>17</v>
      </c>
      <c r="S33" s="5">
        <f t="shared" si="3"/>
        <v>17</v>
      </c>
      <c r="T33" s="4" t="s">
        <v>117</v>
      </c>
      <c r="U33" s="3">
        <v>31.0</v>
      </c>
      <c r="V33" s="4">
        <f>INT(12+(E33/2))-VLOOKUP(M33,Size,2,0)</f>
        <v>29</v>
      </c>
      <c r="W33" s="3">
        <f t="shared" si="6"/>
        <v>25</v>
      </c>
      <c r="X33" s="4" t="s">
        <v>69</v>
      </c>
      <c r="Y33" s="3">
        <v>11.0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2.75" customHeight="1">
      <c r="A34" s="3">
        <f t="shared" si="4"/>
        <v>33</v>
      </c>
      <c r="B34" s="4"/>
      <c r="C34" s="3">
        <v>601.0</v>
      </c>
      <c r="D34" s="4">
        <f t="shared" si="5"/>
        <v>42</v>
      </c>
      <c r="E34" s="3">
        <v>32.0</v>
      </c>
      <c r="F34" s="3">
        <f t="shared" si="1"/>
        <v>10</v>
      </c>
      <c r="G34" s="4">
        <v>0.0</v>
      </c>
      <c r="H34" s="4">
        <v>0.0</v>
      </c>
      <c r="I34" s="4">
        <v>1.0</v>
      </c>
      <c r="J34" s="4">
        <v>1.0</v>
      </c>
      <c r="K34" s="4">
        <v>1.0</v>
      </c>
      <c r="L34" s="4">
        <v>1.0</v>
      </c>
      <c r="M34" s="4" t="s">
        <v>58</v>
      </c>
      <c r="N34" s="5">
        <f>(E34-1)+VLOOKUP(M34,Size,2,0)</f>
        <v>29</v>
      </c>
      <c r="O34" s="5">
        <f>VLOOKUP(E34,LevelData,4)</f>
        <v>32</v>
      </c>
      <c r="P34" s="5">
        <f>O34+VLOOKUP(M34,Size,3,0)</f>
        <v>30</v>
      </c>
      <c r="Q34" s="5">
        <f t="shared" si="2"/>
        <v>18</v>
      </c>
      <c r="R34" s="5">
        <f>VLOOKUP(E34,LevelData,2)</f>
        <v>18</v>
      </c>
      <c r="S34" s="5">
        <f t="shared" si="3"/>
        <v>18</v>
      </c>
      <c r="T34" s="4" t="s">
        <v>117</v>
      </c>
      <c r="U34" s="3">
        <v>31.0</v>
      </c>
      <c r="V34" s="4">
        <f>INT(12+(E34/2))-VLOOKUP(M34,Size,2,0)</f>
        <v>30</v>
      </c>
      <c r="W34" s="3">
        <f t="shared" si="6"/>
        <v>26</v>
      </c>
      <c r="X34" s="4"/>
      <c r="Y34" s="3">
        <v>11.0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3">
        <f t="shared" si="4"/>
        <v>34</v>
      </c>
      <c r="B35" s="4"/>
      <c r="C35" s="3">
        <v>651.0</v>
      </c>
      <c r="D35" s="4">
        <f t="shared" si="5"/>
        <v>43</v>
      </c>
      <c r="E35" s="3">
        <v>33.0</v>
      </c>
      <c r="F35" s="3">
        <f t="shared" si="1"/>
        <v>10</v>
      </c>
      <c r="G35" s="4">
        <v>1.0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 t="s">
        <v>58</v>
      </c>
      <c r="N35" s="5">
        <f>(E35-1)+VLOOKUP(M35,Size,2,0)</f>
        <v>30</v>
      </c>
      <c r="O35" s="5">
        <f>VLOOKUP(E35,LevelData,4)</f>
        <v>33</v>
      </c>
      <c r="P35" s="5">
        <f>O35+VLOOKUP(M35,Size,3,0)</f>
        <v>31</v>
      </c>
      <c r="Q35" s="5">
        <f t="shared" si="2"/>
        <v>18</v>
      </c>
      <c r="R35" s="5">
        <f>VLOOKUP(E35,LevelData,2)</f>
        <v>18</v>
      </c>
      <c r="S35" s="5">
        <f t="shared" si="3"/>
        <v>18</v>
      </c>
      <c r="T35" s="4" t="s">
        <v>118</v>
      </c>
      <c r="U35" s="3">
        <v>32.0</v>
      </c>
      <c r="V35" s="4">
        <f>INT(12+(E35/2))-VLOOKUP(M35,Size,2,0)</f>
        <v>30</v>
      </c>
      <c r="W35" s="3">
        <f t="shared" si="6"/>
        <v>26</v>
      </c>
      <c r="X35" s="4"/>
      <c r="Y35" s="3">
        <v>12.0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7">
        <f t="shared" si="4"/>
        <v>35</v>
      </c>
      <c r="B36" s="8"/>
      <c r="C36" s="7">
        <v>701.0</v>
      </c>
      <c r="D36" s="8">
        <f t="shared" si="5"/>
        <v>44</v>
      </c>
      <c r="E36" s="7">
        <v>33.0</v>
      </c>
      <c r="F36" s="7">
        <f t="shared" si="1"/>
        <v>11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  <c r="L36" s="8">
        <v>0.0</v>
      </c>
      <c r="M36" s="8" t="s">
        <v>58</v>
      </c>
      <c r="N36" s="9">
        <f>(E36-1)+VLOOKUP(M36,Size,2,0)</f>
        <v>30</v>
      </c>
      <c r="O36" s="9">
        <f>VLOOKUP(E36,LevelData,4)</f>
        <v>33</v>
      </c>
      <c r="P36" s="9">
        <f>O36+VLOOKUP(M36,Size,3,0)</f>
        <v>31</v>
      </c>
      <c r="Q36" s="9">
        <f t="shared" si="2"/>
        <v>18</v>
      </c>
      <c r="R36" s="9">
        <f>VLOOKUP(E36,LevelData,2)</f>
        <v>18</v>
      </c>
      <c r="S36" s="9">
        <f t="shared" si="3"/>
        <v>18</v>
      </c>
      <c r="T36" s="8" t="s">
        <v>118</v>
      </c>
      <c r="U36" s="7">
        <v>32.0</v>
      </c>
      <c r="V36" s="8">
        <f>INT(12+(E36/2))-VLOOKUP(M36,Size,2,0)</f>
        <v>30</v>
      </c>
      <c r="W36" s="7">
        <f t="shared" si="6"/>
        <v>26</v>
      </c>
      <c r="X36" s="8"/>
      <c r="Y36" s="7">
        <v>12.0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12.75" customHeight="1">
      <c r="A37" s="10">
        <f t="shared" si="4"/>
        <v>36</v>
      </c>
      <c r="B37" s="11" t="s">
        <v>71</v>
      </c>
      <c r="C37" s="10">
        <v>751.0</v>
      </c>
      <c r="D37" s="11">
        <f t="shared" si="5"/>
        <v>45</v>
      </c>
      <c r="E37" s="10">
        <v>34.0</v>
      </c>
      <c r="F37" s="10">
        <f t="shared" si="1"/>
        <v>11</v>
      </c>
      <c r="G37" s="11">
        <v>1.0</v>
      </c>
      <c r="H37" s="11">
        <v>0.0</v>
      </c>
      <c r="I37" s="11">
        <v>1.0</v>
      </c>
      <c r="J37" s="11">
        <v>1.0</v>
      </c>
      <c r="K37" s="11">
        <v>1.0</v>
      </c>
      <c r="L37" s="11">
        <v>1.0</v>
      </c>
      <c r="M37" s="11" t="s">
        <v>77</v>
      </c>
      <c r="N37" s="12">
        <f>(E37-1)+VLOOKUP(M37,Size,2,0)</f>
        <v>29</v>
      </c>
      <c r="O37" s="12">
        <f>VLOOKUP(E37,LevelData,4)</f>
        <v>34</v>
      </c>
      <c r="P37" s="12">
        <f>O37+VLOOKUP(M37,Size,3,0)</f>
        <v>30</v>
      </c>
      <c r="Q37" s="12">
        <f t="shared" si="2"/>
        <v>19</v>
      </c>
      <c r="R37" s="12">
        <f>VLOOKUP(E37,LevelData,2)</f>
        <v>19</v>
      </c>
      <c r="S37" s="12">
        <f t="shared" si="3"/>
        <v>19</v>
      </c>
      <c r="T37" s="11" t="s">
        <v>119</v>
      </c>
      <c r="U37" s="10">
        <v>33.0</v>
      </c>
      <c r="V37" s="11">
        <f>INT(10+(E37/2))-VLOOKUP(M37,Size,2,0)</f>
        <v>31</v>
      </c>
      <c r="W37" s="10">
        <f t="shared" si="6"/>
        <v>27</v>
      </c>
      <c r="X37" s="11" t="s">
        <v>120</v>
      </c>
      <c r="Y37" s="10">
        <v>13.0</v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12.75" customHeight="1">
      <c r="A38" s="10">
        <f t="shared" si="4"/>
        <v>37</v>
      </c>
      <c r="B38" s="11"/>
      <c r="C38" s="10">
        <v>801.0</v>
      </c>
      <c r="D38" s="11">
        <f t="shared" si="5"/>
        <v>46</v>
      </c>
      <c r="E38" s="10">
        <v>35.0</v>
      </c>
      <c r="F38" s="10">
        <f t="shared" si="1"/>
        <v>11</v>
      </c>
      <c r="G38" s="11">
        <v>0.0</v>
      </c>
      <c r="H38" s="11">
        <v>0.0</v>
      </c>
      <c r="I38" s="11">
        <v>0.0</v>
      </c>
      <c r="J38" s="11">
        <v>0.0</v>
      </c>
      <c r="K38" s="11">
        <v>0.0</v>
      </c>
      <c r="L38" s="11">
        <v>0.0</v>
      </c>
      <c r="M38" s="11" t="s">
        <v>77</v>
      </c>
      <c r="N38" s="12">
        <f>(E38-1)+VLOOKUP(M38,Size,2,0)</f>
        <v>30</v>
      </c>
      <c r="O38" s="12">
        <f>VLOOKUP(E38,LevelData,4)</f>
        <v>35</v>
      </c>
      <c r="P38" s="12">
        <f>O38+VLOOKUP(M38,Size,3,0)</f>
        <v>31</v>
      </c>
      <c r="Q38" s="12">
        <f t="shared" si="2"/>
        <v>19</v>
      </c>
      <c r="R38" s="12">
        <f>VLOOKUP(E38,LevelData,2)</f>
        <v>19</v>
      </c>
      <c r="S38" s="12">
        <f t="shared" si="3"/>
        <v>19</v>
      </c>
      <c r="T38" s="11" t="s">
        <v>119</v>
      </c>
      <c r="U38" s="10">
        <v>33.0</v>
      </c>
      <c r="V38" s="11">
        <f>INT(10+(E38/2))-VLOOKUP(M38,Size,2,0)</f>
        <v>31</v>
      </c>
      <c r="W38" s="10">
        <f t="shared" si="6"/>
        <v>27</v>
      </c>
      <c r="X38" s="11"/>
      <c r="Y38" s="10">
        <v>13.0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2.75" customHeight="1">
      <c r="A39" s="10">
        <f t="shared" si="4"/>
        <v>38</v>
      </c>
      <c r="B39" s="11"/>
      <c r="C39" s="10">
        <v>851.0</v>
      </c>
      <c r="D39" s="11">
        <f t="shared" si="5"/>
        <v>47</v>
      </c>
      <c r="E39" s="10">
        <v>36.0</v>
      </c>
      <c r="F39" s="10">
        <f t="shared" si="1"/>
        <v>11</v>
      </c>
      <c r="G39" s="11">
        <v>1.0</v>
      </c>
      <c r="H39" s="11">
        <v>0.0</v>
      </c>
      <c r="I39" s="11">
        <v>1.0</v>
      </c>
      <c r="J39" s="11">
        <v>0.0</v>
      </c>
      <c r="K39" s="11">
        <v>0.0</v>
      </c>
      <c r="L39" s="11">
        <v>0.0</v>
      </c>
      <c r="M39" s="11" t="s">
        <v>77</v>
      </c>
      <c r="N39" s="12">
        <f>(E39-1)+VLOOKUP(M39,Size,2,0)</f>
        <v>31</v>
      </c>
      <c r="O39" s="12">
        <f>VLOOKUP(E39,LevelData,4)</f>
        <v>36</v>
      </c>
      <c r="P39" s="12">
        <f>O39+VLOOKUP(M39,Size,3,0)</f>
        <v>32</v>
      </c>
      <c r="Q39" s="12">
        <f t="shared" si="2"/>
        <v>20</v>
      </c>
      <c r="R39" s="12">
        <f>VLOOKUP(E39,LevelData,2)</f>
        <v>20</v>
      </c>
      <c r="S39" s="12">
        <f t="shared" si="3"/>
        <v>20</v>
      </c>
      <c r="T39" s="11" t="s">
        <v>121</v>
      </c>
      <c r="U39" s="10">
        <v>34.0</v>
      </c>
      <c r="V39" s="11">
        <f>INT(10+(E39/2))-VLOOKUP(M39,Size,2,0)</f>
        <v>32</v>
      </c>
      <c r="W39" s="10">
        <f t="shared" si="6"/>
        <v>28</v>
      </c>
      <c r="X39" s="11"/>
      <c r="Y39" s="10">
        <v>14.0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12.75" customHeight="1">
      <c r="A40" s="1">
        <f t="shared" si="4"/>
        <v>39</v>
      </c>
      <c r="B40" s="2"/>
      <c r="C40" s="1">
        <v>901.0</v>
      </c>
      <c r="D40" s="2">
        <f t="shared" si="5"/>
        <v>48</v>
      </c>
      <c r="E40" s="1">
        <v>36.0</v>
      </c>
      <c r="F40" s="1">
        <f t="shared" si="1"/>
        <v>12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 t="s">
        <v>77</v>
      </c>
      <c r="N40" s="13">
        <f>(E40-1)+VLOOKUP(M40,Size,2,0)</f>
        <v>31</v>
      </c>
      <c r="O40" s="13">
        <f>VLOOKUP(E40,LevelData,4)</f>
        <v>36</v>
      </c>
      <c r="P40" s="13">
        <f>O40+VLOOKUP(M40,Size,3,0)</f>
        <v>32</v>
      </c>
      <c r="Q40" s="13">
        <f t="shared" si="2"/>
        <v>20</v>
      </c>
      <c r="R40" s="13">
        <f>VLOOKUP(E40,LevelData,2)</f>
        <v>20</v>
      </c>
      <c r="S40" s="13">
        <f t="shared" si="3"/>
        <v>20</v>
      </c>
      <c r="T40" s="2" t="s">
        <v>121</v>
      </c>
      <c r="U40" s="1">
        <v>35.0</v>
      </c>
      <c r="V40" s="2">
        <f>INT(10+(E40/2))-VLOOKUP(M40,Size,2,0)</f>
        <v>32</v>
      </c>
      <c r="W40" s="1">
        <f t="shared" si="6"/>
        <v>28</v>
      </c>
      <c r="X40" s="2"/>
      <c r="Y40" s="1">
        <v>14.0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2.75" customHeight="1">
      <c r="A41" s="3">
        <f t="shared" si="4"/>
        <v>40</v>
      </c>
      <c r="B41" s="4" t="s">
        <v>76</v>
      </c>
      <c r="C41" s="3">
        <v>851.0</v>
      </c>
      <c r="D41" s="4">
        <f t="shared" si="5"/>
        <v>49</v>
      </c>
      <c r="E41" s="3">
        <v>37.0</v>
      </c>
      <c r="F41" s="3">
        <f t="shared" si="1"/>
        <v>12</v>
      </c>
      <c r="G41" s="4">
        <v>1.0</v>
      </c>
      <c r="H41" s="4">
        <v>0.0</v>
      </c>
      <c r="I41" s="4">
        <v>1.0</v>
      </c>
      <c r="J41" s="4">
        <v>0.0</v>
      </c>
      <c r="K41" s="4">
        <v>0.0</v>
      </c>
      <c r="L41" s="4">
        <v>0.0</v>
      </c>
      <c r="M41" s="4" t="s">
        <v>77</v>
      </c>
      <c r="N41" s="5">
        <f>(E41-1)+VLOOKUP(M41,Size,2,0)</f>
        <v>32</v>
      </c>
      <c r="O41" s="5">
        <f>VLOOKUP(E41,LevelData,4)</f>
        <v>37</v>
      </c>
      <c r="P41" s="5">
        <f>O41+VLOOKUP(M41,Size,3,0)</f>
        <v>33</v>
      </c>
      <c r="Q41" s="5">
        <f t="shared" si="2"/>
        <v>20</v>
      </c>
      <c r="R41" s="5">
        <f>VLOOKUP(E41,LevelData,2)</f>
        <v>20</v>
      </c>
      <c r="S41" s="5">
        <f t="shared" si="3"/>
        <v>20</v>
      </c>
      <c r="T41" s="4" t="s">
        <v>122</v>
      </c>
      <c r="U41" s="3">
        <v>36.0</v>
      </c>
      <c r="V41" s="4">
        <f>INT(11+(E41/2))-VLOOKUP(M41,Size,2,0)</f>
        <v>33</v>
      </c>
      <c r="W41" s="3">
        <f t="shared" si="6"/>
        <v>28</v>
      </c>
      <c r="X41" s="4" t="s">
        <v>79</v>
      </c>
      <c r="Y41" s="3">
        <v>15.0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2.75" customHeight="1">
      <c r="A42" s="3">
        <f t="shared" si="4"/>
        <v>41</v>
      </c>
      <c r="B42" s="4"/>
      <c r="C42" s="3">
        <v>1001.0</v>
      </c>
      <c r="D42" s="4">
        <f t="shared" si="5"/>
        <v>50</v>
      </c>
      <c r="E42" s="3">
        <v>38.0</v>
      </c>
      <c r="F42" s="3">
        <f t="shared" si="1"/>
        <v>12</v>
      </c>
      <c r="G42" s="4">
        <v>0.0</v>
      </c>
      <c r="H42" s="4">
        <v>0.0</v>
      </c>
      <c r="I42" s="4">
        <v>0.0</v>
      </c>
      <c r="J42" s="4">
        <v>1.0</v>
      </c>
      <c r="K42" s="4">
        <v>1.0</v>
      </c>
      <c r="L42" s="4">
        <v>1.0</v>
      </c>
      <c r="M42" s="4" t="s">
        <v>77</v>
      </c>
      <c r="N42" s="5">
        <f>(E42-1)+VLOOKUP(M42,Size,2,0)</f>
        <v>33</v>
      </c>
      <c r="O42" s="5">
        <f>VLOOKUP(E42,LevelData,4)</f>
        <v>38</v>
      </c>
      <c r="P42" s="5">
        <f>O42+VLOOKUP(M42,Size,3,0)</f>
        <v>34</v>
      </c>
      <c r="Q42" s="5">
        <f t="shared" si="2"/>
        <v>21</v>
      </c>
      <c r="R42" s="5">
        <f>VLOOKUP(E42,LevelData,2)</f>
        <v>21</v>
      </c>
      <c r="S42" s="5">
        <f t="shared" si="3"/>
        <v>21</v>
      </c>
      <c r="T42" s="4" t="s">
        <v>122</v>
      </c>
      <c r="U42" s="3">
        <v>36.0</v>
      </c>
      <c r="V42" s="4">
        <f>INT(11+(E42/2))-VLOOKUP(M42,Size,2,0)</f>
        <v>34</v>
      </c>
      <c r="W42" s="3">
        <f t="shared" si="6"/>
        <v>29</v>
      </c>
      <c r="X42" s="4"/>
      <c r="Y42" s="3">
        <v>15.0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3">
        <f t="shared" si="4"/>
        <v>42</v>
      </c>
      <c r="B43" s="4"/>
      <c r="C43" s="3">
        <v>1051.0</v>
      </c>
      <c r="D43" s="4">
        <f t="shared" si="5"/>
        <v>51</v>
      </c>
      <c r="E43" s="3">
        <v>39.0</v>
      </c>
      <c r="F43" s="3">
        <f t="shared" si="1"/>
        <v>12</v>
      </c>
      <c r="G43" s="4">
        <v>1.0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 t="s">
        <v>77</v>
      </c>
      <c r="N43" s="5">
        <f>(E43-1)+VLOOKUP(M43,Size,2,0)</f>
        <v>34</v>
      </c>
      <c r="O43" s="5">
        <f>VLOOKUP(E43,LevelData,4)</f>
        <v>39</v>
      </c>
      <c r="P43" s="5">
        <f>O43+VLOOKUP(M43,Size,3,0)</f>
        <v>35</v>
      </c>
      <c r="Q43" s="5">
        <f t="shared" si="2"/>
        <v>21</v>
      </c>
      <c r="R43" s="5">
        <f>VLOOKUP(E43,LevelData,2)</f>
        <v>21</v>
      </c>
      <c r="S43" s="5">
        <f t="shared" si="3"/>
        <v>21</v>
      </c>
      <c r="T43" s="4" t="s">
        <v>123</v>
      </c>
      <c r="U43" s="3">
        <v>36.0</v>
      </c>
      <c r="V43" s="4">
        <f>INT(11+(E43/2))-VLOOKUP(M43,Size,2,0)</f>
        <v>34</v>
      </c>
      <c r="W43" s="3">
        <f t="shared" si="6"/>
        <v>29</v>
      </c>
      <c r="X43" s="4"/>
      <c r="Y43" s="3">
        <v>16.0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7">
        <f t="shared" si="4"/>
        <v>43</v>
      </c>
      <c r="B44" s="8"/>
      <c r="C44" s="7">
        <v>1101.0</v>
      </c>
      <c r="D44" s="8">
        <f t="shared" si="5"/>
        <v>52</v>
      </c>
      <c r="E44" s="7">
        <v>39.0</v>
      </c>
      <c r="F44" s="7">
        <f t="shared" si="1"/>
        <v>13</v>
      </c>
      <c r="G44" s="8">
        <v>0.0</v>
      </c>
      <c r="H44" s="8">
        <v>0.0</v>
      </c>
      <c r="I44" s="8">
        <v>0.0</v>
      </c>
      <c r="J44" s="8">
        <v>0.0</v>
      </c>
      <c r="K44" s="8">
        <v>0.0</v>
      </c>
      <c r="L44" s="8">
        <v>0.0</v>
      </c>
      <c r="M44" s="8" t="s">
        <v>77</v>
      </c>
      <c r="N44" s="9">
        <f>(E44-1)+VLOOKUP(M44,Size,2,0)</f>
        <v>34</v>
      </c>
      <c r="O44" s="9">
        <f>VLOOKUP(E44,LevelData,4)</f>
        <v>39</v>
      </c>
      <c r="P44" s="9">
        <f>O44+VLOOKUP(M44,Size,3,0)</f>
        <v>35</v>
      </c>
      <c r="Q44" s="9">
        <f t="shared" si="2"/>
        <v>21</v>
      </c>
      <c r="R44" s="9">
        <f>VLOOKUP(E44,LevelData,2)</f>
        <v>21</v>
      </c>
      <c r="S44" s="9">
        <f t="shared" si="3"/>
        <v>21</v>
      </c>
      <c r="T44" s="8" t="s">
        <v>123</v>
      </c>
      <c r="U44" s="7">
        <v>36.0</v>
      </c>
      <c r="V44" s="8">
        <f>INT(11+(E44/2))-VLOOKUP(M44,Size,2,0)</f>
        <v>34</v>
      </c>
      <c r="W44" s="7">
        <f t="shared" ref="W44:W49" si="7">INT((E44/2)+11)</f>
        <v>30</v>
      </c>
      <c r="X44" s="8"/>
      <c r="Y44" s="7">
        <v>16.0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ht="12.75" customHeight="1">
      <c r="A45" s="10">
        <f t="shared" si="4"/>
        <v>44</v>
      </c>
      <c r="B45" s="11" t="s">
        <v>81</v>
      </c>
      <c r="C45" s="10">
        <v>1151.0</v>
      </c>
      <c r="D45" s="11">
        <f t="shared" si="5"/>
        <v>53</v>
      </c>
      <c r="E45" s="10">
        <v>40.0</v>
      </c>
      <c r="F45" s="10">
        <f t="shared" si="1"/>
        <v>13</v>
      </c>
      <c r="G45" s="11">
        <v>1.0</v>
      </c>
      <c r="H45" s="11">
        <v>0.0</v>
      </c>
      <c r="I45" s="11">
        <v>0.0</v>
      </c>
      <c r="J45" s="11">
        <v>1.0</v>
      </c>
      <c r="K45" s="11">
        <v>1.0</v>
      </c>
      <c r="L45" s="11">
        <v>1.0</v>
      </c>
      <c r="M45" s="11" t="s">
        <v>77</v>
      </c>
      <c r="N45" s="12">
        <f>(E45-1)+VLOOKUP(M45,Size,2,0)</f>
        <v>35</v>
      </c>
      <c r="O45" s="12">
        <f>VLOOKUP(E45,LevelData,4)</f>
        <v>40</v>
      </c>
      <c r="P45" s="12">
        <f>O45+VLOOKUP(M45,Size,3,0)</f>
        <v>36</v>
      </c>
      <c r="Q45" s="12">
        <f t="shared" si="2"/>
        <v>22</v>
      </c>
      <c r="R45" s="12">
        <f>VLOOKUP(E45,LevelData,2)</f>
        <v>22</v>
      </c>
      <c r="S45" s="12">
        <f t="shared" si="3"/>
        <v>22</v>
      </c>
      <c r="T45" s="11" t="s">
        <v>124</v>
      </c>
      <c r="U45" s="10">
        <v>37.0</v>
      </c>
      <c r="V45" s="11">
        <f>INT(11+(E45/2))-VLOOKUP(M45,Size,2,0)</f>
        <v>35</v>
      </c>
      <c r="W45" s="10">
        <f t="shared" si="7"/>
        <v>31</v>
      </c>
      <c r="X45" s="11" t="s">
        <v>125</v>
      </c>
      <c r="Y45" s="10">
        <v>17.0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12.75" customHeight="1">
      <c r="A46" s="10">
        <f t="shared" si="4"/>
        <v>45</v>
      </c>
      <c r="B46" s="11"/>
      <c r="C46" s="10">
        <v>1201.0</v>
      </c>
      <c r="D46" s="11">
        <f t="shared" si="5"/>
        <v>54</v>
      </c>
      <c r="E46" s="10">
        <v>41.0</v>
      </c>
      <c r="F46" s="10">
        <f t="shared" si="1"/>
        <v>13</v>
      </c>
      <c r="G46" s="11">
        <v>0.0</v>
      </c>
      <c r="H46" s="11">
        <v>0.0</v>
      </c>
      <c r="I46" s="11">
        <v>1.0</v>
      </c>
      <c r="J46" s="11">
        <v>0.0</v>
      </c>
      <c r="K46" s="11">
        <v>0.0</v>
      </c>
      <c r="L46" s="11">
        <v>0.0</v>
      </c>
      <c r="M46" s="11" t="s">
        <v>77</v>
      </c>
      <c r="N46" s="12">
        <f>(E46-1)+VLOOKUP(M46,Size,2,0)</f>
        <v>36</v>
      </c>
      <c r="O46" s="12">
        <f>VLOOKUP(E46,LevelData,4)</f>
        <v>41</v>
      </c>
      <c r="P46" s="12">
        <f>O46+VLOOKUP(M46,Size,3,0)</f>
        <v>37</v>
      </c>
      <c r="Q46" s="12">
        <f t="shared" si="2"/>
        <v>22</v>
      </c>
      <c r="R46" s="12">
        <f>VLOOKUP(E46,LevelData,2)</f>
        <v>22</v>
      </c>
      <c r="S46" s="12">
        <f t="shared" si="3"/>
        <v>22</v>
      </c>
      <c r="T46" s="11" t="s">
        <v>124</v>
      </c>
      <c r="U46" s="10">
        <v>37.0</v>
      </c>
      <c r="V46" s="11">
        <f>INT(11+(E46/2))-VLOOKUP(M46,Size,2,0)</f>
        <v>35</v>
      </c>
      <c r="W46" s="10">
        <f t="shared" si="7"/>
        <v>31</v>
      </c>
      <c r="X46" s="11" t="s">
        <v>126</v>
      </c>
      <c r="Y46" s="10">
        <v>17.0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2.75" customHeight="1">
      <c r="A47" s="10">
        <f t="shared" si="4"/>
        <v>46</v>
      </c>
      <c r="B47" s="11"/>
      <c r="C47" s="10" t="s">
        <v>84</v>
      </c>
      <c r="D47" s="11">
        <f t="shared" si="5"/>
        <v>55</v>
      </c>
      <c r="E47" s="10">
        <v>42.0</v>
      </c>
      <c r="F47" s="10">
        <f t="shared" si="1"/>
        <v>13</v>
      </c>
      <c r="G47" s="11">
        <v>1.0</v>
      </c>
      <c r="H47" s="11">
        <v>0.0</v>
      </c>
      <c r="I47" s="11">
        <v>0.0</v>
      </c>
      <c r="J47" s="11">
        <v>0.0</v>
      </c>
      <c r="K47" s="11">
        <v>0.0</v>
      </c>
      <c r="L47" s="11">
        <v>0.0</v>
      </c>
      <c r="M47" s="11" t="s">
        <v>77</v>
      </c>
      <c r="N47" s="12">
        <f>(E47-1)+VLOOKUP(M47,Size,2,0)</f>
        <v>37</v>
      </c>
      <c r="O47" s="12">
        <f>VLOOKUP(E47,LevelData,4)</f>
        <v>42</v>
      </c>
      <c r="P47" s="12">
        <f>O47+VLOOKUP(M47,Size,3,0)</f>
        <v>38</v>
      </c>
      <c r="Q47" s="12">
        <f t="shared" si="2"/>
        <v>23</v>
      </c>
      <c r="R47" s="12">
        <f>VLOOKUP(E47,LevelData,2)</f>
        <v>23</v>
      </c>
      <c r="S47" s="12">
        <f t="shared" si="3"/>
        <v>23</v>
      </c>
      <c r="T47" s="11" t="s">
        <v>127</v>
      </c>
      <c r="U47" s="10">
        <v>37.0</v>
      </c>
      <c r="V47" s="11">
        <f>INT(11+(E47/2))-VLOOKUP(M47,Size,2,0)</f>
        <v>36</v>
      </c>
      <c r="W47" s="10">
        <f t="shared" si="7"/>
        <v>32</v>
      </c>
      <c r="X47" s="11"/>
      <c r="Y47" s="10">
        <v>18.0</v>
      </c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12.75" customHeight="1">
      <c r="A48" s="1">
        <f t="shared" si="4"/>
        <v>47</v>
      </c>
      <c r="B48" s="2"/>
      <c r="C48" s="1" t="s">
        <v>86</v>
      </c>
      <c r="D48" s="2">
        <f t="shared" si="5"/>
        <v>56</v>
      </c>
      <c r="E48" s="1">
        <v>42.0</v>
      </c>
      <c r="F48" s="1">
        <f t="shared" si="1"/>
        <v>14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 t="s">
        <v>77</v>
      </c>
      <c r="N48" s="13">
        <f>(E48-1)+VLOOKUP(M48,Size,2,0)</f>
        <v>37</v>
      </c>
      <c r="O48" s="13">
        <f>VLOOKUP(E48,LevelData,4)</f>
        <v>42</v>
      </c>
      <c r="P48" s="13">
        <f>O48+VLOOKUP(M48,Size,3,0)</f>
        <v>38</v>
      </c>
      <c r="Q48" s="13">
        <f t="shared" si="2"/>
        <v>23</v>
      </c>
      <c r="R48" s="13">
        <f>VLOOKUP(E48,LevelData,2)</f>
        <v>23</v>
      </c>
      <c r="S48" s="13">
        <f t="shared" si="3"/>
        <v>23</v>
      </c>
      <c r="T48" s="2" t="s">
        <v>127</v>
      </c>
      <c r="U48" s="1">
        <v>37.0</v>
      </c>
      <c r="V48" s="2">
        <f>INT(11+(E48/2))-VLOOKUP(M48,Size,2,0)</f>
        <v>36</v>
      </c>
      <c r="W48" s="1">
        <f t="shared" si="7"/>
        <v>32</v>
      </c>
      <c r="X48" s="2"/>
      <c r="Y48" s="1">
        <v>18.0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2.75" customHeight="1">
      <c r="A49" s="3">
        <f t="shared" si="4"/>
        <v>48</v>
      </c>
      <c r="B49" s="4" t="s">
        <v>89</v>
      </c>
      <c r="C49" s="3" t="s">
        <v>88</v>
      </c>
      <c r="D49" s="4">
        <f t="shared" si="5"/>
        <v>57</v>
      </c>
      <c r="E49" s="3">
        <v>43.0</v>
      </c>
      <c r="F49" s="3">
        <f t="shared" si="1"/>
        <v>14</v>
      </c>
      <c r="G49" s="4">
        <v>1.0</v>
      </c>
      <c r="H49" s="4">
        <v>0.0</v>
      </c>
      <c r="I49" s="4">
        <v>1.0</v>
      </c>
      <c r="J49" s="4">
        <v>1.0</v>
      </c>
      <c r="K49" s="4">
        <v>1.0</v>
      </c>
      <c r="L49" s="4">
        <v>1.0</v>
      </c>
      <c r="M49" s="4" t="s">
        <v>77</v>
      </c>
      <c r="N49" s="5">
        <f>(E49-1)+VLOOKUP(M49,Size,2,0)</f>
        <v>38</v>
      </c>
      <c r="O49" s="5">
        <f>VLOOKUP(E49,LevelData,4)</f>
        <v>43</v>
      </c>
      <c r="P49" s="5">
        <f>O49+VLOOKUP(M49,Size,3,0)</f>
        <v>39</v>
      </c>
      <c r="Q49" s="5">
        <f t="shared" si="2"/>
        <v>23</v>
      </c>
      <c r="R49" s="5">
        <f>VLOOKUP(E49,LevelData,2)</f>
        <v>23</v>
      </c>
      <c r="S49" s="5">
        <f t="shared" si="3"/>
        <v>23</v>
      </c>
      <c r="T49" s="4" t="s">
        <v>128</v>
      </c>
      <c r="U49" s="3">
        <v>38.0</v>
      </c>
      <c r="V49" s="4">
        <f>INT(12+(E49/2))-VLOOKUP(M49,Size,2,0)</f>
        <v>37</v>
      </c>
      <c r="W49" s="3">
        <f t="shared" si="7"/>
        <v>32</v>
      </c>
      <c r="X49" s="4"/>
      <c r="Y49" s="3">
        <v>19.0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12.75" customHeight="1">
      <c r="A50" s="10"/>
      <c r="B50" s="11"/>
      <c r="C50" s="10"/>
      <c r="D50" s="11"/>
      <c r="E50" s="10"/>
      <c r="F50" s="10"/>
      <c r="G50" s="11"/>
      <c r="H50" s="11"/>
      <c r="I50" s="11"/>
      <c r="J50" s="11"/>
      <c r="K50" s="11"/>
      <c r="L50" s="11"/>
      <c r="M50" s="14" t="str">
        <f>HYPERLINK("http://www.geocities.com/galliard6/dragons_sheet.html","Back")</f>
        <v>Back</v>
      </c>
      <c r="N50" s="11"/>
      <c r="O50" s="11"/>
      <c r="P50" s="11"/>
      <c r="Q50" s="11"/>
      <c r="R50" s="11"/>
      <c r="S50" s="11"/>
      <c r="T50" s="11"/>
      <c r="U50" s="10"/>
      <c r="V50" s="11"/>
      <c r="W50" s="10"/>
      <c r="X50" s="11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12.75" customHeight="1">
      <c r="A51" s="10"/>
      <c r="B51" s="11"/>
      <c r="C51" s="10"/>
      <c r="D51" s="11"/>
      <c r="E51" s="10"/>
      <c r="F51" s="1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0"/>
      <c r="V51" s="11"/>
      <c r="W51" s="10"/>
      <c r="X51" s="1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2.75" customHeight="1">
      <c r="A52" s="10"/>
      <c r="B52" s="11"/>
      <c r="C52" s="10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/>
      <c r="V52" s="11"/>
      <c r="W52" s="10"/>
      <c r="X52" s="1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2.75" customHeight="1">
      <c r="A53" s="10"/>
      <c r="B53" s="11"/>
      <c r="C53" s="10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/>
      <c r="V53" s="11"/>
      <c r="W53" s="10"/>
      <c r="X53" s="11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2.75" customHeight="1">
      <c r="A54" s="10"/>
      <c r="B54" s="11"/>
      <c r="C54" s="10"/>
      <c r="D54" s="11"/>
      <c r="E54" s="10"/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1"/>
      <c r="W54" s="10"/>
      <c r="X54" s="11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2.75" customHeight="1">
      <c r="A55" s="10"/>
      <c r="B55" s="11"/>
      <c r="C55" s="10"/>
      <c r="D55" s="11"/>
      <c r="E55" s="10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/>
      <c r="V55" s="11"/>
      <c r="W55" s="10"/>
      <c r="X55" s="11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2.75" customHeight="1">
      <c r="A56" s="10"/>
      <c r="B56" s="11"/>
      <c r="C56" s="10"/>
      <c r="D56" s="11"/>
      <c r="E56" s="10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/>
      <c r="V56" s="11"/>
      <c r="W56" s="10"/>
      <c r="X56" s="11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2.75" customHeight="1">
      <c r="A57" s="10"/>
      <c r="B57" s="11"/>
      <c r="C57" s="10"/>
      <c r="D57" s="11"/>
      <c r="E57" s="10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/>
      <c r="V57" s="11"/>
      <c r="W57" s="10"/>
      <c r="X57" s="11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2.75" customHeight="1">
      <c r="A58" s="10"/>
      <c r="B58" s="11"/>
      <c r="C58" s="10"/>
      <c r="D58" s="11"/>
      <c r="E58" s="10"/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/>
      <c r="V58" s="11"/>
      <c r="W58" s="10"/>
      <c r="X58" s="11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2.75" customHeight="1">
      <c r="A59" s="10"/>
      <c r="B59" s="11"/>
      <c r="C59" s="10"/>
      <c r="D59" s="11"/>
      <c r="E59" s="10"/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/>
      <c r="V59" s="11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2.75" customHeight="1">
      <c r="A60" s="10"/>
      <c r="B60" s="11"/>
      <c r="C60" s="10"/>
      <c r="D60" s="11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/>
      <c r="V60" s="11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2.75" customHeight="1">
      <c r="A61" s="10"/>
      <c r="B61" s="11"/>
      <c r="C61" s="10"/>
      <c r="D61" s="11"/>
      <c r="E61" s="10"/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/>
      <c r="V61" s="11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2.75" customHeight="1">
      <c r="A62" s="10"/>
      <c r="B62" s="11"/>
      <c r="C62" s="10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/>
      <c r="V62" s="11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2.75" customHeight="1">
      <c r="A63" s="10"/>
      <c r="B63" s="11"/>
      <c r="C63" s="10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2.75" customHeight="1">
      <c r="A64" s="10"/>
      <c r="B64" s="11"/>
      <c r="C64" s="10"/>
      <c r="D64" s="11"/>
      <c r="E64" s="10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2.75" customHeight="1">
      <c r="A65" s="10"/>
      <c r="B65" s="11"/>
      <c r="C65" s="10"/>
      <c r="D65" s="11"/>
      <c r="E65" s="10"/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2.75" customHeight="1">
      <c r="A66" s="10"/>
      <c r="B66" s="11"/>
      <c r="C66" s="10"/>
      <c r="D66" s="11"/>
      <c r="E66" s="10"/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2.75" customHeight="1">
      <c r="A67" s="10"/>
      <c r="B67" s="11"/>
      <c r="C67" s="10"/>
      <c r="D67" s="11"/>
      <c r="E67" s="10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2.75" customHeight="1">
      <c r="A68" s="10"/>
      <c r="B68" s="11"/>
      <c r="C68" s="10"/>
      <c r="D68" s="11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2.75" customHeight="1">
      <c r="A69" s="10"/>
      <c r="B69" s="11"/>
      <c r="C69" s="10"/>
      <c r="D69" s="11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2.75" customHeight="1">
      <c r="A70" s="10"/>
      <c r="B70" s="11"/>
      <c r="C70" s="10"/>
      <c r="D70" s="11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2.75" customHeight="1">
      <c r="A71" s="10"/>
      <c r="B71" s="11"/>
      <c r="C71" s="10"/>
      <c r="D71" s="11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2.75" customHeight="1">
      <c r="A72" s="10"/>
      <c r="B72" s="11"/>
      <c r="C72" s="10"/>
      <c r="D72" s="11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2.75" customHeight="1">
      <c r="A73" s="10"/>
      <c r="B73" s="11"/>
      <c r="C73" s="10"/>
      <c r="D73" s="11"/>
      <c r="E73" s="10"/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2.75" customHeight="1">
      <c r="A74" s="10"/>
      <c r="B74" s="11"/>
      <c r="C74" s="10"/>
      <c r="D74" s="11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2.75" customHeight="1">
      <c r="A75" s="10"/>
      <c r="B75" s="11"/>
      <c r="C75" s="10"/>
      <c r="D75" s="11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2.75" customHeight="1">
      <c r="A76" s="10"/>
      <c r="B76" s="11"/>
      <c r="C76" s="10"/>
      <c r="D76" s="11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2.75" customHeight="1">
      <c r="A77" s="10"/>
      <c r="B77" s="11"/>
      <c r="C77" s="10"/>
      <c r="D77" s="11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2.75" customHeight="1">
      <c r="A78" s="10"/>
      <c r="B78" s="11"/>
      <c r="C78" s="10"/>
      <c r="D78" s="11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2.75" customHeight="1">
      <c r="A79" s="10"/>
      <c r="B79" s="11"/>
      <c r="C79" s="10"/>
      <c r="D79" s="11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2.75" customHeight="1">
      <c r="A80" s="10"/>
      <c r="B80" s="11"/>
      <c r="C80" s="10"/>
      <c r="D80" s="11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2.75" customHeight="1">
      <c r="A81" s="10"/>
      <c r="B81" s="11"/>
      <c r="C81" s="10"/>
      <c r="D81" s="11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2.75" customHeight="1">
      <c r="A82" s="10"/>
      <c r="B82" s="11"/>
      <c r="C82" s="10"/>
      <c r="D82" s="11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2.75" customHeight="1">
      <c r="A83" s="10"/>
      <c r="B83" s="11"/>
      <c r="C83" s="10"/>
      <c r="D83" s="11"/>
      <c r="E83" s="10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2.75" customHeight="1">
      <c r="A84" s="10"/>
      <c r="B84" s="11"/>
      <c r="C84" s="10"/>
      <c r="D84" s="11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2.75" customHeight="1">
      <c r="A85" s="10"/>
      <c r="B85" s="11"/>
      <c r="C85" s="10"/>
      <c r="D85" s="11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2.75" customHeight="1">
      <c r="A86" s="10"/>
      <c r="B86" s="11"/>
      <c r="C86" s="10"/>
      <c r="D86" s="11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2.75" customHeight="1">
      <c r="A87" s="10"/>
      <c r="B87" s="11"/>
      <c r="C87" s="10"/>
      <c r="D87" s="11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2.75" customHeight="1">
      <c r="A88" s="10"/>
      <c r="B88" s="11"/>
      <c r="C88" s="10"/>
      <c r="D88" s="11"/>
      <c r="E88" s="10"/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2.75" customHeight="1">
      <c r="A89" s="10"/>
      <c r="B89" s="11"/>
      <c r="C89" s="10"/>
      <c r="D89" s="11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2.75" customHeight="1">
      <c r="A90" s="10"/>
      <c r="B90" s="11"/>
      <c r="C90" s="10"/>
      <c r="D90" s="11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2.75" customHeight="1">
      <c r="A91" s="10"/>
      <c r="B91" s="11"/>
      <c r="C91" s="10"/>
      <c r="D91" s="11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2.75" customHeight="1">
      <c r="A92" s="10"/>
      <c r="B92" s="11"/>
      <c r="C92" s="10"/>
      <c r="D92" s="11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2.75" customHeight="1">
      <c r="A93" s="10"/>
      <c r="B93" s="11"/>
      <c r="C93" s="10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2.75" customHeight="1">
      <c r="A94" s="10"/>
      <c r="B94" s="11"/>
      <c r="C94" s="10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2.75" customHeight="1">
      <c r="A95" s="10"/>
      <c r="B95" s="11"/>
      <c r="C95" s="10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2.75" customHeight="1">
      <c r="A96" s="10"/>
      <c r="B96" s="11"/>
      <c r="C96" s="10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2.75" customHeight="1">
      <c r="A97" s="10"/>
      <c r="B97" s="11"/>
      <c r="C97" s="10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2.75" customHeight="1">
      <c r="A98" s="10"/>
      <c r="B98" s="11"/>
      <c r="C98" s="10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2.75" customHeight="1">
      <c r="A99" s="10"/>
      <c r="B99" s="11"/>
      <c r="C99" s="10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2.75" customHeight="1">
      <c r="A100" s="10"/>
      <c r="B100" s="11"/>
      <c r="C100" s="10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2.75" customHeight="1">
      <c r="A101" s="10"/>
      <c r="B101" s="11"/>
      <c r="C101" s="10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2.75" customHeight="1">
      <c r="A102" s="10"/>
      <c r="B102" s="11"/>
      <c r="C102" s="10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2.75" customHeight="1">
      <c r="A103" s="10"/>
      <c r="B103" s="11"/>
      <c r="C103" s="10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2.75" customHeight="1">
      <c r="A104" s="10"/>
      <c r="B104" s="11"/>
      <c r="C104" s="10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2.75" customHeight="1">
      <c r="A105" s="10"/>
      <c r="B105" s="11"/>
      <c r="C105" s="10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2.75" customHeight="1">
      <c r="A106" s="10"/>
      <c r="B106" s="11"/>
      <c r="C106" s="10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2.75" customHeight="1">
      <c r="A107" s="10"/>
      <c r="B107" s="11"/>
      <c r="C107" s="10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2.75" customHeight="1">
      <c r="A108" s="10"/>
      <c r="B108" s="11"/>
      <c r="C108" s="10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2.75" customHeight="1">
      <c r="A109" s="10"/>
      <c r="B109" s="11"/>
      <c r="C109" s="10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2.75" customHeight="1">
      <c r="A110" s="10"/>
      <c r="B110" s="11"/>
      <c r="C110" s="10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2.75" customHeight="1">
      <c r="A111" s="10"/>
      <c r="B111" s="11"/>
      <c r="C111" s="10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2.75" customHeight="1">
      <c r="A112" s="10"/>
      <c r="B112" s="11"/>
      <c r="C112" s="10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2.75" customHeight="1">
      <c r="A113" s="10"/>
      <c r="B113" s="11"/>
      <c r="C113" s="10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2.75" customHeight="1">
      <c r="A114" s="10"/>
      <c r="B114" s="11"/>
      <c r="C114" s="10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2.75" customHeight="1">
      <c r="A115" s="10"/>
      <c r="B115" s="11"/>
      <c r="C115" s="10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2.75" customHeight="1">
      <c r="A116" s="10"/>
      <c r="B116" s="11"/>
      <c r="C116" s="10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2.75" customHeight="1">
      <c r="A117" s="10"/>
      <c r="B117" s="11"/>
      <c r="C117" s="10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2.75" customHeight="1">
      <c r="A118" s="10"/>
      <c r="B118" s="11"/>
      <c r="C118" s="10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2.75" customHeight="1">
      <c r="A119" s="10"/>
      <c r="B119" s="11"/>
      <c r="C119" s="10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2.75" customHeight="1">
      <c r="A120" s="10"/>
      <c r="B120" s="11"/>
      <c r="C120" s="10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2.75" customHeight="1">
      <c r="A121" s="10"/>
      <c r="B121" s="11"/>
      <c r="C121" s="10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2.75" customHeight="1">
      <c r="A122" s="10"/>
      <c r="B122" s="11"/>
      <c r="C122" s="10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2.75" customHeight="1">
      <c r="A123" s="10"/>
      <c r="B123" s="11"/>
      <c r="C123" s="10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2.75" customHeight="1">
      <c r="A124" s="10"/>
      <c r="B124" s="11"/>
      <c r="C124" s="10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2.75" customHeight="1">
      <c r="A125" s="10"/>
      <c r="B125" s="11"/>
      <c r="C125" s="10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2.75" customHeight="1">
      <c r="A126" s="10"/>
      <c r="B126" s="11"/>
      <c r="C126" s="10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2.75" customHeight="1">
      <c r="A127" s="10"/>
      <c r="B127" s="11"/>
      <c r="C127" s="10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2.75" customHeight="1">
      <c r="A128" s="10"/>
      <c r="B128" s="11"/>
      <c r="C128" s="10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2.75" customHeight="1">
      <c r="A129" s="10"/>
      <c r="B129" s="11"/>
      <c r="C129" s="10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2.75" customHeight="1">
      <c r="A130" s="10"/>
      <c r="B130" s="11"/>
      <c r="C130" s="10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2.75" customHeight="1">
      <c r="A131" s="10"/>
      <c r="B131" s="11"/>
      <c r="C131" s="10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2.75" customHeight="1">
      <c r="A132" s="10"/>
      <c r="B132" s="11"/>
      <c r="C132" s="10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2.75" customHeight="1">
      <c r="A133" s="10"/>
      <c r="B133" s="11"/>
      <c r="C133" s="10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2.75" customHeight="1">
      <c r="A134" s="10"/>
      <c r="B134" s="11"/>
      <c r="C134" s="10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2.75" customHeight="1">
      <c r="A135" s="10"/>
      <c r="B135" s="11"/>
      <c r="C135" s="10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2.75" customHeight="1">
      <c r="A136" s="10"/>
      <c r="B136" s="11"/>
      <c r="C136" s="10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2.75" customHeight="1">
      <c r="A137" s="10"/>
      <c r="B137" s="11"/>
      <c r="C137" s="10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2.75" customHeight="1">
      <c r="A138" s="10"/>
      <c r="B138" s="11"/>
      <c r="C138" s="10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2.75" customHeight="1">
      <c r="A139" s="10"/>
      <c r="B139" s="11"/>
      <c r="C139" s="10"/>
      <c r="D139" s="11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2.75" customHeight="1">
      <c r="A140" s="10"/>
      <c r="B140" s="11"/>
      <c r="C140" s="10"/>
      <c r="D140" s="11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2.75" customHeight="1">
      <c r="A141" s="10"/>
      <c r="B141" s="11"/>
      <c r="C141" s="10"/>
      <c r="D141" s="11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2.75" customHeight="1">
      <c r="A142" s="10"/>
      <c r="B142" s="11"/>
      <c r="C142" s="10"/>
      <c r="D142" s="11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2.75" customHeight="1">
      <c r="A143" s="10"/>
      <c r="B143" s="11"/>
      <c r="C143" s="10"/>
      <c r="D143" s="11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2.75" customHeight="1">
      <c r="A144" s="10"/>
      <c r="B144" s="11"/>
      <c r="C144" s="10"/>
      <c r="D144" s="11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2.75" customHeight="1">
      <c r="A145" s="10"/>
      <c r="B145" s="11"/>
      <c r="C145" s="10"/>
      <c r="D145" s="11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/>
      <c r="V145" s="11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2.75" customHeight="1">
      <c r="A146" s="10"/>
      <c r="B146" s="11"/>
      <c r="C146" s="10"/>
      <c r="D146" s="11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/>
      <c r="V146" s="11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2.75" customHeight="1">
      <c r="A147" s="10"/>
      <c r="B147" s="11"/>
      <c r="C147" s="10"/>
      <c r="D147" s="11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/>
      <c r="V147" s="11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2.75" customHeight="1">
      <c r="A148" s="10"/>
      <c r="B148" s="11"/>
      <c r="C148" s="10"/>
      <c r="D148" s="11"/>
      <c r="E148" s="10"/>
      <c r="F148" s="1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/>
      <c r="V148" s="11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2.75" customHeight="1">
      <c r="A149" s="10"/>
      <c r="B149" s="11"/>
      <c r="C149" s="10"/>
      <c r="D149" s="11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2.75" customHeight="1">
      <c r="A150" s="10"/>
      <c r="B150" s="11"/>
      <c r="C150" s="10"/>
      <c r="D150" s="11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2.75" customHeight="1">
      <c r="A151" s="10"/>
      <c r="B151" s="11"/>
      <c r="C151" s="10"/>
      <c r="D151" s="11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2.75" customHeight="1">
      <c r="A152" s="10"/>
      <c r="B152" s="11"/>
      <c r="C152" s="10"/>
      <c r="D152" s="11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2.75" customHeight="1">
      <c r="A153" s="10"/>
      <c r="B153" s="11"/>
      <c r="C153" s="10"/>
      <c r="D153" s="11"/>
      <c r="E153" s="10"/>
      <c r="F153" s="1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2.75" customHeight="1">
      <c r="A154" s="10"/>
      <c r="B154" s="11"/>
      <c r="C154" s="10"/>
      <c r="D154" s="11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2.75" customHeight="1">
      <c r="A155" s="10"/>
      <c r="B155" s="11"/>
      <c r="C155" s="10"/>
      <c r="D155" s="11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  <c r="W155" s="10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2.75" customHeight="1">
      <c r="A156" s="10"/>
      <c r="B156" s="11"/>
      <c r="C156" s="10"/>
      <c r="D156" s="11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  <c r="W156" s="10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2.75" customHeight="1">
      <c r="A157" s="10"/>
      <c r="B157" s="11"/>
      <c r="C157" s="10"/>
      <c r="D157" s="11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  <c r="W157" s="10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2.75" customHeight="1">
      <c r="A158" s="10"/>
      <c r="B158" s="11"/>
      <c r="C158" s="10"/>
      <c r="D158" s="11"/>
      <c r="E158" s="10"/>
      <c r="F158" s="1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  <c r="W158" s="10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2.75" customHeight="1">
      <c r="A159" s="10"/>
      <c r="B159" s="11"/>
      <c r="C159" s="10"/>
      <c r="D159" s="11"/>
      <c r="E159" s="10"/>
      <c r="F159" s="1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2.75" customHeight="1">
      <c r="A160" s="10"/>
      <c r="B160" s="11"/>
      <c r="C160" s="10"/>
      <c r="D160" s="11"/>
      <c r="E160" s="10"/>
      <c r="F160" s="1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  <c r="W160" s="10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2.75" customHeight="1">
      <c r="A161" s="10"/>
      <c r="B161" s="11"/>
      <c r="C161" s="10"/>
      <c r="D161" s="11"/>
      <c r="E161" s="10"/>
      <c r="F161" s="1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/>
      <c r="V161" s="11"/>
      <c r="W161" s="10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2.75" customHeight="1">
      <c r="A162" s="10"/>
      <c r="B162" s="11"/>
      <c r="C162" s="10"/>
      <c r="D162" s="11"/>
      <c r="E162" s="10"/>
      <c r="F162" s="1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/>
      <c r="V162" s="11"/>
      <c r="W162" s="10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2.75" customHeight="1">
      <c r="A163" s="10"/>
      <c r="B163" s="11"/>
      <c r="C163" s="10"/>
      <c r="D163" s="11"/>
      <c r="E163" s="10"/>
      <c r="F163" s="1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/>
      <c r="V163" s="11"/>
      <c r="W163" s="10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2.75" customHeight="1">
      <c r="A164" s="10"/>
      <c r="B164" s="11"/>
      <c r="C164" s="10"/>
      <c r="D164" s="11"/>
      <c r="E164" s="10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  <c r="W164" s="10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2.75" customHeight="1">
      <c r="A165" s="10"/>
      <c r="B165" s="11"/>
      <c r="C165" s="10"/>
      <c r="D165" s="11"/>
      <c r="E165" s="10"/>
      <c r="F165" s="1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  <c r="W165" s="10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2.75" customHeight="1">
      <c r="A166" s="10"/>
      <c r="B166" s="11"/>
      <c r="C166" s="10"/>
      <c r="D166" s="11"/>
      <c r="E166" s="10"/>
      <c r="F166" s="1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/>
      <c r="V166" s="11"/>
      <c r="W166" s="10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2.75" customHeight="1">
      <c r="A167" s="10"/>
      <c r="B167" s="11"/>
      <c r="C167" s="10"/>
      <c r="D167" s="11"/>
      <c r="E167" s="10"/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/>
      <c r="V167" s="11"/>
      <c r="W167" s="10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2.75" customHeight="1">
      <c r="A168" s="10"/>
      <c r="B168" s="11"/>
      <c r="C168" s="10"/>
      <c r="D168" s="11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/>
      <c r="V168" s="11"/>
      <c r="W168" s="10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2.75" customHeight="1">
      <c r="A169" s="10"/>
      <c r="B169" s="11"/>
      <c r="C169" s="10"/>
      <c r="D169" s="11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/>
      <c r="V169" s="11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2.75" customHeight="1">
      <c r="A170" s="10"/>
      <c r="B170" s="11"/>
      <c r="C170" s="10"/>
      <c r="D170" s="11"/>
      <c r="E170" s="10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/>
      <c r="V170" s="11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2.75" customHeight="1">
      <c r="A171" s="10"/>
      <c r="B171" s="11"/>
      <c r="C171" s="10"/>
      <c r="D171" s="11"/>
      <c r="E171" s="10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/>
      <c r="V171" s="11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2.75" customHeight="1">
      <c r="A172" s="10"/>
      <c r="B172" s="11"/>
      <c r="C172" s="10"/>
      <c r="D172" s="11"/>
      <c r="E172" s="10"/>
      <c r="F172" s="1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/>
      <c r="V172" s="11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2.75" customHeight="1">
      <c r="A173" s="10"/>
      <c r="B173" s="11"/>
      <c r="C173" s="10"/>
      <c r="D173" s="11"/>
      <c r="E173" s="10"/>
      <c r="F173" s="1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/>
      <c r="V173" s="11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2.75" customHeight="1">
      <c r="A174" s="10"/>
      <c r="B174" s="11"/>
      <c r="C174" s="10"/>
      <c r="D174" s="11"/>
      <c r="E174" s="10"/>
      <c r="F174" s="1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/>
      <c r="V174" s="11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2.75" customHeight="1">
      <c r="A175" s="10"/>
      <c r="B175" s="11"/>
      <c r="C175" s="10"/>
      <c r="D175" s="11"/>
      <c r="E175" s="10"/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/>
      <c r="V175" s="11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2.75" customHeight="1">
      <c r="A176" s="10"/>
      <c r="B176" s="11"/>
      <c r="C176" s="10"/>
      <c r="D176" s="11"/>
      <c r="E176" s="10"/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/>
      <c r="V176" s="11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2.75" customHeight="1">
      <c r="A177" s="10"/>
      <c r="B177" s="11"/>
      <c r="C177" s="10"/>
      <c r="D177" s="11"/>
      <c r="E177" s="10"/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/>
      <c r="V177" s="11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2.75" customHeight="1">
      <c r="A178" s="10"/>
      <c r="B178" s="11"/>
      <c r="C178" s="10"/>
      <c r="D178" s="11"/>
      <c r="E178" s="10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/>
      <c r="V178" s="11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2.75" customHeight="1">
      <c r="A179" s="10"/>
      <c r="B179" s="11"/>
      <c r="C179" s="10"/>
      <c r="D179" s="11"/>
      <c r="E179" s="10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/>
      <c r="V179" s="11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2.75" customHeight="1">
      <c r="A180" s="10"/>
      <c r="B180" s="11"/>
      <c r="C180" s="10"/>
      <c r="D180" s="11"/>
      <c r="E180" s="10"/>
      <c r="F180" s="1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/>
      <c r="V180" s="11"/>
      <c r="W180" s="10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2.75" customHeight="1">
      <c r="A181" s="10"/>
      <c r="B181" s="11"/>
      <c r="C181" s="10"/>
      <c r="D181" s="11"/>
      <c r="E181" s="10"/>
      <c r="F181" s="1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/>
      <c r="V181" s="11"/>
      <c r="W181" s="10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2.75" customHeight="1">
      <c r="A182" s="10"/>
      <c r="B182" s="11"/>
      <c r="C182" s="10"/>
      <c r="D182" s="11"/>
      <c r="E182" s="10"/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/>
      <c r="V182" s="11"/>
      <c r="W182" s="10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2.75" customHeight="1">
      <c r="A183" s="10"/>
      <c r="B183" s="11"/>
      <c r="C183" s="10"/>
      <c r="D183" s="11"/>
      <c r="E183" s="10"/>
      <c r="F183" s="1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/>
      <c r="V183" s="11"/>
      <c r="W183" s="10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2.75" customHeight="1">
      <c r="A184" s="10"/>
      <c r="B184" s="11"/>
      <c r="C184" s="10"/>
      <c r="D184" s="11"/>
      <c r="E184" s="10"/>
      <c r="F184" s="1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/>
      <c r="V184" s="11"/>
      <c r="W184" s="10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2.75" customHeight="1">
      <c r="A185" s="10"/>
      <c r="B185" s="11"/>
      <c r="C185" s="10"/>
      <c r="D185" s="11"/>
      <c r="E185" s="10"/>
      <c r="F185" s="1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/>
      <c r="V185" s="11"/>
      <c r="W185" s="10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2.75" customHeight="1">
      <c r="A186" s="10"/>
      <c r="B186" s="11"/>
      <c r="C186" s="10"/>
      <c r="D186" s="11"/>
      <c r="E186" s="10"/>
      <c r="F186" s="1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/>
      <c r="V186" s="11"/>
      <c r="W186" s="10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2.75" customHeight="1">
      <c r="A187" s="10"/>
      <c r="B187" s="11"/>
      <c r="C187" s="10"/>
      <c r="D187" s="11"/>
      <c r="E187" s="10"/>
      <c r="F187" s="1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/>
      <c r="V187" s="11"/>
      <c r="W187" s="10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2.75" customHeight="1">
      <c r="A188" s="10"/>
      <c r="B188" s="11"/>
      <c r="C188" s="10"/>
      <c r="D188" s="11"/>
      <c r="E188" s="10"/>
      <c r="F188" s="1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/>
      <c r="V188" s="11"/>
      <c r="W188" s="10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2.75" customHeight="1">
      <c r="A189" s="10"/>
      <c r="B189" s="11"/>
      <c r="C189" s="10"/>
      <c r="D189" s="11"/>
      <c r="E189" s="10"/>
      <c r="F189" s="1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/>
      <c r="V189" s="11"/>
      <c r="W189" s="10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2.75" customHeight="1">
      <c r="A190" s="10"/>
      <c r="B190" s="11"/>
      <c r="C190" s="10"/>
      <c r="D190" s="11"/>
      <c r="E190" s="10"/>
      <c r="F190" s="1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/>
      <c r="V190" s="11"/>
      <c r="W190" s="10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2.75" customHeight="1">
      <c r="A191" s="10"/>
      <c r="B191" s="11"/>
      <c r="C191" s="10"/>
      <c r="D191" s="11"/>
      <c r="E191" s="10"/>
      <c r="F191" s="1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/>
      <c r="V191" s="11"/>
      <c r="W191" s="10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2.75" customHeight="1">
      <c r="A192" s="10"/>
      <c r="B192" s="11"/>
      <c r="C192" s="10"/>
      <c r="D192" s="11"/>
      <c r="E192" s="10"/>
      <c r="F192" s="1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/>
      <c r="V192" s="11"/>
      <c r="W192" s="10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2.75" customHeight="1">
      <c r="A193" s="10"/>
      <c r="B193" s="11"/>
      <c r="C193" s="10"/>
      <c r="D193" s="11"/>
      <c r="E193" s="10"/>
      <c r="F193" s="1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/>
      <c r="V193" s="11"/>
      <c r="W193" s="10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2.75" customHeight="1">
      <c r="A194" s="10"/>
      <c r="B194" s="11"/>
      <c r="C194" s="10"/>
      <c r="D194" s="11"/>
      <c r="E194" s="10"/>
      <c r="F194" s="1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/>
      <c r="V194" s="11"/>
      <c r="W194" s="10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2.75" customHeight="1">
      <c r="A195" s="10"/>
      <c r="B195" s="11"/>
      <c r="C195" s="10"/>
      <c r="D195" s="11"/>
      <c r="E195" s="10"/>
      <c r="F195" s="1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/>
      <c r="V195" s="11"/>
      <c r="W195" s="10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2.75" customHeight="1">
      <c r="A196" s="10"/>
      <c r="B196" s="11"/>
      <c r="C196" s="10"/>
      <c r="D196" s="11"/>
      <c r="E196" s="10"/>
      <c r="F196" s="1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/>
      <c r="V196" s="11"/>
      <c r="W196" s="10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2.75" customHeight="1">
      <c r="A197" s="10"/>
      <c r="B197" s="11"/>
      <c r="C197" s="10"/>
      <c r="D197" s="11"/>
      <c r="E197" s="10"/>
      <c r="F197" s="1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/>
      <c r="V197" s="11"/>
      <c r="W197" s="10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2.75" customHeight="1">
      <c r="A198" s="10"/>
      <c r="B198" s="11"/>
      <c r="C198" s="10"/>
      <c r="D198" s="11"/>
      <c r="E198" s="10"/>
      <c r="F198" s="1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/>
      <c r="V198" s="11"/>
      <c r="W198" s="10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2.75" customHeight="1">
      <c r="A199" s="10"/>
      <c r="B199" s="11"/>
      <c r="C199" s="10"/>
      <c r="D199" s="11"/>
      <c r="E199" s="10"/>
      <c r="F199" s="1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/>
      <c r="V199" s="11"/>
      <c r="W199" s="10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2.75" customHeight="1">
      <c r="A200" s="10"/>
      <c r="B200" s="11"/>
      <c r="C200" s="10"/>
      <c r="D200" s="11"/>
      <c r="E200" s="10"/>
      <c r="F200" s="1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/>
      <c r="V200" s="11"/>
      <c r="W200" s="10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2.75" customHeight="1">
      <c r="A201" s="10"/>
      <c r="B201" s="11"/>
      <c r="C201" s="10"/>
      <c r="D201" s="11"/>
      <c r="E201" s="10"/>
      <c r="F201" s="1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/>
      <c r="V201" s="11"/>
      <c r="W201" s="10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2.75" customHeight="1">
      <c r="A202" s="10"/>
      <c r="B202" s="11"/>
      <c r="C202" s="10"/>
      <c r="D202" s="11"/>
      <c r="E202" s="10"/>
      <c r="F202" s="1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/>
      <c r="V202" s="11"/>
      <c r="W202" s="10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2.75" customHeight="1">
      <c r="A203" s="10"/>
      <c r="B203" s="11"/>
      <c r="C203" s="10"/>
      <c r="D203" s="11"/>
      <c r="E203" s="10"/>
      <c r="F203" s="1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0"/>
      <c r="V203" s="11"/>
      <c r="W203" s="10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2.75" customHeight="1">
      <c r="A204" s="10"/>
      <c r="B204" s="11"/>
      <c r="C204" s="10"/>
      <c r="D204" s="11"/>
      <c r="E204" s="10"/>
      <c r="F204" s="1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0"/>
      <c r="V204" s="11"/>
      <c r="W204" s="10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2.75" customHeight="1">
      <c r="A205" s="10"/>
      <c r="B205" s="11"/>
      <c r="C205" s="10"/>
      <c r="D205" s="11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0"/>
      <c r="V205" s="11"/>
      <c r="W205" s="10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2.75" customHeight="1">
      <c r="A206" s="10"/>
      <c r="B206" s="11"/>
      <c r="C206" s="10"/>
      <c r="D206" s="11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0"/>
      <c r="V206" s="11"/>
      <c r="W206" s="10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2.75" customHeight="1">
      <c r="A207" s="10"/>
      <c r="B207" s="11"/>
      <c r="C207" s="10"/>
      <c r="D207" s="11"/>
      <c r="E207" s="10"/>
      <c r="F207" s="1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0"/>
      <c r="V207" s="11"/>
      <c r="W207" s="10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2.75" customHeight="1">
      <c r="A208" s="10"/>
      <c r="B208" s="11"/>
      <c r="C208" s="10"/>
      <c r="D208" s="11"/>
      <c r="E208" s="10"/>
      <c r="F208" s="1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0"/>
      <c r="V208" s="11"/>
      <c r="W208" s="10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2.75" customHeight="1">
      <c r="A209" s="10"/>
      <c r="B209" s="11"/>
      <c r="C209" s="10"/>
      <c r="D209" s="11"/>
      <c r="E209" s="10"/>
      <c r="F209" s="1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0"/>
      <c r="V209" s="11"/>
      <c r="W209" s="10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2.75" customHeight="1">
      <c r="A210" s="10"/>
      <c r="B210" s="11"/>
      <c r="C210" s="10"/>
      <c r="D210" s="11"/>
      <c r="E210" s="10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0"/>
      <c r="V210" s="11"/>
      <c r="W210" s="10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2.75" customHeight="1">
      <c r="A211" s="10"/>
      <c r="B211" s="11"/>
      <c r="C211" s="10"/>
      <c r="D211" s="11"/>
      <c r="E211" s="10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0"/>
      <c r="V211" s="11"/>
      <c r="W211" s="10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2.75" customHeight="1">
      <c r="A212" s="10"/>
      <c r="B212" s="11"/>
      <c r="C212" s="10"/>
      <c r="D212" s="11"/>
      <c r="E212" s="10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0"/>
      <c r="V212" s="11"/>
      <c r="W212" s="10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2.75" customHeight="1">
      <c r="A213" s="10"/>
      <c r="B213" s="11"/>
      <c r="C213" s="10"/>
      <c r="D213" s="11"/>
      <c r="E213" s="10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0"/>
      <c r="V213" s="11"/>
      <c r="W213" s="10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2.75" customHeight="1">
      <c r="A214" s="10"/>
      <c r="B214" s="11"/>
      <c r="C214" s="10"/>
      <c r="D214" s="11"/>
      <c r="E214" s="10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0"/>
      <c r="V214" s="11"/>
      <c r="W214" s="10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2.75" customHeight="1">
      <c r="A215" s="10"/>
      <c r="B215" s="11"/>
      <c r="C215" s="10"/>
      <c r="D215" s="11"/>
      <c r="E215" s="10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0"/>
      <c r="V215" s="11"/>
      <c r="W215" s="10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2.75" customHeight="1">
      <c r="A216" s="10"/>
      <c r="B216" s="11"/>
      <c r="C216" s="10"/>
      <c r="D216" s="11"/>
      <c r="E216" s="10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0"/>
      <c r="V216" s="11"/>
      <c r="W216" s="10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2.75" customHeight="1">
      <c r="A217" s="10"/>
      <c r="B217" s="11"/>
      <c r="C217" s="10"/>
      <c r="D217" s="11"/>
      <c r="E217" s="10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0"/>
      <c r="V217" s="11"/>
      <c r="W217" s="10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2.75" customHeight="1">
      <c r="A218" s="10"/>
      <c r="B218" s="11"/>
      <c r="C218" s="10"/>
      <c r="D218" s="11"/>
      <c r="E218" s="10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0"/>
      <c r="V218" s="11"/>
      <c r="W218" s="10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2.75" customHeight="1">
      <c r="A219" s="10"/>
      <c r="B219" s="11"/>
      <c r="C219" s="10"/>
      <c r="D219" s="11"/>
      <c r="E219" s="10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0"/>
      <c r="V219" s="11"/>
      <c r="W219" s="10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2.75" customHeight="1">
      <c r="A220" s="10"/>
      <c r="B220" s="11"/>
      <c r="C220" s="10"/>
      <c r="D220" s="11"/>
      <c r="E220" s="10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0"/>
      <c r="V220" s="11"/>
      <c r="W220" s="10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2.75" customHeight="1">
      <c r="A221" s="10"/>
      <c r="B221" s="11"/>
      <c r="C221" s="10"/>
      <c r="D221" s="11"/>
      <c r="E221" s="10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0"/>
      <c r="V221" s="11"/>
      <c r="W221" s="10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2.75" customHeight="1">
      <c r="A222" s="10"/>
      <c r="B222" s="11"/>
      <c r="C222" s="10"/>
      <c r="D222" s="11"/>
      <c r="E222" s="10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0"/>
      <c r="V222" s="11"/>
      <c r="W222" s="10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2.75" customHeight="1">
      <c r="A223" s="10"/>
      <c r="B223" s="11"/>
      <c r="C223" s="10"/>
      <c r="D223" s="11"/>
      <c r="E223" s="10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0"/>
      <c r="V223" s="11"/>
      <c r="W223" s="10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2.75" customHeight="1">
      <c r="A224" s="10"/>
      <c r="B224" s="11"/>
      <c r="C224" s="10"/>
      <c r="D224" s="11"/>
      <c r="E224" s="10"/>
      <c r="F224" s="1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0"/>
      <c r="V224" s="11"/>
      <c r="W224" s="10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2.75" customHeight="1">
      <c r="A225" s="10"/>
      <c r="B225" s="11"/>
      <c r="C225" s="10"/>
      <c r="D225" s="11"/>
      <c r="E225" s="10"/>
      <c r="F225" s="1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0"/>
      <c r="V225" s="11"/>
      <c r="W225" s="10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2.75" customHeight="1">
      <c r="A226" s="10"/>
      <c r="B226" s="11"/>
      <c r="C226" s="10"/>
      <c r="D226" s="11"/>
      <c r="E226" s="10"/>
      <c r="F226" s="1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0"/>
      <c r="V226" s="11"/>
      <c r="W226" s="10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2.75" customHeight="1">
      <c r="A227" s="10"/>
      <c r="B227" s="11"/>
      <c r="C227" s="10"/>
      <c r="D227" s="11"/>
      <c r="E227" s="10"/>
      <c r="F227" s="1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0"/>
      <c r="V227" s="11"/>
      <c r="W227" s="10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2.75" customHeight="1">
      <c r="A228" s="10"/>
      <c r="B228" s="11"/>
      <c r="C228" s="10"/>
      <c r="D228" s="11"/>
      <c r="E228" s="10"/>
      <c r="F228" s="1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0"/>
      <c r="V228" s="11"/>
      <c r="W228" s="10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2.75" customHeight="1">
      <c r="A229" s="10"/>
      <c r="B229" s="11"/>
      <c r="C229" s="10"/>
      <c r="D229" s="11"/>
      <c r="E229" s="10"/>
      <c r="F229" s="1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0"/>
      <c r="V229" s="11"/>
      <c r="W229" s="10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2.75" customHeight="1">
      <c r="A230" s="10"/>
      <c r="B230" s="11"/>
      <c r="C230" s="10"/>
      <c r="D230" s="11"/>
      <c r="E230" s="10"/>
      <c r="F230" s="1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0"/>
      <c r="V230" s="11"/>
      <c r="W230" s="10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2.75" customHeight="1">
      <c r="A231" s="10"/>
      <c r="B231" s="11"/>
      <c r="C231" s="10"/>
      <c r="D231" s="11"/>
      <c r="E231" s="10"/>
      <c r="F231" s="1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0"/>
      <c r="V231" s="11"/>
      <c r="W231" s="10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2.75" customHeight="1">
      <c r="A232" s="10"/>
      <c r="B232" s="11"/>
      <c r="C232" s="10"/>
      <c r="D232" s="11"/>
      <c r="E232" s="10"/>
      <c r="F232" s="1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0"/>
      <c r="V232" s="11"/>
      <c r="W232" s="10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2.75" customHeight="1">
      <c r="A233" s="10"/>
      <c r="B233" s="11"/>
      <c r="C233" s="10"/>
      <c r="D233" s="11"/>
      <c r="E233" s="10"/>
      <c r="F233" s="1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0"/>
      <c r="V233" s="11"/>
      <c r="W233" s="10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2.75" customHeight="1">
      <c r="A234" s="10"/>
      <c r="B234" s="11"/>
      <c r="C234" s="10"/>
      <c r="D234" s="11"/>
      <c r="E234" s="10"/>
      <c r="F234" s="1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0"/>
      <c r="V234" s="11"/>
      <c r="W234" s="10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2.75" customHeight="1">
      <c r="A235" s="10"/>
      <c r="B235" s="11"/>
      <c r="C235" s="10"/>
      <c r="D235" s="11"/>
      <c r="E235" s="10"/>
      <c r="F235" s="1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0"/>
      <c r="V235" s="11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2.75" customHeight="1">
      <c r="A236" s="10"/>
      <c r="B236" s="11"/>
      <c r="C236" s="10"/>
      <c r="D236" s="11"/>
      <c r="E236" s="10"/>
      <c r="F236" s="1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0"/>
      <c r="V236" s="11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2.75" customHeight="1">
      <c r="A237" s="10"/>
      <c r="B237" s="11"/>
      <c r="C237" s="10"/>
      <c r="D237" s="11"/>
      <c r="E237" s="10"/>
      <c r="F237" s="1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0"/>
      <c r="V237" s="11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2.75" customHeight="1">
      <c r="A238" s="10"/>
      <c r="B238" s="11"/>
      <c r="C238" s="10"/>
      <c r="D238" s="11"/>
      <c r="E238" s="10"/>
      <c r="F238" s="1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0"/>
      <c r="V238" s="11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2.75" customHeight="1">
      <c r="A239" s="10"/>
      <c r="B239" s="11"/>
      <c r="C239" s="10"/>
      <c r="D239" s="11"/>
      <c r="E239" s="10"/>
      <c r="F239" s="1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0"/>
      <c r="V239" s="11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2.75" customHeight="1">
      <c r="A240" s="10"/>
      <c r="B240" s="11"/>
      <c r="C240" s="10"/>
      <c r="D240" s="11"/>
      <c r="E240" s="10"/>
      <c r="F240" s="1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0"/>
      <c r="V240" s="11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2.75" customHeight="1">
      <c r="A241" s="10"/>
      <c r="B241" s="11"/>
      <c r="C241" s="10"/>
      <c r="D241" s="11"/>
      <c r="E241" s="10"/>
      <c r="F241" s="1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0"/>
      <c r="V241" s="11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2.75" customHeight="1">
      <c r="A242" s="10"/>
      <c r="B242" s="11"/>
      <c r="C242" s="10"/>
      <c r="D242" s="11"/>
      <c r="E242" s="10"/>
      <c r="F242" s="1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0"/>
      <c r="V242" s="11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2.75" customHeight="1">
      <c r="A243" s="10"/>
      <c r="B243" s="11"/>
      <c r="C243" s="10"/>
      <c r="D243" s="11"/>
      <c r="E243" s="10"/>
      <c r="F243" s="1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0"/>
      <c r="V243" s="11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2.75" customHeight="1">
      <c r="A244" s="10"/>
      <c r="B244" s="11"/>
      <c r="C244" s="10"/>
      <c r="D244" s="11"/>
      <c r="E244" s="10"/>
      <c r="F244" s="1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0"/>
      <c r="V244" s="11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2.75" customHeight="1">
      <c r="A245" s="10"/>
      <c r="B245" s="11"/>
      <c r="C245" s="10"/>
      <c r="D245" s="11"/>
      <c r="E245" s="10"/>
      <c r="F245" s="1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0"/>
      <c r="V245" s="11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2.75" customHeight="1">
      <c r="A246" s="10"/>
      <c r="B246" s="11"/>
      <c r="C246" s="10"/>
      <c r="D246" s="11"/>
      <c r="E246" s="10"/>
      <c r="F246" s="1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0"/>
      <c r="V246" s="11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2.75" customHeight="1">
      <c r="A247" s="10"/>
      <c r="B247" s="11"/>
      <c r="C247" s="10"/>
      <c r="D247" s="11"/>
      <c r="E247" s="10"/>
      <c r="F247" s="1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0"/>
      <c r="V247" s="11"/>
      <c r="W247" s="10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2.75" customHeight="1">
      <c r="A248" s="10"/>
      <c r="B248" s="11"/>
      <c r="C248" s="10"/>
      <c r="D248" s="11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0"/>
      <c r="V248" s="11"/>
      <c r="W248" s="10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2.75" customHeight="1">
      <c r="A249" s="10"/>
      <c r="B249" s="11"/>
      <c r="C249" s="10"/>
      <c r="D249" s="11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0"/>
      <c r="V249" s="11"/>
      <c r="W249" s="10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2.75" customHeight="1">
      <c r="A250" s="10"/>
      <c r="B250" s="11"/>
      <c r="C250" s="10"/>
      <c r="D250" s="11"/>
      <c r="E250" s="10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0"/>
      <c r="V250" s="11"/>
      <c r="W250" s="10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2.75" customHeight="1">
      <c r="A251" s="10"/>
      <c r="B251" s="11"/>
      <c r="C251" s="10"/>
      <c r="D251" s="11"/>
      <c r="E251" s="10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0"/>
      <c r="V251" s="11"/>
      <c r="W251" s="10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2.75" customHeight="1">
      <c r="A252" s="10"/>
      <c r="B252" s="11"/>
      <c r="C252" s="10"/>
      <c r="D252" s="11"/>
      <c r="E252" s="10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0"/>
      <c r="V252" s="11"/>
      <c r="W252" s="10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2.75" customHeight="1">
      <c r="A253" s="10"/>
      <c r="B253" s="11"/>
      <c r="C253" s="10"/>
      <c r="D253" s="11"/>
      <c r="E253" s="10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0"/>
      <c r="V253" s="11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2.75" customHeight="1">
      <c r="A254" s="10"/>
      <c r="B254" s="11"/>
      <c r="C254" s="10"/>
      <c r="D254" s="11"/>
      <c r="E254" s="10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0"/>
      <c r="V254" s="11"/>
      <c r="W254" s="10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2.75" customHeight="1">
      <c r="A255" s="10"/>
      <c r="B255" s="11"/>
      <c r="C255" s="10"/>
      <c r="D255" s="11"/>
      <c r="E255" s="10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0"/>
      <c r="V255" s="11"/>
      <c r="W255" s="10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2.75" customHeight="1">
      <c r="A256" s="10"/>
      <c r="B256" s="11"/>
      <c r="C256" s="10"/>
      <c r="D256" s="11"/>
      <c r="E256" s="10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0"/>
      <c r="V256" s="11"/>
      <c r="W256" s="10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2.75" customHeight="1">
      <c r="A257" s="10"/>
      <c r="B257" s="11"/>
      <c r="C257" s="10"/>
      <c r="D257" s="11"/>
      <c r="E257" s="10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0"/>
      <c r="V257" s="11"/>
      <c r="W257" s="10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2.75" customHeight="1">
      <c r="A258" s="10"/>
      <c r="B258" s="11"/>
      <c r="C258" s="10"/>
      <c r="D258" s="11"/>
      <c r="E258" s="10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0"/>
      <c r="V258" s="11"/>
      <c r="W258" s="10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2.75" customHeight="1">
      <c r="A259" s="10"/>
      <c r="B259" s="11"/>
      <c r="C259" s="10"/>
      <c r="D259" s="11"/>
      <c r="E259" s="10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0"/>
      <c r="V259" s="11"/>
      <c r="W259" s="10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2.75" customHeight="1">
      <c r="A260" s="10"/>
      <c r="B260" s="11"/>
      <c r="C260" s="10"/>
      <c r="D260" s="11"/>
      <c r="E260" s="10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0"/>
      <c r="V260" s="11"/>
      <c r="W260" s="10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2.75" customHeight="1">
      <c r="A261" s="10"/>
      <c r="B261" s="11"/>
      <c r="C261" s="10"/>
      <c r="D261" s="11"/>
      <c r="E261" s="10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0"/>
      <c r="V261" s="11"/>
      <c r="W261" s="10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2.75" customHeight="1">
      <c r="A262" s="10"/>
      <c r="B262" s="11"/>
      <c r="C262" s="10"/>
      <c r="D262" s="11"/>
      <c r="E262" s="10"/>
      <c r="F262" s="1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0"/>
      <c r="V262" s="11"/>
      <c r="W262" s="10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2.75" customHeight="1">
      <c r="A263" s="10"/>
      <c r="B263" s="11"/>
      <c r="C263" s="10"/>
      <c r="D263" s="11"/>
      <c r="E263" s="10"/>
      <c r="F263" s="1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0"/>
      <c r="V263" s="11"/>
      <c r="W263" s="10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2.75" customHeight="1">
      <c r="A264" s="10"/>
      <c r="B264" s="11"/>
      <c r="C264" s="10"/>
      <c r="D264" s="11"/>
      <c r="E264" s="10"/>
      <c r="F264" s="1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0"/>
      <c r="V264" s="11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2.75" customHeight="1">
      <c r="A265" s="10"/>
      <c r="B265" s="11"/>
      <c r="C265" s="10"/>
      <c r="D265" s="11"/>
      <c r="E265" s="10"/>
      <c r="F265" s="1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0"/>
      <c r="V265" s="11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2.75" customHeight="1">
      <c r="A266" s="10"/>
      <c r="B266" s="11"/>
      <c r="C266" s="10"/>
      <c r="D266" s="11"/>
      <c r="E266" s="10"/>
      <c r="F266" s="1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0"/>
      <c r="V266" s="11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2.75" customHeight="1">
      <c r="A267" s="10"/>
      <c r="B267" s="11"/>
      <c r="C267" s="10"/>
      <c r="D267" s="11"/>
      <c r="E267" s="10"/>
      <c r="F267" s="1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0"/>
      <c r="V267" s="11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2.75" customHeight="1">
      <c r="A268" s="10"/>
      <c r="B268" s="11"/>
      <c r="C268" s="10"/>
      <c r="D268" s="11"/>
      <c r="E268" s="10"/>
      <c r="F268" s="1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0"/>
      <c r="V268" s="11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2.75" customHeight="1">
      <c r="A269" s="10"/>
      <c r="B269" s="11"/>
      <c r="C269" s="10"/>
      <c r="D269" s="11"/>
      <c r="E269" s="10"/>
      <c r="F269" s="1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0"/>
      <c r="V269" s="11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2.75" customHeight="1">
      <c r="A270" s="10"/>
      <c r="B270" s="11"/>
      <c r="C270" s="10"/>
      <c r="D270" s="11"/>
      <c r="E270" s="10"/>
      <c r="F270" s="1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0"/>
      <c r="V270" s="11"/>
      <c r="W270" s="10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2.75" customHeight="1">
      <c r="A271" s="10"/>
      <c r="B271" s="11"/>
      <c r="C271" s="10"/>
      <c r="D271" s="11"/>
      <c r="E271" s="10"/>
      <c r="F271" s="1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0"/>
      <c r="V271" s="11"/>
      <c r="W271" s="10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2.75" customHeight="1">
      <c r="A272" s="10"/>
      <c r="B272" s="11"/>
      <c r="C272" s="10"/>
      <c r="D272" s="11"/>
      <c r="E272" s="10"/>
      <c r="F272" s="1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0"/>
      <c r="V272" s="11"/>
      <c r="W272" s="10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2.75" customHeight="1">
      <c r="A273" s="10"/>
      <c r="B273" s="11"/>
      <c r="C273" s="10"/>
      <c r="D273" s="11"/>
      <c r="E273" s="10"/>
      <c r="F273" s="1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0"/>
      <c r="V273" s="11"/>
      <c r="W273" s="10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2.75" customHeight="1">
      <c r="A274" s="10"/>
      <c r="B274" s="11"/>
      <c r="C274" s="10"/>
      <c r="D274" s="11"/>
      <c r="E274" s="10"/>
      <c r="F274" s="1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0"/>
      <c r="V274" s="11"/>
      <c r="W274" s="10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2.75" customHeight="1">
      <c r="A275" s="10"/>
      <c r="B275" s="11"/>
      <c r="C275" s="10"/>
      <c r="D275" s="11"/>
      <c r="E275" s="10"/>
      <c r="F275" s="1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0"/>
      <c r="V275" s="11"/>
      <c r="W275" s="10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2.75" customHeight="1">
      <c r="A276" s="10"/>
      <c r="B276" s="11"/>
      <c r="C276" s="10"/>
      <c r="D276" s="11"/>
      <c r="E276" s="10"/>
      <c r="F276" s="1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0"/>
      <c r="V276" s="11"/>
      <c r="W276" s="10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2.75" customHeight="1">
      <c r="A277" s="10"/>
      <c r="B277" s="11"/>
      <c r="C277" s="10"/>
      <c r="D277" s="11"/>
      <c r="E277" s="10"/>
      <c r="F277" s="1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0"/>
      <c r="V277" s="11"/>
      <c r="W277" s="10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2.75" customHeight="1">
      <c r="A278" s="10"/>
      <c r="B278" s="11"/>
      <c r="C278" s="10"/>
      <c r="D278" s="11"/>
      <c r="E278" s="10"/>
      <c r="F278" s="1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0"/>
      <c r="V278" s="11"/>
      <c r="W278" s="10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2.75" customHeight="1">
      <c r="A279" s="10"/>
      <c r="B279" s="11"/>
      <c r="C279" s="10"/>
      <c r="D279" s="11"/>
      <c r="E279" s="10"/>
      <c r="F279" s="1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0"/>
      <c r="V279" s="11"/>
      <c r="W279" s="10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2.75" customHeight="1">
      <c r="A280" s="10"/>
      <c r="B280" s="11"/>
      <c r="C280" s="10"/>
      <c r="D280" s="11"/>
      <c r="E280" s="10"/>
      <c r="F280" s="1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0"/>
      <c r="V280" s="11"/>
      <c r="W280" s="10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2.75" customHeight="1">
      <c r="A281" s="10"/>
      <c r="B281" s="11"/>
      <c r="C281" s="10"/>
      <c r="D281" s="11"/>
      <c r="E281" s="10"/>
      <c r="F281" s="1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0"/>
      <c r="V281" s="11"/>
      <c r="W281" s="10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2.75" customHeight="1">
      <c r="A282" s="10"/>
      <c r="B282" s="11"/>
      <c r="C282" s="10"/>
      <c r="D282" s="11"/>
      <c r="E282" s="10"/>
      <c r="F282" s="1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0"/>
      <c r="V282" s="11"/>
      <c r="W282" s="10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2.75" customHeight="1">
      <c r="A283" s="10"/>
      <c r="B283" s="11"/>
      <c r="C283" s="10"/>
      <c r="D283" s="11"/>
      <c r="E283" s="10"/>
      <c r="F283" s="1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0"/>
      <c r="V283" s="11"/>
      <c r="W283" s="10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2.75" customHeight="1">
      <c r="A284" s="10"/>
      <c r="B284" s="11"/>
      <c r="C284" s="10"/>
      <c r="D284" s="11"/>
      <c r="E284" s="10"/>
      <c r="F284" s="1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0"/>
      <c r="V284" s="11"/>
      <c r="W284" s="10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2.75" customHeight="1">
      <c r="A285" s="10"/>
      <c r="B285" s="11"/>
      <c r="C285" s="10"/>
      <c r="D285" s="11"/>
      <c r="E285" s="10"/>
      <c r="F285" s="1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0"/>
      <c r="V285" s="11"/>
      <c r="W285" s="10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2.75" customHeight="1">
      <c r="A286" s="10"/>
      <c r="B286" s="11"/>
      <c r="C286" s="10"/>
      <c r="D286" s="11"/>
      <c r="E286" s="10"/>
      <c r="F286" s="1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0"/>
      <c r="V286" s="11"/>
      <c r="W286" s="10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2.75" customHeight="1">
      <c r="A287" s="10"/>
      <c r="B287" s="11"/>
      <c r="C287" s="10"/>
      <c r="D287" s="11"/>
      <c r="E287" s="10"/>
      <c r="F287" s="1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0"/>
      <c r="V287" s="11"/>
      <c r="W287" s="10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2.75" customHeight="1">
      <c r="A288" s="10"/>
      <c r="B288" s="11"/>
      <c r="C288" s="10"/>
      <c r="D288" s="11"/>
      <c r="E288" s="10"/>
      <c r="F288" s="1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0"/>
      <c r="V288" s="11"/>
      <c r="W288" s="10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2.75" customHeight="1">
      <c r="A289" s="10"/>
      <c r="B289" s="11"/>
      <c r="C289" s="10"/>
      <c r="D289" s="11"/>
      <c r="E289" s="10"/>
      <c r="F289" s="1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0"/>
      <c r="V289" s="11"/>
      <c r="W289" s="10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2.75" customHeight="1">
      <c r="A290" s="10"/>
      <c r="B290" s="11"/>
      <c r="C290" s="10"/>
      <c r="D290" s="11"/>
      <c r="E290" s="10"/>
      <c r="F290" s="1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0"/>
      <c r="V290" s="11"/>
      <c r="W290" s="10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2.75" customHeight="1">
      <c r="A291" s="10"/>
      <c r="B291" s="11"/>
      <c r="C291" s="10"/>
      <c r="D291" s="11"/>
      <c r="E291" s="10"/>
      <c r="F291" s="1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0"/>
      <c r="V291" s="11"/>
      <c r="W291" s="10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2.75" customHeight="1">
      <c r="A292" s="10"/>
      <c r="B292" s="11"/>
      <c r="C292" s="10"/>
      <c r="D292" s="11"/>
      <c r="E292" s="10"/>
      <c r="F292" s="1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0"/>
      <c r="V292" s="11"/>
      <c r="W292" s="10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2.75" customHeight="1">
      <c r="A293" s="10"/>
      <c r="B293" s="11"/>
      <c r="C293" s="10"/>
      <c r="D293" s="11"/>
      <c r="E293" s="10"/>
      <c r="F293" s="1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0"/>
      <c r="V293" s="11"/>
      <c r="W293" s="10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2.75" customHeight="1">
      <c r="A294" s="10"/>
      <c r="B294" s="11"/>
      <c r="C294" s="10"/>
      <c r="D294" s="11"/>
      <c r="E294" s="10"/>
      <c r="F294" s="1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0"/>
      <c r="V294" s="11"/>
      <c r="W294" s="10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2.75" customHeight="1">
      <c r="A295" s="10"/>
      <c r="B295" s="11"/>
      <c r="C295" s="10"/>
      <c r="D295" s="11"/>
      <c r="E295" s="10"/>
      <c r="F295" s="1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0"/>
      <c r="V295" s="11"/>
      <c r="W295" s="10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2.75" customHeight="1">
      <c r="A296" s="10"/>
      <c r="B296" s="11"/>
      <c r="C296" s="10"/>
      <c r="D296" s="11"/>
      <c r="E296" s="10"/>
      <c r="F296" s="1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0"/>
      <c r="V296" s="11"/>
      <c r="W296" s="10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2.75" customHeight="1">
      <c r="A297" s="10"/>
      <c r="B297" s="11"/>
      <c r="C297" s="10"/>
      <c r="D297" s="11"/>
      <c r="E297" s="10"/>
      <c r="F297" s="1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0"/>
      <c r="V297" s="11"/>
      <c r="W297" s="10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2.75" customHeight="1">
      <c r="A298" s="10"/>
      <c r="B298" s="11"/>
      <c r="C298" s="10"/>
      <c r="D298" s="11"/>
      <c r="E298" s="10"/>
      <c r="F298" s="1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0"/>
      <c r="V298" s="11"/>
      <c r="W298" s="10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2.75" customHeight="1">
      <c r="A299" s="10"/>
      <c r="B299" s="11"/>
      <c r="C299" s="10"/>
      <c r="D299" s="11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0"/>
      <c r="V299" s="11"/>
      <c r="W299" s="10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2.75" customHeight="1">
      <c r="A300" s="10"/>
      <c r="B300" s="11"/>
      <c r="C300" s="10"/>
      <c r="D300" s="11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0"/>
      <c r="V300" s="11"/>
      <c r="W300" s="10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2.75" customHeight="1">
      <c r="A301" s="10"/>
      <c r="B301" s="11"/>
      <c r="C301" s="10"/>
      <c r="D301" s="11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0"/>
      <c r="V301" s="11"/>
      <c r="W301" s="10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2.75" customHeight="1">
      <c r="A302" s="10"/>
      <c r="B302" s="11"/>
      <c r="C302" s="10"/>
      <c r="D302" s="11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0"/>
      <c r="V302" s="11"/>
      <c r="W302" s="10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2.75" customHeight="1">
      <c r="A303" s="10"/>
      <c r="B303" s="11"/>
      <c r="C303" s="10"/>
      <c r="D303" s="11"/>
      <c r="E303" s="10"/>
      <c r="F303" s="1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0"/>
      <c r="V303" s="11"/>
      <c r="W303" s="10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2.75" customHeight="1">
      <c r="A304" s="10"/>
      <c r="B304" s="11"/>
      <c r="C304" s="10"/>
      <c r="D304" s="11"/>
      <c r="E304" s="10"/>
      <c r="F304" s="1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0"/>
      <c r="V304" s="11"/>
      <c r="W304" s="10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2.75" customHeight="1">
      <c r="A305" s="10"/>
      <c r="B305" s="11"/>
      <c r="C305" s="10"/>
      <c r="D305" s="11"/>
      <c r="E305" s="10"/>
      <c r="F305" s="1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0"/>
      <c r="V305" s="11"/>
      <c r="W305" s="10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2.75" customHeight="1">
      <c r="A306" s="10"/>
      <c r="B306" s="11"/>
      <c r="C306" s="10"/>
      <c r="D306" s="11"/>
      <c r="E306" s="10"/>
      <c r="F306" s="1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/>
      <c r="V306" s="11"/>
      <c r="W306" s="10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2.75" customHeight="1">
      <c r="A307" s="10"/>
      <c r="B307" s="11"/>
      <c r="C307" s="10"/>
      <c r="D307" s="11"/>
      <c r="E307" s="10"/>
      <c r="F307" s="1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0"/>
      <c r="V307" s="11"/>
      <c r="W307" s="10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2.75" customHeight="1">
      <c r="A308" s="10"/>
      <c r="B308" s="11"/>
      <c r="C308" s="10"/>
      <c r="D308" s="11"/>
      <c r="E308" s="10"/>
      <c r="F308" s="1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0"/>
      <c r="V308" s="11"/>
      <c r="W308" s="10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2.75" customHeight="1">
      <c r="A309" s="10"/>
      <c r="B309" s="11"/>
      <c r="C309" s="10"/>
      <c r="D309" s="11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0"/>
      <c r="V309" s="11"/>
      <c r="W309" s="10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2.75" customHeight="1">
      <c r="A310" s="10"/>
      <c r="B310" s="11"/>
      <c r="C310" s="10"/>
      <c r="D310" s="11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0"/>
      <c r="V310" s="11"/>
      <c r="W310" s="10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2.75" customHeight="1">
      <c r="A311" s="10"/>
      <c r="B311" s="11"/>
      <c r="C311" s="10"/>
      <c r="D311" s="11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0"/>
      <c r="V311" s="11"/>
      <c r="W311" s="10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2.75" customHeight="1">
      <c r="A312" s="10"/>
      <c r="B312" s="11"/>
      <c r="C312" s="10"/>
      <c r="D312" s="11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0"/>
      <c r="V312" s="11"/>
      <c r="W312" s="10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2.75" customHeight="1">
      <c r="A313" s="10"/>
      <c r="B313" s="11"/>
      <c r="C313" s="10"/>
      <c r="D313" s="11"/>
      <c r="E313" s="10"/>
      <c r="F313" s="1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0"/>
      <c r="V313" s="11"/>
      <c r="W313" s="10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2.75" customHeight="1">
      <c r="A314" s="10"/>
      <c r="B314" s="11"/>
      <c r="C314" s="10"/>
      <c r="D314" s="11"/>
      <c r="E314" s="10"/>
      <c r="F314" s="1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0"/>
      <c r="V314" s="11"/>
      <c r="W314" s="10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2.75" customHeight="1">
      <c r="A315" s="10"/>
      <c r="B315" s="11"/>
      <c r="C315" s="10"/>
      <c r="D315" s="11"/>
      <c r="E315" s="10"/>
      <c r="F315" s="1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0"/>
      <c r="V315" s="11"/>
      <c r="W315" s="10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2.75" customHeight="1">
      <c r="A316" s="10"/>
      <c r="B316" s="11"/>
      <c r="C316" s="10"/>
      <c r="D316" s="11"/>
      <c r="E316" s="10"/>
      <c r="F316" s="1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/>
      <c r="V316" s="11"/>
      <c r="W316" s="10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2.75" customHeight="1">
      <c r="A317" s="10"/>
      <c r="B317" s="11"/>
      <c r="C317" s="10"/>
      <c r="D317" s="11"/>
      <c r="E317" s="10"/>
      <c r="F317" s="1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0"/>
      <c r="V317" s="11"/>
      <c r="W317" s="10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2.75" customHeight="1">
      <c r="A318" s="10"/>
      <c r="B318" s="11"/>
      <c r="C318" s="10"/>
      <c r="D318" s="11"/>
      <c r="E318" s="10"/>
      <c r="F318" s="1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0"/>
      <c r="V318" s="11"/>
      <c r="W318" s="10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2.75" customHeight="1">
      <c r="A319" s="10"/>
      <c r="B319" s="11"/>
      <c r="C319" s="10"/>
      <c r="D319" s="11"/>
      <c r="E319" s="10"/>
      <c r="F319" s="1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0"/>
      <c r="V319" s="11"/>
      <c r="W319" s="10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2.75" customHeight="1">
      <c r="A320" s="10"/>
      <c r="B320" s="11"/>
      <c r="C320" s="10"/>
      <c r="D320" s="11"/>
      <c r="E320" s="10"/>
      <c r="F320" s="1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0"/>
      <c r="V320" s="11"/>
      <c r="W320" s="10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2.75" customHeight="1">
      <c r="A321" s="10"/>
      <c r="B321" s="11"/>
      <c r="C321" s="10"/>
      <c r="D321" s="11"/>
      <c r="E321" s="10"/>
      <c r="F321" s="1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0"/>
      <c r="V321" s="11"/>
      <c r="W321" s="10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2.75" customHeight="1">
      <c r="A322" s="10"/>
      <c r="B322" s="11"/>
      <c r="C322" s="10"/>
      <c r="D322" s="11"/>
      <c r="E322" s="10"/>
      <c r="F322" s="1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0"/>
      <c r="V322" s="11"/>
      <c r="W322" s="10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2.75" customHeight="1">
      <c r="A323" s="10"/>
      <c r="B323" s="11"/>
      <c r="C323" s="10"/>
      <c r="D323" s="11"/>
      <c r="E323" s="10"/>
      <c r="F323" s="1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0"/>
      <c r="V323" s="11"/>
      <c r="W323" s="10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2.75" customHeight="1">
      <c r="A324" s="10"/>
      <c r="B324" s="11"/>
      <c r="C324" s="10"/>
      <c r="D324" s="11"/>
      <c r="E324" s="10"/>
      <c r="F324" s="1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0"/>
      <c r="V324" s="11"/>
      <c r="W324" s="10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2.75" customHeight="1">
      <c r="A325" s="10"/>
      <c r="B325" s="11"/>
      <c r="C325" s="10"/>
      <c r="D325" s="11"/>
      <c r="E325" s="10"/>
      <c r="F325" s="1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0"/>
      <c r="V325" s="11"/>
      <c r="W325" s="10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2.75" customHeight="1">
      <c r="A326" s="10"/>
      <c r="B326" s="11"/>
      <c r="C326" s="10"/>
      <c r="D326" s="11"/>
      <c r="E326" s="10"/>
      <c r="F326" s="1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0"/>
      <c r="V326" s="11"/>
      <c r="W326" s="10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2.75" customHeight="1">
      <c r="A327" s="10"/>
      <c r="B327" s="11"/>
      <c r="C327" s="10"/>
      <c r="D327" s="11"/>
      <c r="E327" s="10"/>
      <c r="F327" s="1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0"/>
      <c r="V327" s="11"/>
      <c r="W327" s="10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2.75" customHeight="1">
      <c r="A328" s="10"/>
      <c r="B328" s="11"/>
      <c r="C328" s="10"/>
      <c r="D328" s="11"/>
      <c r="E328" s="10"/>
      <c r="F328" s="1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0"/>
      <c r="V328" s="11"/>
      <c r="W328" s="10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2.75" customHeight="1">
      <c r="A329" s="10"/>
      <c r="B329" s="11"/>
      <c r="C329" s="10"/>
      <c r="D329" s="11"/>
      <c r="E329" s="10"/>
      <c r="F329" s="1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0"/>
      <c r="V329" s="11"/>
      <c r="W329" s="10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2.75" customHeight="1">
      <c r="A330" s="10"/>
      <c r="B330" s="11"/>
      <c r="C330" s="10"/>
      <c r="D330" s="11"/>
      <c r="E330" s="10"/>
      <c r="F330" s="1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0"/>
      <c r="V330" s="11"/>
      <c r="W330" s="10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2.75" customHeight="1">
      <c r="A331" s="10"/>
      <c r="B331" s="11"/>
      <c r="C331" s="10"/>
      <c r="D331" s="11"/>
      <c r="E331" s="10"/>
      <c r="F331" s="1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0"/>
      <c r="V331" s="11"/>
      <c r="W331" s="10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2.75" customHeight="1">
      <c r="A332" s="10"/>
      <c r="B332" s="11"/>
      <c r="C332" s="10"/>
      <c r="D332" s="11"/>
      <c r="E332" s="10"/>
      <c r="F332" s="1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0"/>
      <c r="V332" s="11"/>
      <c r="W332" s="10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2.75" customHeight="1">
      <c r="A333" s="10"/>
      <c r="B333" s="11"/>
      <c r="C333" s="10"/>
      <c r="D333" s="11"/>
      <c r="E333" s="10"/>
      <c r="F333" s="1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0"/>
      <c r="V333" s="11"/>
      <c r="W333" s="10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2.75" customHeight="1">
      <c r="A334" s="10"/>
      <c r="B334" s="11"/>
      <c r="C334" s="10"/>
      <c r="D334" s="11"/>
      <c r="E334" s="10"/>
      <c r="F334" s="1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0"/>
      <c r="V334" s="11"/>
      <c r="W334" s="10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2.75" customHeight="1">
      <c r="A335" s="10"/>
      <c r="B335" s="11"/>
      <c r="C335" s="10"/>
      <c r="D335" s="11"/>
      <c r="E335" s="10"/>
      <c r="F335" s="1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0"/>
      <c r="V335" s="11"/>
      <c r="W335" s="10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2.75" customHeight="1">
      <c r="A336" s="10"/>
      <c r="B336" s="11"/>
      <c r="C336" s="10"/>
      <c r="D336" s="11"/>
      <c r="E336" s="10"/>
      <c r="F336" s="1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0"/>
      <c r="V336" s="11"/>
      <c r="W336" s="10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2.75" customHeight="1">
      <c r="A337" s="10"/>
      <c r="B337" s="11"/>
      <c r="C337" s="10"/>
      <c r="D337" s="11"/>
      <c r="E337" s="10"/>
      <c r="F337" s="1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0"/>
      <c r="V337" s="11"/>
      <c r="W337" s="10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2.75" customHeight="1">
      <c r="A338" s="10"/>
      <c r="B338" s="11"/>
      <c r="C338" s="10"/>
      <c r="D338" s="11"/>
      <c r="E338" s="10"/>
      <c r="F338" s="1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0"/>
      <c r="V338" s="11"/>
      <c r="W338" s="10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2.75" customHeight="1">
      <c r="A339" s="10"/>
      <c r="B339" s="11"/>
      <c r="C339" s="10"/>
      <c r="D339" s="11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0"/>
      <c r="V339" s="11"/>
      <c r="W339" s="10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2.75" customHeight="1">
      <c r="A340" s="10"/>
      <c r="B340" s="11"/>
      <c r="C340" s="10"/>
      <c r="D340" s="11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0"/>
      <c r="V340" s="11"/>
      <c r="W340" s="10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2.75" customHeight="1">
      <c r="A341" s="10"/>
      <c r="B341" s="11"/>
      <c r="C341" s="10"/>
      <c r="D341" s="11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0"/>
      <c r="V341" s="11"/>
      <c r="W341" s="10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2.75" customHeight="1">
      <c r="A342" s="10"/>
      <c r="B342" s="11"/>
      <c r="C342" s="10"/>
      <c r="D342" s="11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0"/>
      <c r="V342" s="11"/>
      <c r="W342" s="10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2.75" customHeight="1">
      <c r="A343" s="10"/>
      <c r="B343" s="11"/>
      <c r="C343" s="10"/>
      <c r="D343" s="11"/>
      <c r="E343" s="10"/>
      <c r="F343" s="1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0"/>
      <c r="V343" s="11"/>
      <c r="W343" s="10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2.75" customHeight="1">
      <c r="A344" s="10"/>
      <c r="B344" s="11"/>
      <c r="C344" s="10"/>
      <c r="D344" s="11"/>
      <c r="E344" s="10"/>
      <c r="F344" s="1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0"/>
      <c r="V344" s="11"/>
      <c r="W344" s="10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2.75" customHeight="1">
      <c r="A345" s="10"/>
      <c r="B345" s="11"/>
      <c r="C345" s="10"/>
      <c r="D345" s="11"/>
      <c r="E345" s="10"/>
      <c r="F345" s="1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0"/>
      <c r="V345" s="11"/>
      <c r="W345" s="10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2.75" customHeight="1">
      <c r="A346" s="10"/>
      <c r="B346" s="11"/>
      <c r="C346" s="10"/>
      <c r="D346" s="11"/>
      <c r="E346" s="10"/>
      <c r="F346" s="1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0"/>
      <c r="V346" s="11"/>
      <c r="W346" s="10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2.75" customHeight="1">
      <c r="A347" s="10"/>
      <c r="B347" s="11"/>
      <c r="C347" s="10"/>
      <c r="D347" s="11"/>
      <c r="E347" s="10"/>
      <c r="F347" s="1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0"/>
      <c r="V347" s="11"/>
      <c r="W347" s="10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2.75" customHeight="1">
      <c r="A348" s="10"/>
      <c r="B348" s="11"/>
      <c r="C348" s="10"/>
      <c r="D348" s="11"/>
      <c r="E348" s="10"/>
      <c r="F348" s="1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0"/>
      <c r="V348" s="11"/>
      <c r="W348" s="10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2.75" customHeight="1">
      <c r="A349" s="10"/>
      <c r="B349" s="11"/>
      <c r="C349" s="10"/>
      <c r="D349" s="11"/>
      <c r="E349" s="10"/>
      <c r="F349" s="1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0"/>
      <c r="V349" s="11"/>
      <c r="W349" s="10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2.75" customHeight="1">
      <c r="A350" s="10"/>
      <c r="B350" s="11"/>
      <c r="C350" s="10"/>
      <c r="D350" s="11"/>
      <c r="E350" s="10"/>
      <c r="F350" s="1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0"/>
      <c r="V350" s="11"/>
      <c r="W350" s="10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2.75" customHeight="1">
      <c r="A351" s="10"/>
      <c r="B351" s="11"/>
      <c r="C351" s="10"/>
      <c r="D351" s="11"/>
      <c r="E351" s="10"/>
      <c r="F351" s="1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0"/>
      <c r="V351" s="11"/>
      <c r="W351" s="10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2.75" customHeight="1">
      <c r="A352" s="10"/>
      <c r="B352" s="11"/>
      <c r="C352" s="10"/>
      <c r="D352" s="11"/>
      <c r="E352" s="10"/>
      <c r="F352" s="1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0"/>
      <c r="V352" s="11"/>
      <c r="W352" s="10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2.75" customHeight="1">
      <c r="A353" s="10"/>
      <c r="B353" s="11"/>
      <c r="C353" s="10"/>
      <c r="D353" s="11"/>
      <c r="E353" s="10"/>
      <c r="F353" s="1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0"/>
      <c r="V353" s="11"/>
      <c r="W353" s="10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2.75" customHeight="1">
      <c r="A354" s="10"/>
      <c r="B354" s="11"/>
      <c r="C354" s="10"/>
      <c r="D354" s="11"/>
      <c r="E354" s="10"/>
      <c r="F354" s="1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0"/>
      <c r="V354" s="11"/>
      <c r="W354" s="10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2.75" customHeight="1">
      <c r="A355" s="10"/>
      <c r="B355" s="11"/>
      <c r="C355" s="10"/>
      <c r="D355" s="11"/>
      <c r="E355" s="10"/>
      <c r="F355" s="1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0"/>
      <c r="V355" s="11"/>
      <c r="W355" s="10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2.75" customHeight="1">
      <c r="A356" s="10"/>
      <c r="B356" s="11"/>
      <c r="C356" s="10"/>
      <c r="D356" s="11"/>
      <c r="E356" s="10"/>
      <c r="F356" s="1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0"/>
      <c r="V356" s="11"/>
      <c r="W356" s="10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2.75" customHeight="1">
      <c r="A357" s="10"/>
      <c r="B357" s="11"/>
      <c r="C357" s="10"/>
      <c r="D357" s="11"/>
      <c r="E357" s="10"/>
      <c r="F357" s="1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0"/>
      <c r="V357" s="11"/>
      <c r="W357" s="10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2.75" customHeight="1">
      <c r="A358" s="10"/>
      <c r="B358" s="11"/>
      <c r="C358" s="10"/>
      <c r="D358" s="11"/>
      <c r="E358" s="10"/>
      <c r="F358" s="1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0"/>
      <c r="V358" s="11"/>
      <c r="W358" s="10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2.75" customHeight="1">
      <c r="A359" s="10"/>
      <c r="B359" s="11"/>
      <c r="C359" s="10"/>
      <c r="D359" s="11"/>
      <c r="E359" s="10"/>
      <c r="F359" s="1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0"/>
      <c r="V359" s="11"/>
      <c r="W359" s="10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2.75" customHeight="1">
      <c r="A360" s="10"/>
      <c r="B360" s="11"/>
      <c r="C360" s="10"/>
      <c r="D360" s="11"/>
      <c r="E360" s="10"/>
      <c r="F360" s="1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0"/>
      <c r="V360" s="11"/>
      <c r="W360" s="10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2.75" customHeight="1">
      <c r="A361" s="10"/>
      <c r="B361" s="11"/>
      <c r="C361" s="10"/>
      <c r="D361" s="11"/>
      <c r="E361" s="10"/>
      <c r="F361" s="1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0"/>
      <c r="V361" s="11"/>
      <c r="W361" s="10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2.75" customHeight="1">
      <c r="A362" s="10"/>
      <c r="B362" s="11"/>
      <c r="C362" s="10"/>
      <c r="D362" s="11"/>
      <c r="E362" s="10"/>
      <c r="F362" s="1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0"/>
      <c r="V362" s="11"/>
      <c r="W362" s="10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2.75" customHeight="1">
      <c r="A363" s="10"/>
      <c r="B363" s="11"/>
      <c r="C363" s="10"/>
      <c r="D363" s="11"/>
      <c r="E363" s="10"/>
      <c r="F363" s="1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0"/>
      <c r="V363" s="11"/>
      <c r="W363" s="10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2.75" customHeight="1">
      <c r="A364" s="10"/>
      <c r="B364" s="11"/>
      <c r="C364" s="10"/>
      <c r="D364" s="11"/>
      <c r="E364" s="10"/>
      <c r="F364" s="1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0"/>
      <c r="V364" s="11"/>
      <c r="W364" s="10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2.75" customHeight="1">
      <c r="A365" s="10"/>
      <c r="B365" s="11"/>
      <c r="C365" s="10"/>
      <c r="D365" s="11"/>
      <c r="E365" s="10"/>
      <c r="F365" s="1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0"/>
      <c r="V365" s="11"/>
      <c r="W365" s="10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2.75" customHeight="1">
      <c r="A366" s="10"/>
      <c r="B366" s="11"/>
      <c r="C366" s="10"/>
      <c r="D366" s="11"/>
      <c r="E366" s="10"/>
      <c r="F366" s="1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0"/>
      <c r="V366" s="11"/>
      <c r="W366" s="10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2.75" customHeight="1">
      <c r="A367" s="10"/>
      <c r="B367" s="11"/>
      <c r="C367" s="10"/>
      <c r="D367" s="11"/>
      <c r="E367" s="10"/>
      <c r="F367" s="1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0"/>
      <c r="V367" s="11"/>
      <c r="W367" s="10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2.75" customHeight="1">
      <c r="A368" s="10"/>
      <c r="B368" s="11"/>
      <c r="C368" s="10"/>
      <c r="D368" s="11"/>
      <c r="E368" s="10"/>
      <c r="F368" s="1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0"/>
      <c r="V368" s="11"/>
      <c r="W368" s="10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2.75" customHeight="1">
      <c r="A369" s="10"/>
      <c r="B369" s="11"/>
      <c r="C369" s="10"/>
      <c r="D369" s="11"/>
      <c r="E369" s="10"/>
      <c r="F369" s="1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0"/>
      <c r="V369" s="11"/>
      <c r="W369" s="10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2.75" customHeight="1">
      <c r="A370" s="10"/>
      <c r="B370" s="11"/>
      <c r="C370" s="10"/>
      <c r="D370" s="11"/>
      <c r="E370" s="10"/>
      <c r="F370" s="1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0"/>
      <c r="V370" s="11"/>
      <c r="W370" s="10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2.75" customHeight="1">
      <c r="A371" s="10"/>
      <c r="B371" s="11"/>
      <c r="C371" s="10"/>
      <c r="D371" s="11"/>
      <c r="E371" s="10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0"/>
      <c r="V371" s="11"/>
      <c r="W371" s="10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2.75" customHeight="1">
      <c r="A372" s="10"/>
      <c r="B372" s="11"/>
      <c r="C372" s="10"/>
      <c r="D372" s="11"/>
      <c r="E372" s="10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0"/>
      <c r="V372" s="11"/>
      <c r="W372" s="10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2.75" customHeight="1">
      <c r="A373" s="10"/>
      <c r="B373" s="11"/>
      <c r="C373" s="10"/>
      <c r="D373" s="11"/>
      <c r="E373" s="10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0"/>
      <c r="V373" s="11"/>
      <c r="W373" s="10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2.75" customHeight="1">
      <c r="A374" s="10"/>
      <c r="B374" s="11"/>
      <c r="C374" s="10"/>
      <c r="D374" s="11"/>
      <c r="E374" s="10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0"/>
      <c r="V374" s="11"/>
      <c r="W374" s="10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2.75" customHeight="1">
      <c r="A375" s="10"/>
      <c r="B375" s="11"/>
      <c r="C375" s="10"/>
      <c r="D375" s="11"/>
      <c r="E375" s="10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0"/>
      <c r="V375" s="11"/>
      <c r="W375" s="10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2.75" customHeight="1">
      <c r="A376" s="10"/>
      <c r="B376" s="11"/>
      <c r="C376" s="10"/>
      <c r="D376" s="11"/>
      <c r="E376" s="10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0"/>
      <c r="V376" s="11"/>
      <c r="W376" s="10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2.75" customHeight="1">
      <c r="A377" s="10"/>
      <c r="B377" s="11"/>
      <c r="C377" s="10"/>
      <c r="D377" s="11"/>
      <c r="E377" s="10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0"/>
      <c r="V377" s="11"/>
      <c r="W377" s="10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2.75" customHeight="1">
      <c r="A378" s="10"/>
      <c r="B378" s="11"/>
      <c r="C378" s="10"/>
      <c r="D378" s="11"/>
      <c r="E378" s="10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0"/>
      <c r="V378" s="11"/>
      <c r="W378" s="10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2.75" customHeight="1">
      <c r="A379" s="10"/>
      <c r="B379" s="11"/>
      <c r="C379" s="10"/>
      <c r="D379" s="11"/>
      <c r="E379" s="10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0"/>
      <c r="V379" s="11"/>
      <c r="W379" s="10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2.75" customHeight="1">
      <c r="A380" s="10"/>
      <c r="B380" s="11"/>
      <c r="C380" s="10"/>
      <c r="D380" s="11"/>
      <c r="E380" s="10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0"/>
      <c r="V380" s="11"/>
      <c r="W380" s="10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2.75" customHeight="1">
      <c r="A381" s="10"/>
      <c r="B381" s="11"/>
      <c r="C381" s="10"/>
      <c r="D381" s="11"/>
      <c r="E381" s="10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0"/>
      <c r="V381" s="11"/>
      <c r="W381" s="10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2.75" customHeight="1">
      <c r="A382" s="10"/>
      <c r="B382" s="11"/>
      <c r="C382" s="10"/>
      <c r="D382" s="11"/>
      <c r="E382" s="10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0"/>
      <c r="V382" s="11"/>
      <c r="W382" s="10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2.75" customHeight="1">
      <c r="A383" s="10"/>
      <c r="B383" s="11"/>
      <c r="C383" s="10"/>
      <c r="D383" s="11"/>
      <c r="E383" s="10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0"/>
      <c r="V383" s="11"/>
      <c r="W383" s="10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2.75" customHeight="1">
      <c r="A384" s="10"/>
      <c r="B384" s="11"/>
      <c r="C384" s="10"/>
      <c r="D384" s="11"/>
      <c r="E384" s="10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0"/>
      <c r="V384" s="11"/>
      <c r="W384" s="10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2.75" customHeight="1">
      <c r="A385" s="10"/>
      <c r="B385" s="11"/>
      <c r="C385" s="10"/>
      <c r="D385" s="11"/>
      <c r="E385" s="10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0"/>
      <c r="V385" s="11"/>
      <c r="W385" s="10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2.75" customHeight="1">
      <c r="A386" s="10"/>
      <c r="B386" s="11"/>
      <c r="C386" s="10"/>
      <c r="D386" s="11"/>
      <c r="E386" s="10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0"/>
      <c r="V386" s="11"/>
      <c r="W386" s="10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2.75" customHeight="1">
      <c r="A387" s="10"/>
      <c r="B387" s="11"/>
      <c r="C387" s="10"/>
      <c r="D387" s="11"/>
      <c r="E387" s="10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0"/>
      <c r="V387" s="11"/>
      <c r="W387" s="10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2.75" customHeight="1">
      <c r="A388" s="10"/>
      <c r="B388" s="11"/>
      <c r="C388" s="10"/>
      <c r="D388" s="11"/>
      <c r="E388" s="10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0"/>
      <c r="V388" s="11"/>
      <c r="W388" s="10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2.75" customHeight="1">
      <c r="A389" s="10"/>
      <c r="B389" s="11"/>
      <c r="C389" s="10"/>
      <c r="D389" s="11"/>
      <c r="E389" s="10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0"/>
      <c r="V389" s="11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2.75" customHeight="1">
      <c r="A390" s="10"/>
      <c r="B390" s="11"/>
      <c r="C390" s="10"/>
      <c r="D390" s="11"/>
      <c r="E390" s="10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0"/>
      <c r="V390" s="11"/>
      <c r="W390" s="10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2.75" customHeight="1">
      <c r="A391" s="10"/>
      <c r="B391" s="11"/>
      <c r="C391" s="10"/>
      <c r="D391" s="11"/>
      <c r="E391" s="10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0"/>
      <c r="V391" s="11"/>
      <c r="W391" s="10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2.75" customHeight="1">
      <c r="A392" s="10"/>
      <c r="B392" s="11"/>
      <c r="C392" s="10"/>
      <c r="D392" s="11"/>
      <c r="E392" s="10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0"/>
      <c r="V392" s="11"/>
      <c r="W392" s="10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2.75" customHeight="1">
      <c r="A393" s="10"/>
      <c r="B393" s="11"/>
      <c r="C393" s="10"/>
      <c r="D393" s="11"/>
      <c r="E393" s="10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0"/>
      <c r="V393" s="11"/>
      <c r="W393" s="10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2.75" customHeight="1">
      <c r="A394" s="10"/>
      <c r="B394" s="11"/>
      <c r="C394" s="10"/>
      <c r="D394" s="11"/>
      <c r="E394" s="10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0"/>
      <c r="V394" s="11"/>
      <c r="W394" s="10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2.75" customHeight="1">
      <c r="A395" s="10"/>
      <c r="B395" s="11"/>
      <c r="C395" s="10"/>
      <c r="D395" s="11"/>
      <c r="E395" s="10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0"/>
      <c r="V395" s="11"/>
      <c r="W395" s="10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2.75" customHeight="1">
      <c r="A396" s="10"/>
      <c r="B396" s="11"/>
      <c r="C396" s="10"/>
      <c r="D396" s="11"/>
      <c r="E396" s="10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0"/>
      <c r="V396" s="11"/>
      <c r="W396" s="10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2.75" customHeight="1">
      <c r="A397" s="10"/>
      <c r="B397" s="11"/>
      <c r="C397" s="10"/>
      <c r="D397" s="11"/>
      <c r="E397" s="10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0"/>
      <c r="V397" s="11"/>
      <c r="W397" s="10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2.75" customHeight="1">
      <c r="A398" s="10"/>
      <c r="B398" s="11"/>
      <c r="C398" s="10"/>
      <c r="D398" s="11"/>
      <c r="E398" s="10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0"/>
      <c r="V398" s="11"/>
      <c r="W398" s="10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2.75" customHeight="1">
      <c r="A399" s="10"/>
      <c r="B399" s="11"/>
      <c r="C399" s="10"/>
      <c r="D399" s="11"/>
      <c r="E399" s="10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0"/>
      <c r="V399" s="11"/>
      <c r="W399" s="10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2.75" customHeight="1">
      <c r="A400" s="10"/>
      <c r="B400" s="11"/>
      <c r="C400" s="10"/>
      <c r="D400" s="11"/>
      <c r="E400" s="10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0"/>
      <c r="V400" s="11"/>
      <c r="W400" s="10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2.75" customHeight="1">
      <c r="A401" s="10"/>
      <c r="B401" s="11"/>
      <c r="C401" s="10"/>
      <c r="D401" s="11"/>
      <c r="E401" s="10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0"/>
      <c r="V401" s="11"/>
      <c r="W401" s="10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2.75" customHeight="1">
      <c r="A402" s="10"/>
      <c r="B402" s="11"/>
      <c r="C402" s="10"/>
      <c r="D402" s="11"/>
      <c r="E402" s="10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0"/>
      <c r="V402" s="11"/>
      <c r="W402" s="10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2.75" customHeight="1">
      <c r="A403" s="10"/>
      <c r="B403" s="11"/>
      <c r="C403" s="10"/>
      <c r="D403" s="11"/>
      <c r="E403" s="10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0"/>
      <c r="V403" s="11"/>
      <c r="W403" s="10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2.75" customHeight="1">
      <c r="A404" s="10"/>
      <c r="B404" s="11"/>
      <c r="C404" s="10"/>
      <c r="D404" s="11"/>
      <c r="E404" s="10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0"/>
      <c r="V404" s="11"/>
      <c r="W404" s="10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2.75" customHeight="1">
      <c r="A405" s="10"/>
      <c r="B405" s="11"/>
      <c r="C405" s="10"/>
      <c r="D405" s="11"/>
      <c r="E405" s="10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0"/>
      <c r="V405" s="11"/>
      <c r="W405" s="10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2.75" customHeight="1">
      <c r="A406" s="10"/>
      <c r="B406" s="11"/>
      <c r="C406" s="10"/>
      <c r="D406" s="11"/>
      <c r="E406" s="10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0"/>
      <c r="V406" s="11"/>
      <c r="W406" s="10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2.75" customHeight="1">
      <c r="A407" s="10"/>
      <c r="B407" s="11"/>
      <c r="C407" s="10"/>
      <c r="D407" s="11"/>
      <c r="E407" s="10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0"/>
      <c r="V407" s="11"/>
      <c r="W407" s="10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2.75" customHeight="1">
      <c r="A408" s="10"/>
      <c r="B408" s="11"/>
      <c r="C408" s="10"/>
      <c r="D408" s="11"/>
      <c r="E408" s="10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0"/>
      <c r="V408" s="11"/>
      <c r="W408" s="10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2.75" customHeight="1">
      <c r="A409" s="10"/>
      <c r="B409" s="11"/>
      <c r="C409" s="10"/>
      <c r="D409" s="11"/>
      <c r="E409" s="10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0"/>
      <c r="V409" s="11"/>
      <c r="W409" s="10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2.75" customHeight="1">
      <c r="A410" s="10"/>
      <c r="B410" s="11"/>
      <c r="C410" s="10"/>
      <c r="D410" s="11"/>
      <c r="E410" s="10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0"/>
      <c r="V410" s="11"/>
      <c r="W410" s="10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2.75" customHeight="1">
      <c r="A411" s="10"/>
      <c r="B411" s="11"/>
      <c r="C411" s="10"/>
      <c r="D411" s="11"/>
      <c r="E411" s="10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0"/>
      <c r="V411" s="11"/>
      <c r="W411" s="10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2.75" customHeight="1">
      <c r="A412" s="10"/>
      <c r="B412" s="11"/>
      <c r="C412" s="10"/>
      <c r="D412" s="11"/>
      <c r="E412" s="10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0"/>
      <c r="V412" s="11"/>
      <c r="W412" s="10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2.75" customHeight="1">
      <c r="A413" s="10"/>
      <c r="B413" s="11"/>
      <c r="C413" s="10"/>
      <c r="D413" s="11"/>
      <c r="E413" s="10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0"/>
      <c r="V413" s="11"/>
      <c r="W413" s="10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2.75" customHeight="1">
      <c r="A414" s="10"/>
      <c r="B414" s="11"/>
      <c r="C414" s="10"/>
      <c r="D414" s="11"/>
      <c r="E414" s="10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0"/>
      <c r="V414" s="11"/>
      <c r="W414" s="10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2.75" customHeight="1">
      <c r="A415" s="10"/>
      <c r="B415" s="11"/>
      <c r="C415" s="10"/>
      <c r="D415" s="11"/>
      <c r="E415" s="10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0"/>
      <c r="V415" s="11"/>
      <c r="W415" s="10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2.75" customHeight="1">
      <c r="A416" s="10"/>
      <c r="B416" s="11"/>
      <c r="C416" s="10"/>
      <c r="D416" s="11"/>
      <c r="E416" s="10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0"/>
      <c r="V416" s="11"/>
      <c r="W416" s="10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2.75" customHeight="1">
      <c r="A417" s="10"/>
      <c r="B417" s="11"/>
      <c r="C417" s="10"/>
      <c r="D417" s="11"/>
      <c r="E417" s="10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0"/>
      <c r="V417" s="11"/>
      <c r="W417" s="10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2.75" customHeight="1">
      <c r="A418" s="10"/>
      <c r="B418" s="11"/>
      <c r="C418" s="10"/>
      <c r="D418" s="11"/>
      <c r="E418" s="10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0"/>
      <c r="V418" s="11"/>
      <c r="W418" s="10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2.75" customHeight="1">
      <c r="A419" s="10"/>
      <c r="B419" s="11"/>
      <c r="C419" s="10"/>
      <c r="D419" s="11"/>
      <c r="E419" s="10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0"/>
      <c r="V419" s="11"/>
      <c r="W419" s="10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2.75" customHeight="1">
      <c r="A420" s="10"/>
      <c r="B420" s="11"/>
      <c r="C420" s="10"/>
      <c r="D420" s="11"/>
      <c r="E420" s="10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0"/>
      <c r="V420" s="11"/>
      <c r="W420" s="10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2.75" customHeight="1">
      <c r="A421" s="10"/>
      <c r="B421" s="11"/>
      <c r="C421" s="10"/>
      <c r="D421" s="11"/>
      <c r="E421" s="10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0"/>
      <c r="V421" s="11"/>
      <c r="W421" s="10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2.75" customHeight="1">
      <c r="A422" s="10"/>
      <c r="B422" s="11"/>
      <c r="C422" s="10"/>
      <c r="D422" s="11"/>
      <c r="E422" s="10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0"/>
      <c r="V422" s="11"/>
      <c r="W422" s="10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2.75" customHeight="1">
      <c r="A423" s="10"/>
      <c r="B423" s="11"/>
      <c r="C423" s="10"/>
      <c r="D423" s="11"/>
      <c r="E423" s="10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0"/>
      <c r="V423" s="11"/>
      <c r="W423" s="10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2.75" customHeight="1">
      <c r="A424" s="10"/>
      <c r="B424" s="11"/>
      <c r="C424" s="10"/>
      <c r="D424" s="11"/>
      <c r="E424" s="10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0"/>
      <c r="V424" s="11"/>
      <c r="W424" s="10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2.75" customHeight="1">
      <c r="A425" s="10"/>
      <c r="B425" s="11"/>
      <c r="C425" s="10"/>
      <c r="D425" s="11"/>
      <c r="E425" s="10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0"/>
      <c r="V425" s="11"/>
      <c r="W425" s="10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2.75" customHeight="1">
      <c r="A426" s="10"/>
      <c r="B426" s="11"/>
      <c r="C426" s="10"/>
      <c r="D426" s="11"/>
      <c r="E426" s="10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0"/>
      <c r="V426" s="11"/>
      <c r="W426" s="10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2.75" customHeight="1">
      <c r="A427" s="10"/>
      <c r="B427" s="11"/>
      <c r="C427" s="10"/>
      <c r="D427" s="11"/>
      <c r="E427" s="10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0"/>
      <c r="V427" s="11"/>
      <c r="W427" s="10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2.75" customHeight="1">
      <c r="A428" s="10"/>
      <c r="B428" s="11"/>
      <c r="C428" s="10"/>
      <c r="D428" s="11"/>
      <c r="E428" s="10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0"/>
      <c r="V428" s="11"/>
      <c r="W428" s="10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2.75" customHeight="1">
      <c r="A429" s="10"/>
      <c r="B429" s="11"/>
      <c r="C429" s="10"/>
      <c r="D429" s="11"/>
      <c r="E429" s="10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0"/>
      <c r="V429" s="11"/>
      <c r="W429" s="10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2.75" customHeight="1">
      <c r="A430" s="10"/>
      <c r="B430" s="11"/>
      <c r="C430" s="10"/>
      <c r="D430" s="11"/>
      <c r="E430" s="10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0"/>
      <c r="V430" s="11"/>
      <c r="W430" s="10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2.75" customHeight="1">
      <c r="A431" s="10"/>
      <c r="B431" s="11"/>
      <c r="C431" s="10"/>
      <c r="D431" s="11"/>
      <c r="E431" s="10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0"/>
      <c r="V431" s="11"/>
      <c r="W431" s="10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2.75" customHeight="1">
      <c r="A432" s="10"/>
      <c r="B432" s="11"/>
      <c r="C432" s="10"/>
      <c r="D432" s="11"/>
      <c r="E432" s="10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0"/>
      <c r="V432" s="11"/>
      <c r="W432" s="10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2.75" customHeight="1">
      <c r="A433" s="10"/>
      <c r="B433" s="11"/>
      <c r="C433" s="10"/>
      <c r="D433" s="11"/>
      <c r="E433" s="10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0"/>
      <c r="V433" s="11"/>
      <c r="W433" s="10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2.75" customHeight="1">
      <c r="A434" s="10"/>
      <c r="B434" s="11"/>
      <c r="C434" s="10"/>
      <c r="D434" s="11"/>
      <c r="E434" s="10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0"/>
      <c r="V434" s="11"/>
      <c r="W434" s="10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2.75" customHeight="1">
      <c r="A435" s="10"/>
      <c r="B435" s="11"/>
      <c r="C435" s="10"/>
      <c r="D435" s="11"/>
      <c r="E435" s="10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0"/>
      <c r="V435" s="11"/>
      <c r="W435" s="10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2.75" customHeight="1">
      <c r="A436" s="10"/>
      <c r="B436" s="11"/>
      <c r="C436" s="10"/>
      <c r="D436" s="11"/>
      <c r="E436" s="10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0"/>
      <c r="V436" s="11"/>
      <c r="W436" s="10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2.75" customHeight="1">
      <c r="A437" s="10"/>
      <c r="B437" s="11"/>
      <c r="C437" s="10"/>
      <c r="D437" s="11"/>
      <c r="E437" s="10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0"/>
      <c r="V437" s="11"/>
      <c r="W437" s="10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2.75" customHeight="1">
      <c r="A438" s="10"/>
      <c r="B438" s="11"/>
      <c r="C438" s="10"/>
      <c r="D438" s="11"/>
      <c r="E438" s="10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0"/>
      <c r="V438" s="11"/>
      <c r="W438" s="10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2.75" customHeight="1">
      <c r="A439" s="10"/>
      <c r="B439" s="11"/>
      <c r="C439" s="10"/>
      <c r="D439" s="11"/>
      <c r="E439" s="10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0"/>
      <c r="V439" s="11"/>
      <c r="W439" s="10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2.75" customHeight="1">
      <c r="A440" s="10"/>
      <c r="B440" s="11"/>
      <c r="C440" s="10"/>
      <c r="D440" s="11"/>
      <c r="E440" s="10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0"/>
      <c r="V440" s="11"/>
      <c r="W440" s="10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2.75" customHeight="1">
      <c r="A441" s="10"/>
      <c r="B441" s="11"/>
      <c r="C441" s="10"/>
      <c r="D441" s="11"/>
      <c r="E441" s="10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0"/>
      <c r="V441" s="11"/>
      <c r="W441" s="10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2.75" customHeight="1">
      <c r="A442" s="10"/>
      <c r="B442" s="11"/>
      <c r="C442" s="10"/>
      <c r="D442" s="11"/>
      <c r="E442" s="10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0"/>
      <c r="V442" s="11"/>
      <c r="W442" s="10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2.75" customHeight="1">
      <c r="A443" s="10"/>
      <c r="B443" s="11"/>
      <c r="C443" s="10"/>
      <c r="D443" s="11"/>
      <c r="E443" s="10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0"/>
      <c r="V443" s="11"/>
      <c r="W443" s="10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2.75" customHeight="1">
      <c r="A444" s="10"/>
      <c r="B444" s="11"/>
      <c r="C444" s="10"/>
      <c r="D444" s="11"/>
      <c r="E444" s="10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0"/>
      <c r="V444" s="11"/>
      <c r="W444" s="10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2.75" customHeight="1">
      <c r="A445" s="10"/>
      <c r="B445" s="11"/>
      <c r="C445" s="10"/>
      <c r="D445" s="11"/>
      <c r="E445" s="10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0"/>
      <c r="V445" s="11"/>
      <c r="W445" s="10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2.75" customHeight="1">
      <c r="A446" s="10"/>
      <c r="B446" s="11"/>
      <c r="C446" s="10"/>
      <c r="D446" s="11"/>
      <c r="E446" s="10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0"/>
      <c r="V446" s="11"/>
      <c r="W446" s="10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2.75" customHeight="1">
      <c r="A447" s="10"/>
      <c r="B447" s="11"/>
      <c r="C447" s="10"/>
      <c r="D447" s="11"/>
      <c r="E447" s="10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0"/>
      <c r="V447" s="11"/>
      <c r="W447" s="10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2.75" customHeight="1">
      <c r="A448" s="10"/>
      <c r="B448" s="11"/>
      <c r="C448" s="10"/>
      <c r="D448" s="11"/>
      <c r="E448" s="10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0"/>
      <c r="V448" s="11"/>
      <c r="W448" s="10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2.75" customHeight="1">
      <c r="A449" s="10"/>
      <c r="B449" s="11"/>
      <c r="C449" s="10"/>
      <c r="D449" s="11"/>
      <c r="E449" s="10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0"/>
      <c r="V449" s="11"/>
      <c r="W449" s="10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2.75" customHeight="1">
      <c r="A450" s="10"/>
      <c r="B450" s="11"/>
      <c r="C450" s="10"/>
      <c r="D450" s="11"/>
      <c r="E450" s="10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0"/>
      <c r="V450" s="11"/>
      <c r="W450" s="10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2.75" customHeight="1">
      <c r="A451" s="10"/>
      <c r="B451" s="11"/>
      <c r="C451" s="10"/>
      <c r="D451" s="11"/>
      <c r="E451" s="10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0"/>
      <c r="V451" s="11"/>
      <c r="W451" s="10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2.75" customHeight="1">
      <c r="A452" s="10"/>
      <c r="B452" s="11"/>
      <c r="C452" s="10"/>
      <c r="D452" s="11"/>
      <c r="E452" s="10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0"/>
      <c r="V452" s="11"/>
      <c r="W452" s="10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2.75" customHeight="1">
      <c r="A453" s="10"/>
      <c r="B453" s="11"/>
      <c r="C453" s="10"/>
      <c r="D453" s="11"/>
      <c r="E453" s="10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0"/>
      <c r="V453" s="11"/>
      <c r="W453" s="10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2.75" customHeight="1">
      <c r="A454" s="10"/>
      <c r="B454" s="11"/>
      <c r="C454" s="10"/>
      <c r="D454" s="11"/>
      <c r="E454" s="10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0"/>
      <c r="V454" s="11"/>
      <c r="W454" s="10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2.75" customHeight="1">
      <c r="A455" s="10"/>
      <c r="B455" s="11"/>
      <c r="C455" s="10"/>
      <c r="D455" s="11"/>
      <c r="E455" s="10"/>
      <c r="F455" s="1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0"/>
      <c r="V455" s="11"/>
      <c r="W455" s="10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2.75" customHeight="1">
      <c r="A456" s="10"/>
      <c r="B456" s="11"/>
      <c r="C456" s="10"/>
      <c r="D456" s="11"/>
      <c r="E456" s="10"/>
      <c r="F456" s="1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0"/>
      <c r="V456" s="11"/>
      <c r="W456" s="10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2.75" customHeight="1">
      <c r="A457" s="10"/>
      <c r="B457" s="11"/>
      <c r="C457" s="10"/>
      <c r="D457" s="11"/>
      <c r="E457" s="10"/>
      <c r="F457" s="1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0"/>
      <c r="V457" s="11"/>
      <c r="W457" s="10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2.75" customHeight="1">
      <c r="A458" s="10"/>
      <c r="B458" s="11"/>
      <c r="C458" s="10"/>
      <c r="D458" s="11"/>
      <c r="E458" s="10"/>
      <c r="F458" s="1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0"/>
      <c r="V458" s="11"/>
      <c r="W458" s="10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2.75" customHeight="1">
      <c r="A459" s="10"/>
      <c r="B459" s="11"/>
      <c r="C459" s="10"/>
      <c r="D459" s="11"/>
      <c r="E459" s="10"/>
      <c r="F459" s="1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0"/>
      <c r="V459" s="11"/>
      <c r="W459" s="10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2.75" customHeight="1">
      <c r="A460" s="10"/>
      <c r="B460" s="11"/>
      <c r="C460" s="10"/>
      <c r="D460" s="11"/>
      <c r="E460" s="10"/>
      <c r="F460" s="1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0"/>
      <c r="V460" s="11"/>
      <c r="W460" s="10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2.75" customHeight="1">
      <c r="A461" s="10"/>
      <c r="B461" s="11"/>
      <c r="C461" s="10"/>
      <c r="D461" s="11"/>
      <c r="E461" s="10"/>
      <c r="F461" s="1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0"/>
      <c r="V461" s="11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2.75" customHeight="1">
      <c r="A462" s="10"/>
      <c r="B462" s="11"/>
      <c r="C462" s="10"/>
      <c r="D462" s="11"/>
      <c r="E462" s="10"/>
      <c r="F462" s="1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0"/>
      <c r="V462" s="11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2.75" customHeight="1">
      <c r="A463" s="10"/>
      <c r="B463" s="11"/>
      <c r="C463" s="10"/>
      <c r="D463" s="11"/>
      <c r="E463" s="10"/>
      <c r="F463" s="1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0"/>
      <c r="V463" s="11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2.75" customHeight="1">
      <c r="A464" s="10"/>
      <c r="B464" s="11"/>
      <c r="C464" s="10"/>
      <c r="D464" s="11"/>
      <c r="E464" s="10"/>
      <c r="F464" s="1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0"/>
      <c r="V464" s="11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2.75" customHeight="1">
      <c r="A465" s="10"/>
      <c r="B465" s="11"/>
      <c r="C465" s="10"/>
      <c r="D465" s="11"/>
      <c r="E465" s="10"/>
      <c r="F465" s="1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0"/>
      <c r="V465" s="11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2.75" customHeight="1">
      <c r="A466" s="10"/>
      <c r="B466" s="11"/>
      <c r="C466" s="10"/>
      <c r="D466" s="11"/>
      <c r="E466" s="10"/>
      <c r="F466" s="1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0"/>
      <c r="V466" s="11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2.75" customHeight="1">
      <c r="A467" s="10"/>
      <c r="B467" s="11"/>
      <c r="C467" s="10"/>
      <c r="D467" s="11"/>
      <c r="E467" s="10"/>
      <c r="F467" s="1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0"/>
      <c r="V467" s="11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2.75" customHeight="1">
      <c r="A468" s="10"/>
      <c r="B468" s="11"/>
      <c r="C468" s="10"/>
      <c r="D468" s="11"/>
      <c r="E468" s="10"/>
      <c r="F468" s="1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0"/>
      <c r="V468" s="11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2.75" customHeight="1">
      <c r="A469" s="10"/>
      <c r="B469" s="11"/>
      <c r="C469" s="10"/>
      <c r="D469" s="11"/>
      <c r="E469" s="10"/>
      <c r="F469" s="1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0"/>
      <c r="V469" s="11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2.75" customHeight="1">
      <c r="A470" s="10"/>
      <c r="B470" s="11"/>
      <c r="C470" s="10"/>
      <c r="D470" s="11"/>
      <c r="E470" s="10"/>
      <c r="F470" s="1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0"/>
      <c r="V470" s="11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2.75" customHeight="1">
      <c r="A471" s="10"/>
      <c r="B471" s="11"/>
      <c r="C471" s="10"/>
      <c r="D471" s="11"/>
      <c r="E471" s="10"/>
      <c r="F471" s="1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0"/>
      <c r="V471" s="11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2.75" customHeight="1">
      <c r="A472" s="10"/>
      <c r="B472" s="11"/>
      <c r="C472" s="10"/>
      <c r="D472" s="11"/>
      <c r="E472" s="10"/>
      <c r="F472" s="1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0"/>
      <c r="V472" s="11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2.75" customHeight="1">
      <c r="A473" s="10"/>
      <c r="B473" s="11"/>
      <c r="C473" s="10"/>
      <c r="D473" s="11"/>
      <c r="E473" s="10"/>
      <c r="F473" s="1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0"/>
      <c r="V473" s="11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2.75" customHeight="1">
      <c r="A474" s="10"/>
      <c r="B474" s="11"/>
      <c r="C474" s="10"/>
      <c r="D474" s="11"/>
      <c r="E474" s="10"/>
      <c r="F474" s="1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0"/>
      <c r="V474" s="11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2.75" customHeight="1">
      <c r="A475" s="10"/>
      <c r="B475" s="11"/>
      <c r="C475" s="10"/>
      <c r="D475" s="11"/>
      <c r="E475" s="10"/>
      <c r="F475" s="1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0"/>
      <c r="V475" s="11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2.75" customHeight="1">
      <c r="A476" s="10"/>
      <c r="B476" s="11"/>
      <c r="C476" s="10"/>
      <c r="D476" s="11"/>
      <c r="E476" s="10"/>
      <c r="F476" s="1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0"/>
      <c r="V476" s="11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2.75" customHeight="1">
      <c r="A477" s="10"/>
      <c r="B477" s="11"/>
      <c r="C477" s="10"/>
      <c r="D477" s="11"/>
      <c r="E477" s="10"/>
      <c r="F477" s="1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0"/>
      <c r="V477" s="11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2.75" customHeight="1">
      <c r="A478" s="10"/>
      <c r="B478" s="11"/>
      <c r="C478" s="10"/>
      <c r="D478" s="11"/>
      <c r="E478" s="10"/>
      <c r="F478" s="1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0"/>
      <c r="V478" s="11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2.75" customHeight="1">
      <c r="A479" s="10"/>
      <c r="B479" s="11"/>
      <c r="C479" s="10"/>
      <c r="D479" s="11"/>
      <c r="E479" s="10"/>
      <c r="F479" s="1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0"/>
      <c r="V479" s="11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2.75" customHeight="1">
      <c r="A480" s="10"/>
      <c r="B480" s="11"/>
      <c r="C480" s="10"/>
      <c r="D480" s="11"/>
      <c r="E480" s="10"/>
      <c r="F480" s="1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0"/>
      <c r="V480" s="11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2.75" customHeight="1">
      <c r="A481" s="10"/>
      <c r="B481" s="11"/>
      <c r="C481" s="10"/>
      <c r="D481" s="11"/>
      <c r="E481" s="10"/>
      <c r="F481" s="1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0"/>
      <c r="V481" s="11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2.75" customHeight="1">
      <c r="A482" s="10"/>
      <c r="B482" s="11"/>
      <c r="C482" s="10"/>
      <c r="D482" s="11"/>
      <c r="E482" s="10"/>
      <c r="F482" s="1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0"/>
      <c r="V482" s="11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2.75" customHeight="1">
      <c r="A483" s="10"/>
      <c r="B483" s="11"/>
      <c r="C483" s="10"/>
      <c r="D483" s="11"/>
      <c r="E483" s="10"/>
      <c r="F483" s="1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0"/>
      <c r="V483" s="11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2.75" customHeight="1">
      <c r="A484" s="10"/>
      <c r="B484" s="11"/>
      <c r="C484" s="10"/>
      <c r="D484" s="11"/>
      <c r="E484" s="10"/>
      <c r="F484" s="1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0"/>
      <c r="V484" s="11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2.75" customHeight="1">
      <c r="A485" s="10"/>
      <c r="B485" s="11"/>
      <c r="C485" s="10"/>
      <c r="D485" s="11"/>
      <c r="E485" s="10"/>
      <c r="F485" s="1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0"/>
      <c r="V485" s="11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2.75" customHeight="1">
      <c r="A486" s="10"/>
      <c r="B486" s="11"/>
      <c r="C486" s="10"/>
      <c r="D486" s="11"/>
      <c r="E486" s="10"/>
      <c r="F486" s="1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0"/>
      <c r="V486" s="11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2.75" customHeight="1">
      <c r="A487" s="10"/>
      <c r="B487" s="11"/>
      <c r="C487" s="10"/>
      <c r="D487" s="11"/>
      <c r="E487" s="10"/>
      <c r="F487" s="1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0"/>
      <c r="V487" s="11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2.75" customHeight="1">
      <c r="A488" s="10"/>
      <c r="B488" s="11"/>
      <c r="C488" s="10"/>
      <c r="D488" s="11"/>
      <c r="E488" s="10"/>
      <c r="F488" s="1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0"/>
      <c r="V488" s="11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2.75" customHeight="1">
      <c r="A489" s="10"/>
      <c r="B489" s="11"/>
      <c r="C489" s="10"/>
      <c r="D489" s="11"/>
      <c r="E489" s="10"/>
      <c r="F489" s="1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0"/>
      <c r="V489" s="11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2.75" customHeight="1">
      <c r="A490" s="10"/>
      <c r="B490" s="11"/>
      <c r="C490" s="10"/>
      <c r="D490" s="11"/>
      <c r="E490" s="10"/>
      <c r="F490" s="1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0"/>
      <c r="V490" s="11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2.75" customHeight="1">
      <c r="A491" s="10"/>
      <c r="B491" s="11"/>
      <c r="C491" s="10"/>
      <c r="D491" s="11"/>
      <c r="E491" s="10"/>
      <c r="F491" s="1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0"/>
      <c r="V491" s="11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2.75" customHeight="1">
      <c r="A492" s="10"/>
      <c r="B492" s="11"/>
      <c r="C492" s="10"/>
      <c r="D492" s="11"/>
      <c r="E492" s="10"/>
      <c r="F492" s="1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0"/>
      <c r="V492" s="11"/>
      <c r="W492" s="10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2.75" customHeight="1">
      <c r="A493" s="10"/>
      <c r="B493" s="11"/>
      <c r="C493" s="10"/>
      <c r="D493" s="11"/>
      <c r="E493" s="10"/>
      <c r="F493" s="1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0"/>
      <c r="V493" s="11"/>
      <c r="W493" s="10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2.75" customHeight="1">
      <c r="A494" s="10"/>
      <c r="B494" s="11"/>
      <c r="C494" s="10"/>
      <c r="D494" s="11"/>
      <c r="E494" s="10"/>
      <c r="F494" s="1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0"/>
      <c r="V494" s="11"/>
      <c r="W494" s="10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2.75" customHeight="1">
      <c r="A495" s="10"/>
      <c r="B495" s="11"/>
      <c r="C495" s="10"/>
      <c r="D495" s="11"/>
      <c r="E495" s="10"/>
      <c r="F495" s="1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0"/>
      <c r="V495" s="11"/>
      <c r="W495" s="10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2.75" customHeight="1">
      <c r="A496" s="10"/>
      <c r="B496" s="11"/>
      <c r="C496" s="10"/>
      <c r="D496" s="11"/>
      <c r="E496" s="10"/>
      <c r="F496" s="1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0"/>
      <c r="V496" s="11"/>
      <c r="W496" s="10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2.75" customHeight="1">
      <c r="A497" s="10"/>
      <c r="B497" s="11"/>
      <c r="C497" s="10"/>
      <c r="D497" s="11"/>
      <c r="E497" s="10"/>
      <c r="F497" s="1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0"/>
      <c r="V497" s="11"/>
      <c r="W497" s="10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2.75" customHeight="1">
      <c r="A498" s="10"/>
      <c r="B498" s="11"/>
      <c r="C498" s="10"/>
      <c r="D498" s="11"/>
      <c r="E498" s="10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0"/>
      <c r="V498" s="11"/>
      <c r="W498" s="10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2.75" customHeight="1">
      <c r="A499" s="10"/>
      <c r="B499" s="11"/>
      <c r="C499" s="10"/>
      <c r="D499" s="11"/>
      <c r="E499" s="10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0"/>
      <c r="V499" s="11"/>
      <c r="W499" s="10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2.75" customHeight="1">
      <c r="A500" s="10"/>
      <c r="B500" s="11"/>
      <c r="C500" s="10"/>
      <c r="D500" s="11"/>
      <c r="E500" s="10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0"/>
      <c r="V500" s="11"/>
      <c r="W500" s="10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2.75" customHeight="1">
      <c r="A501" s="10"/>
      <c r="B501" s="11"/>
      <c r="C501" s="10"/>
      <c r="D501" s="11"/>
      <c r="E501" s="10"/>
      <c r="F501" s="1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0"/>
      <c r="V501" s="11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2.75" customHeight="1">
      <c r="A502" s="10"/>
      <c r="B502" s="11"/>
      <c r="C502" s="10"/>
      <c r="D502" s="11"/>
      <c r="E502" s="10"/>
      <c r="F502" s="1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0"/>
      <c r="V502" s="11"/>
      <c r="W502" s="10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2.75" customHeight="1">
      <c r="A503" s="10"/>
      <c r="B503" s="11"/>
      <c r="C503" s="10"/>
      <c r="D503" s="11"/>
      <c r="E503" s="10"/>
      <c r="F503" s="1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0"/>
      <c r="V503" s="11"/>
      <c r="W503" s="10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2.75" customHeight="1">
      <c r="A504" s="10"/>
      <c r="B504" s="11"/>
      <c r="C504" s="10"/>
      <c r="D504" s="11"/>
      <c r="E504" s="10"/>
      <c r="F504" s="1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0"/>
      <c r="V504" s="11"/>
      <c r="W504" s="10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2.75" customHeight="1">
      <c r="A505" s="10"/>
      <c r="B505" s="11"/>
      <c r="C505" s="10"/>
      <c r="D505" s="11"/>
      <c r="E505" s="10"/>
      <c r="F505" s="1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0"/>
      <c r="V505" s="11"/>
      <c r="W505" s="10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2.75" customHeight="1">
      <c r="A506" s="10"/>
      <c r="B506" s="11"/>
      <c r="C506" s="10"/>
      <c r="D506" s="11"/>
      <c r="E506" s="10"/>
      <c r="F506" s="1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0"/>
      <c r="V506" s="11"/>
      <c r="W506" s="10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2.75" customHeight="1">
      <c r="A507" s="10"/>
      <c r="B507" s="11"/>
      <c r="C507" s="10"/>
      <c r="D507" s="11"/>
      <c r="E507" s="10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0"/>
      <c r="V507" s="11"/>
      <c r="W507" s="10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2.75" customHeight="1">
      <c r="A508" s="10"/>
      <c r="B508" s="11"/>
      <c r="C508" s="10"/>
      <c r="D508" s="11"/>
      <c r="E508" s="10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0"/>
      <c r="V508" s="11"/>
      <c r="W508" s="10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2.75" customHeight="1">
      <c r="A509" s="10"/>
      <c r="B509" s="11"/>
      <c r="C509" s="10"/>
      <c r="D509" s="11"/>
      <c r="E509" s="10"/>
      <c r="F509" s="1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0"/>
      <c r="V509" s="11"/>
      <c r="W509" s="10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2.75" customHeight="1">
      <c r="A510" s="10"/>
      <c r="B510" s="11"/>
      <c r="C510" s="10"/>
      <c r="D510" s="11"/>
      <c r="E510" s="10"/>
      <c r="F510" s="1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0"/>
      <c r="V510" s="11"/>
      <c r="W510" s="10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2.75" customHeight="1">
      <c r="A511" s="10"/>
      <c r="B511" s="11"/>
      <c r="C511" s="10"/>
      <c r="D511" s="11"/>
      <c r="E511" s="10"/>
      <c r="F511" s="1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0"/>
      <c r="V511" s="11"/>
      <c r="W511" s="10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2.75" customHeight="1">
      <c r="A512" s="10"/>
      <c r="B512" s="11"/>
      <c r="C512" s="10"/>
      <c r="D512" s="11"/>
      <c r="E512" s="10"/>
      <c r="F512" s="1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0"/>
      <c r="V512" s="11"/>
      <c r="W512" s="10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2.75" customHeight="1">
      <c r="A513" s="10"/>
      <c r="B513" s="11"/>
      <c r="C513" s="10"/>
      <c r="D513" s="11"/>
      <c r="E513" s="10"/>
      <c r="F513" s="1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0"/>
      <c r="V513" s="11"/>
      <c r="W513" s="10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2.75" customHeight="1">
      <c r="A514" s="10"/>
      <c r="B514" s="11"/>
      <c r="C514" s="10"/>
      <c r="D514" s="11"/>
      <c r="E514" s="10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0"/>
      <c r="V514" s="11"/>
      <c r="W514" s="10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2.75" customHeight="1">
      <c r="A515" s="10"/>
      <c r="B515" s="11"/>
      <c r="C515" s="10"/>
      <c r="D515" s="11"/>
      <c r="E515" s="10"/>
      <c r="F515" s="1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0"/>
      <c r="V515" s="11"/>
      <c r="W515" s="10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2.75" customHeight="1">
      <c r="A516" s="10"/>
      <c r="B516" s="11"/>
      <c r="C516" s="10"/>
      <c r="D516" s="11"/>
      <c r="E516" s="10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0"/>
      <c r="V516" s="11"/>
      <c r="W516" s="10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2.75" customHeight="1">
      <c r="A517" s="10"/>
      <c r="B517" s="11"/>
      <c r="C517" s="10"/>
      <c r="D517" s="11"/>
      <c r="E517" s="10"/>
      <c r="F517" s="1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0"/>
      <c r="V517" s="11"/>
      <c r="W517" s="10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2.75" customHeight="1">
      <c r="A518" s="10"/>
      <c r="B518" s="11"/>
      <c r="C518" s="10"/>
      <c r="D518" s="11"/>
      <c r="E518" s="10"/>
      <c r="F518" s="1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0"/>
      <c r="V518" s="11"/>
      <c r="W518" s="10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2.75" customHeight="1">
      <c r="A519" s="10"/>
      <c r="B519" s="11"/>
      <c r="C519" s="10"/>
      <c r="D519" s="11"/>
      <c r="E519" s="10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0"/>
      <c r="V519" s="11"/>
      <c r="W519" s="10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2.75" customHeight="1">
      <c r="A520" s="10"/>
      <c r="B520" s="11"/>
      <c r="C520" s="10"/>
      <c r="D520" s="11"/>
      <c r="E520" s="10"/>
      <c r="F520" s="1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0"/>
      <c r="V520" s="11"/>
      <c r="W520" s="10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2.75" customHeight="1">
      <c r="A521" s="10"/>
      <c r="B521" s="11"/>
      <c r="C521" s="10"/>
      <c r="D521" s="11"/>
      <c r="E521" s="10"/>
      <c r="F521" s="1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0"/>
      <c r="V521" s="11"/>
      <c r="W521" s="10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2.75" customHeight="1">
      <c r="A522" s="10"/>
      <c r="B522" s="11"/>
      <c r="C522" s="10"/>
      <c r="D522" s="11"/>
      <c r="E522" s="10"/>
      <c r="F522" s="1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0"/>
      <c r="V522" s="11"/>
      <c r="W522" s="10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2.75" customHeight="1">
      <c r="A523" s="10"/>
      <c r="B523" s="11"/>
      <c r="C523" s="10"/>
      <c r="D523" s="11"/>
      <c r="E523" s="10"/>
      <c r="F523" s="1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0"/>
      <c r="V523" s="11"/>
      <c r="W523" s="10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2.75" customHeight="1">
      <c r="A524" s="10"/>
      <c r="B524" s="11"/>
      <c r="C524" s="10"/>
      <c r="D524" s="11"/>
      <c r="E524" s="10"/>
      <c r="F524" s="1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0"/>
      <c r="V524" s="11"/>
      <c r="W524" s="10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2.75" customHeight="1">
      <c r="A525" s="10"/>
      <c r="B525" s="11"/>
      <c r="C525" s="10"/>
      <c r="D525" s="11"/>
      <c r="E525" s="10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0"/>
      <c r="V525" s="11"/>
      <c r="W525" s="10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2.75" customHeight="1">
      <c r="A526" s="10"/>
      <c r="B526" s="11"/>
      <c r="C526" s="10"/>
      <c r="D526" s="11"/>
      <c r="E526" s="10"/>
      <c r="F526" s="1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0"/>
      <c r="V526" s="11"/>
      <c r="W526" s="10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2.75" customHeight="1">
      <c r="A527" s="10"/>
      <c r="B527" s="11"/>
      <c r="C527" s="10"/>
      <c r="D527" s="11"/>
      <c r="E527" s="10"/>
      <c r="F527" s="1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0"/>
      <c r="V527" s="11"/>
      <c r="W527" s="10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2.75" customHeight="1">
      <c r="A528" s="10"/>
      <c r="B528" s="11"/>
      <c r="C528" s="10"/>
      <c r="D528" s="11"/>
      <c r="E528" s="10"/>
      <c r="F528" s="1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0"/>
      <c r="V528" s="11"/>
      <c r="W528" s="10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2.75" customHeight="1">
      <c r="A529" s="10"/>
      <c r="B529" s="11"/>
      <c r="C529" s="10"/>
      <c r="D529" s="11"/>
      <c r="E529" s="10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0"/>
      <c r="V529" s="11"/>
      <c r="W529" s="10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2.75" customHeight="1">
      <c r="A530" s="10"/>
      <c r="B530" s="11"/>
      <c r="C530" s="10"/>
      <c r="D530" s="11"/>
      <c r="E530" s="10"/>
      <c r="F530" s="1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0"/>
      <c r="V530" s="11"/>
      <c r="W530" s="10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2.75" customHeight="1">
      <c r="A531" s="10"/>
      <c r="B531" s="11"/>
      <c r="C531" s="10"/>
      <c r="D531" s="11"/>
      <c r="E531" s="10"/>
      <c r="F531" s="1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0"/>
      <c r="V531" s="11"/>
      <c r="W531" s="10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2.75" customHeight="1">
      <c r="A532" s="10"/>
      <c r="B532" s="11"/>
      <c r="C532" s="10"/>
      <c r="D532" s="11"/>
      <c r="E532" s="10"/>
      <c r="F532" s="1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0"/>
      <c r="V532" s="11"/>
      <c r="W532" s="10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2.75" customHeight="1">
      <c r="A533" s="10"/>
      <c r="B533" s="11"/>
      <c r="C533" s="10"/>
      <c r="D533" s="11"/>
      <c r="E533" s="10"/>
      <c r="F533" s="1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0"/>
      <c r="V533" s="11"/>
      <c r="W533" s="10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2.75" customHeight="1">
      <c r="A534" s="10"/>
      <c r="B534" s="11"/>
      <c r="C534" s="10"/>
      <c r="D534" s="11"/>
      <c r="E534" s="10"/>
      <c r="F534" s="1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0"/>
      <c r="V534" s="11"/>
      <c r="W534" s="10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2.75" customHeight="1">
      <c r="A535" s="10"/>
      <c r="B535" s="11"/>
      <c r="C535" s="10"/>
      <c r="D535" s="11"/>
      <c r="E535" s="10"/>
      <c r="F535" s="1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0"/>
      <c r="V535" s="11"/>
      <c r="W535" s="10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2.75" customHeight="1">
      <c r="A536" s="10"/>
      <c r="B536" s="11"/>
      <c r="C536" s="10"/>
      <c r="D536" s="11"/>
      <c r="E536" s="10"/>
      <c r="F536" s="1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0"/>
      <c r="V536" s="11"/>
      <c r="W536" s="10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2.75" customHeight="1">
      <c r="A537" s="10"/>
      <c r="B537" s="11"/>
      <c r="C537" s="10"/>
      <c r="D537" s="11"/>
      <c r="E537" s="10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0"/>
      <c r="V537" s="11"/>
      <c r="W537" s="10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2.75" customHeight="1">
      <c r="A538" s="10"/>
      <c r="B538" s="11"/>
      <c r="C538" s="10"/>
      <c r="D538" s="11"/>
      <c r="E538" s="10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0"/>
      <c r="V538" s="11"/>
      <c r="W538" s="10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2.75" customHeight="1">
      <c r="A539" s="10"/>
      <c r="B539" s="11"/>
      <c r="C539" s="10"/>
      <c r="D539" s="11"/>
      <c r="E539" s="10"/>
      <c r="F539" s="1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0"/>
      <c r="V539" s="11"/>
      <c r="W539" s="10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2.75" customHeight="1">
      <c r="A540" s="10"/>
      <c r="B540" s="11"/>
      <c r="C540" s="10"/>
      <c r="D540" s="11"/>
      <c r="E540" s="10"/>
      <c r="F540" s="1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0"/>
      <c r="V540" s="11"/>
      <c r="W540" s="10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2.75" customHeight="1">
      <c r="A541" s="10"/>
      <c r="B541" s="11"/>
      <c r="C541" s="10"/>
      <c r="D541" s="11"/>
      <c r="E541" s="10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0"/>
      <c r="V541" s="11"/>
      <c r="W541" s="10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2.75" customHeight="1">
      <c r="A542" s="10"/>
      <c r="B542" s="11"/>
      <c r="C542" s="10"/>
      <c r="D542" s="11"/>
      <c r="E542" s="10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0"/>
      <c r="V542" s="11"/>
      <c r="W542" s="10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2.75" customHeight="1">
      <c r="A543" s="10"/>
      <c r="B543" s="11"/>
      <c r="C543" s="10"/>
      <c r="D543" s="11"/>
      <c r="E543" s="10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0"/>
      <c r="V543" s="11"/>
      <c r="W543" s="10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2.75" customHeight="1">
      <c r="A544" s="10"/>
      <c r="B544" s="11"/>
      <c r="C544" s="10"/>
      <c r="D544" s="11"/>
      <c r="E544" s="10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0"/>
      <c r="V544" s="11"/>
      <c r="W544" s="10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2.75" customHeight="1">
      <c r="A545" s="10"/>
      <c r="B545" s="11"/>
      <c r="C545" s="10"/>
      <c r="D545" s="11"/>
      <c r="E545" s="10"/>
      <c r="F545" s="1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0"/>
      <c r="V545" s="11"/>
      <c r="W545" s="10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2.75" customHeight="1">
      <c r="A546" s="10"/>
      <c r="B546" s="11"/>
      <c r="C546" s="10"/>
      <c r="D546" s="11"/>
      <c r="E546" s="10"/>
      <c r="F546" s="1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0"/>
      <c r="V546" s="11"/>
      <c r="W546" s="10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2.75" customHeight="1">
      <c r="A547" s="10"/>
      <c r="B547" s="11"/>
      <c r="C547" s="10"/>
      <c r="D547" s="11"/>
      <c r="E547" s="10"/>
      <c r="F547" s="1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0"/>
      <c r="V547" s="11"/>
      <c r="W547" s="10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2.75" customHeight="1">
      <c r="A548" s="10"/>
      <c r="B548" s="11"/>
      <c r="C548" s="10"/>
      <c r="D548" s="11"/>
      <c r="E548" s="10"/>
      <c r="F548" s="1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0"/>
      <c r="V548" s="11"/>
      <c r="W548" s="10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2.75" customHeight="1">
      <c r="A549" s="10"/>
      <c r="B549" s="11"/>
      <c r="C549" s="10"/>
      <c r="D549" s="11"/>
      <c r="E549" s="10"/>
      <c r="F549" s="1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0"/>
      <c r="V549" s="11"/>
      <c r="W549" s="10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2.75" customHeight="1">
      <c r="A550" s="10"/>
      <c r="B550" s="11"/>
      <c r="C550" s="10"/>
      <c r="D550" s="11"/>
      <c r="E550" s="10"/>
      <c r="F550" s="1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0"/>
      <c r="V550" s="11"/>
      <c r="W550" s="10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2.75" customHeight="1">
      <c r="A551" s="10"/>
      <c r="B551" s="11"/>
      <c r="C551" s="10"/>
      <c r="D551" s="11"/>
      <c r="E551" s="10"/>
      <c r="F551" s="1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0"/>
      <c r="V551" s="11"/>
      <c r="W551" s="10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2.75" customHeight="1">
      <c r="A552" s="10"/>
      <c r="B552" s="11"/>
      <c r="C552" s="10"/>
      <c r="D552" s="11"/>
      <c r="E552" s="10"/>
      <c r="F552" s="1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0"/>
      <c r="V552" s="11"/>
      <c r="W552" s="10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2.75" customHeight="1">
      <c r="A553" s="10"/>
      <c r="B553" s="11"/>
      <c r="C553" s="10"/>
      <c r="D553" s="11"/>
      <c r="E553" s="10"/>
      <c r="F553" s="1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0"/>
      <c r="V553" s="11"/>
      <c r="W553" s="10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2.75" customHeight="1">
      <c r="A554" s="10"/>
      <c r="B554" s="11"/>
      <c r="C554" s="10"/>
      <c r="D554" s="11"/>
      <c r="E554" s="10"/>
      <c r="F554" s="1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0"/>
      <c r="V554" s="11"/>
      <c r="W554" s="10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2.75" customHeight="1">
      <c r="A555" s="10"/>
      <c r="B555" s="11"/>
      <c r="C555" s="10"/>
      <c r="D555" s="11"/>
      <c r="E555" s="10"/>
      <c r="F555" s="1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0"/>
      <c r="V555" s="11"/>
      <c r="W555" s="10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2.75" customHeight="1">
      <c r="A556" s="10"/>
      <c r="B556" s="11"/>
      <c r="C556" s="10"/>
      <c r="D556" s="11"/>
      <c r="E556" s="10"/>
      <c r="F556" s="1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0"/>
      <c r="V556" s="11"/>
      <c r="W556" s="10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2.75" customHeight="1">
      <c r="A557" s="10"/>
      <c r="B557" s="11"/>
      <c r="C557" s="10"/>
      <c r="D557" s="11"/>
      <c r="E557" s="10"/>
      <c r="F557" s="1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0"/>
      <c r="V557" s="11"/>
      <c r="W557" s="10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2.75" customHeight="1">
      <c r="A558" s="10"/>
      <c r="B558" s="11"/>
      <c r="C558" s="10"/>
      <c r="D558" s="11"/>
      <c r="E558" s="10"/>
      <c r="F558" s="1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0"/>
      <c r="V558" s="11"/>
      <c r="W558" s="10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2.75" customHeight="1">
      <c r="A559" s="10"/>
      <c r="B559" s="11"/>
      <c r="C559" s="10"/>
      <c r="D559" s="11"/>
      <c r="E559" s="10"/>
      <c r="F559" s="1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0"/>
      <c r="V559" s="11"/>
      <c r="W559" s="10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2.75" customHeight="1">
      <c r="A560" s="10"/>
      <c r="B560" s="11"/>
      <c r="C560" s="10"/>
      <c r="D560" s="11"/>
      <c r="E560" s="10"/>
      <c r="F560" s="1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0"/>
      <c r="V560" s="11"/>
      <c r="W560" s="10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2.75" customHeight="1">
      <c r="A561" s="10"/>
      <c r="B561" s="11"/>
      <c r="C561" s="10"/>
      <c r="D561" s="11"/>
      <c r="E561" s="10"/>
      <c r="F561" s="1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0"/>
      <c r="V561" s="11"/>
      <c r="W561" s="10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2.75" customHeight="1">
      <c r="A562" s="10"/>
      <c r="B562" s="11"/>
      <c r="C562" s="10"/>
      <c r="D562" s="11"/>
      <c r="E562" s="10"/>
      <c r="F562" s="1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0"/>
      <c r="V562" s="11"/>
      <c r="W562" s="10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2.75" customHeight="1">
      <c r="A563" s="10"/>
      <c r="B563" s="11"/>
      <c r="C563" s="10"/>
      <c r="D563" s="11"/>
      <c r="E563" s="10"/>
      <c r="F563" s="1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0"/>
      <c r="V563" s="11"/>
      <c r="W563" s="10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2.75" customHeight="1">
      <c r="A564" s="10"/>
      <c r="B564" s="11"/>
      <c r="C564" s="10"/>
      <c r="D564" s="11"/>
      <c r="E564" s="10"/>
      <c r="F564" s="1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0"/>
      <c r="V564" s="11"/>
      <c r="W564" s="10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2.75" customHeight="1">
      <c r="A565" s="10"/>
      <c r="B565" s="11"/>
      <c r="C565" s="10"/>
      <c r="D565" s="11"/>
      <c r="E565" s="10"/>
      <c r="F565" s="1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0"/>
      <c r="V565" s="11"/>
      <c r="W565" s="10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2.75" customHeight="1">
      <c r="A566" s="10"/>
      <c r="B566" s="11"/>
      <c r="C566" s="10"/>
      <c r="D566" s="11"/>
      <c r="E566" s="10"/>
      <c r="F566" s="1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0"/>
      <c r="V566" s="11"/>
      <c r="W566" s="10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2.75" customHeight="1">
      <c r="A567" s="10"/>
      <c r="B567" s="11"/>
      <c r="C567" s="10"/>
      <c r="D567" s="11"/>
      <c r="E567" s="10"/>
      <c r="F567" s="1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0"/>
      <c r="V567" s="11"/>
      <c r="W567" s="10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2.75" customHeight="1">
      <c r="A568" s="10"/>
      <c r="B568" s="11"/>
      <c r="C568" s="10"/>
      <c r="D568" s="11"/>
      <c r="E568" s="10"/>
      <c r="F568" s="1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0"/>
      <c r="V568" s="11"/>
      <c r="W568" s="10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2.75" customHeight="1">
      <c r="A569" s="10"/>
      <c r="B569" s="11"/>
      <c r="C569" s="10"/>
      <c r="D569" s="11"/>
      <c r="E569" s="10"/>
      <c r="F569" s="1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0"/>
      <c r="V569" s="11"/>
      <c r="W569" s="10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2.75" customHeight="1">
      <c r="A570" s="10"/>
      <c r="B570" s="11"/>
      <c r="C570" s="10"/>
      <c r="D570" s="11"/>
      <c r="E570" s="10"/>
      <c r="F570" s="1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0"/>
      <c r="V570" s="11"/>
      <c r="W570" s="10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2.75" customHeight="1">
      <c r="A571" s="10"/>
      <c r="B571" s="11"/>
      <c r="C571" s="10"/>
      <c r="D571" s="11"/>
      <c r="E571" s="10"/>
      <c r="F571" s="1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0"/>
      <c r="V571" s="11"/>
      <c r="W571" s="10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2.75" customHeight="1">
      <c r="A572" s="10"/>
      <c r="B572" s="11"/>
      <c r="C572" s="10"/>
      <c r="D572" s="11"/>
      <c r="E572" s="10"/>
      <c r="F572" s="1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0"/>
      <c r="V572" s="11"/>
      <c r="W572" s="10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2.75" customHeight="1">
      <c r="A573" s="10"/>
      <c r="B573" s="11"/>
      <c r="C573" s="10"/>
      <c r="D573" s="11"/>
      <c r="E573" s="10"/>
      <c r="F573" s="1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0"/>
      <c r="V573" s="11"/>
      <c r="W573" s="10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2.75" customHeight="1">
      <c r="A574" s="10"/>
      <c r="B574" s="11"/>
      <c r="C574" s="10"/>
      <c r="D574" s="11"/>
      <c r="E574" s="10"/>
      <c r="F574" s="1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0"/>
      <c r="V574" s="11"/>
      <c r="W574" s="10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2.75" customHeight="1">
      <c r="A575" s="10"/>
      <c r="B575" s="11"/>
      <c r="C575" s="10"/>
      <c r="D575" s="11"/>
      <c r="E575" s="10"/>
      <c r="F575" s="1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0"/>
      <c r="V575" s="11"/>
      <c r="W575" s="10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2.75" customHeight="1">
      <c r="A576" s="10"/>
      <c r="B576" s="11"/>
      <c r="C576" s="10"/>
      <c r="D576" s="11"/>
      <c r="E576" s="10"/>
      <c r="F576" s="1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0"/>
      <c r="V576" s="11"/>
      <c r="W576" s="10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2.75" customHeight="1">
      <c r="A577" s="10"/>
      <c r="B577" s="11"/>
      <c r="C577" s="10"/>
      <c r="D577" s="11"/>
      <c r="E577" s="10"/>
      <c r="F577" s="1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0"/>
      <c r="V577" s="11"/>
      <c r="W577" s="10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2.75" customHeight="1">
      <c r="A578" s="10"/>
      <c r="B578" s="11"/>
      <c r="C578" s="10"/>
      <c r="D578" s="11"/>
      <c r="E578" s="10"/>
      <c r="F578" s="1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0"/>
      <c r="V578" s="11"/>
      <c r="W578" s="10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2.75" customHeight="1">
      <c r="A579" s="10"/>
      <c r="B579" s="11"/>
      <c r="C579" s="10"/>
      <c r="D579" s="11"/>
      <c r="E579" s="10"/>
      <c r="F579" s="1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0"/>
      <c r="V579" s="11"/>
      <c r="W579" s="10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2.75" customHeight="1">
      <c r="A580" s="10"/>
      <c r="B580" s="11"/>
      <c r="C580" s="10"/>
      <c r="D580" s="11"/>
      <c r="E580" s="10"/>
      <c r="F580" s="1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0"/>
      <c r="V580" s="11"/>
      <c r="W580" s="10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2.75" customHeight="1">
      <c r="A581" s="10"/>
      <c r="B581" s="11"/>
      <c r="C581" s="10"/>
      <c r="D581" s="11"/>
      <c r="E581" s="10"/>
      <c r="F581" s="1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0"/>
      <c r="V581" s="11"/>
      <c r="W581" s="10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2.75" customHeight="1">
      <c r="A582" s="10"/>
      <c r="B582" s="11"/>
      <c r="C582" s="10"/>
      <c r="D582" s="11"/>
      <c r="E582" s="10"/>
      <c r="F582" s="1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0"/>
      <c r="V582" s="11"/>
      <c r="W582" s="10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2.75" customHeight="1">
      <c r="A583" s="10"/>
      <c r="B583" s="11"/>
      <c r="C583" s="10"/>
      <c r="D583" s="11"/>
      <c r="E583" s="10"/>
      <c r="F583" s="1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0"/>
      <c r="V583" s="11"/>
      <c r="W583" s="10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2.75" customHeight="1">
      <c r="A584" s="10"/>
      <c r="B584" s="11"/>
      <c r="C584" s="10"/>
      <c r="D584" s="11"/>
      <c r="E584" s="10"/>
      <c r="F584" s="1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0"/>
      <c r="V584" s="11"/>
      <c r="W584" s="10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2.75" customHeight="1">
      <c r="A585" s="10"/>
      <c r="B585" s="11"/>
      <c r="C585" s="10"/>
      <c r="D585" s="11"/>
      <c r="E585" s="10"/>
      <c r="F585" s="1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0"/>
      <c r="V585" s="11"/>
      <c r="W585" s="10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2.75" customHeight="1">
      <c r="A586" s="10"/>
      <c r="B586" s="11"/>
      <c r="C586" s="10"/>
      <c r="D586" s="11"/>
      <c r="E586" s="10"/>
      <c r="F586" s="1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0"/>
      <c r="V586" s="11"/>
      <c r="W586" s="10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2.75" customHeight="1">
      <c r="A587" s="10"/>
      <c r="B587" s="11"/>
      <c r="C587" s="10"/>
      <c r="D587" s="11"/>
      <c r="E587" s="10"/>
      <c r="F587" s="1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0"/>
      <c r="V587" s="11"/>
      <c r="W587" s="10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2.75" customHeight="1">
      <c r="A588" s="10"/>
      <c r="B588" s="11"/>
      <c r="C588" s="10"/>
      <c r="D588" s="11"/>
      <c r="E588" s="10"/>
      <c r="F588" s="1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0"/>
      <c r="V588" s="11"/>
      <c r="W588" s="10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2.75" customHeight="1">
      <c r="A589" s="10"/>
      <c r="B589" s="11"/>
      <c r="C589" s="10"/>
      <c r="D589" s="11"/>
      <c r="E589" s="10"/>
      <c r="F589" s="1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0"/>
      <c r="V589" s="11"/>
      <c r="W589" s="10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2.75" customHeight="1">
      <c r="A590" s="10"/>
      <c r="B590" s="11"/>
      <c r="C590" s="10"/>
      <c r="D590" s="11"/>
      <c r="E590" s="10"/>
      <c r="F590" s="1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0"/>
      <c r="V590" s="11"/>
      <c r="W590" s="10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2.75" customHeight="1">
      <c r="A591" s="10"/>
      <c r="B591" s="11"/>
      <c r="C591" s="10"/>
      <c r="D591" s="11"/>
      <c r="E591" s="10"/>
      <c r="F591" s="1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0"/>
      <c r="V591" s="11"/>
      <c r="W591" s="10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2.75" customHeight="1">
      <c r="A592" s="10"/>
      <c r="B592" s="11"/>
      <c r="C592" s="10"/>
      <c r="D592" s="11"/>
      <c r="E592" s="10"/>
      <c r="F592" s="1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0"/>
      <c r="V592" s="11"/>
      <c r="W592" s="10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2.75" customHeight="1">
      <c r="A593" s="10"/>
      <c r="B593" s="11"/>
      <c r="C593" s="10"/>
      <c r="D593" s="11"/>
      <c r="E593" s="10"/>
      <c r="F593" s="1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0"/>
      <c r="V593" s="11"/>
      <c r="W593" s="10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2.75" customHeight="1">
      <c r="A594" s="10"/>
      <c r="B594" s="11"/>
      <c r="C594" s="10"/>
      <c r="D594" s="11"/>
      <c r="E594" s="10"/>
      <c r="F594" s="1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0"/>
      <c r="V594" s="11"/>
      <c r="W594" s="10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2.75" customHeight="1">
      <c r="A595" s="10"/>
      <c r="B595" s="11"/>
      <c r="C595" s="10"/>
      <c r="D595" s="11"/>
      <c r="E595" s="10"/>
      <c r="F595" s="1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0"/>
      <c r="V595" s="11"/>
      <c r="W595" s="10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2.75" customHeight="1">
      <c r="A596" s="10"/>
      <c r="B596" s="11"/>
      <c r="C596" s="10"/>
      <c r="D596" s="11"/>
      <c r="E596" s="10"/>
      <c r="F596" s="1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0"/>
      <c r="V596" s="11"/>
      <c r="W596" s="10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2.75" customHeight="1">
      <c r="A597" s="10"/>
      <c r="B597" s="11"/>
      <c r="C597" s="10"/>
      <c r="D597" s="11"/>
      <c r="E597" s="10"/>
      <c r="F597" s="1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0"/>
      <c r="V597" s="11"/>
      <c r="W597" s="10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2.75" customHeight="1">
      <c r="A598" s="10"/>
      <c r="B598" s="11"/>
      <c r="C598" s="10"/>
      <c r="D598" s="11"/>
      <c r="E598" s="10"/>
      <c r="F598" s="1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0"/>
      <c r="V598" s="11"/>
      <c r="W598" s="10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2.75" customHeight="1">
      <c r="A599" s="10"/>
      <c r="B599" s="11"/>
      <c r="C599" s="10"/>
      <c r="D599" s="11"/>
      <c r="E599" s="10"/>
      <c r="F599" s="1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0"/>
      <c r="V599" s="11"/>
      <c r="W599" s="10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2.75" customHeight="1">
      <c r="A600" s="10"/>
      <c r="B600" s="11"/>
      <c r="C600" s="10"/>
      <c r="D600" s="11"/>
      <c r="E600" s="10"/>
      <c r="F600" s="1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0"/>
      <c r="V600" s="11"/>
      <c r="W600" s="10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2.75" customHeight="1">
      <c r="A601" s="10"/>
      <c r="B601" s="11"/>
      <c r="C601" s="10"/>
      <c r="D601" s="11"/>
      <c r="E601" s="10"/>
      <c r="F601" s="1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0"/>
      <c r="V601" s="11"/>
      <c r="W601" s="10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2.75" customHeight="1">
      <c r="A602" s="10"/>
      <c r="B602" s="11"/>
      <c r="C602" s="10"/>
      <c r="D602" s="11"/>
      <c r="E602" s="10"/>
      <c r="F602" s="1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0"/>
      <c r="V602" s="11"/>
      <c r="W602" s="10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2.75" customHeight="1">
      <c r="A603" s="10"/>
      <c r="B603" s="11"/>
      <c r="C603" s="10"/>
      <c r="D603" s="11"/>
      <c r="E603" s="10"/>
      <c r="F603" s="1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0"/>
      <c r="V603" s="11"/>
      <c r="W603" s="10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2.75" customHeight="1">
      <c r="A604" s="10"/>
      <c r="B604" s="11"/>
      <c r="C604" s="10"/>
      <c r="D604" s="11"/>
      <c r="E604" s="10"/>
      <c r="F604" s="1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0"/>
      <c r="V604" s="11"/>
      <c r="W604" s="10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2.75" customHeight="1">
      <c r="A605" s="10"/>
      <c r="B605" s="11"/>
      <c r="C605" s="10"/>
      <c r="D605" s="11"/>
      <c r="E605" s="10"/>
      <c r="F605" s="1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0"/>
      <c r="V605" s="11"/>
      <c r="W605" s="10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2.75" customHeight="1">
      <c r="A606" s="10"/>
      <c r="B606" s="11"/>
      <c r="C606" s="10"/>
      <c r="D606" s="11"/>
      <c r="E606" s="10"/>
      <c r="F606" s="1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0"/>
      <c r="V606" s="11"/>
      <c r="W606" s="10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2.75" customHeight="1">
      <c r="A607" s="10"/>
      <c r="B607" s="11"/>
      <c r="C607" s="10"/>
      <c r="D607" s="11"/>
      <c r="E607" s="10"/>
      <c r="F607" s="1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0"/>
      <c r="V607" s="11"/>
      <c r="W607" s="10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2.75" customHeight="1">
      <c r="A608" s="10"/>
      <c r="B608" s="11"/>
      <c r="C608" s="10"/>
      <c r="D608" s="11"/>
      <c r="E608" s="10"/>
      <c r="F608" s="1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0"/>
      <c r="V608" s="11"/>
      <c r="W608" s="10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2.75" customHeight="1">
      <c r="A609" s="10"/>
      <c r="B609" s="11"/>
      <c r="C609" s="10"/>
      <c r="D609" s="11"/>
      <c r="E609" s="10"/>
      <c r="F609" s="1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0"/>
      <c r="V609" s="11"/>
      <c r="W609" s="10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2.75" customHeight="1">
      <c r="A610" s="10"/>
      <c r="B610" s="11"/>
      <c r="C610" s="10"/>
      <c r="D610" s="11"/>
      <c r="E610" s="10"/>
      <c r="F610" s="1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0"/>
      <c r="V610" s="11"/>
      <c r="W610" s="10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2.75" customHeight="1">
      <c r="A611" s="10"/>
      <c r="B611" s="11"/>
      <c r="C611" s="10"/>
      <c r="D611" s="11"/>
      <c r="E611" s="10"/>
      <c r="F611" s="1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0"/>
      <c r="V611" s="11"/>
      <c r="W611" s="10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2.75" customHeight="1">
      <c r="A612" s="10"/>
      <c r="B612" s="11"/>
      <c r="C612" s="10"/>
      <c r="D612" s="11"/>
      <c r="E612" s="10"/>
      <c r="F612" s="1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0"/>
      <c r="V612" s="11"/>
      <c r="W612" s="10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2.75" customHeight="1">
      <c r="A613" s="10"/>
      <c r="B613" s="11"/>
      <c r="C613" s="10"/>
      <c r="D613" s="11"/>
      <c r="E613" s="10"/>
      <c r="F613" s="1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0"/>
      <c r="V613" s="11"/>
      <c r="W613" s="10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2.75" customHeight="1">
      <c r="A614" s="10"/>
      <c r="B614" s="11"/>
      <c r="C614" s="10"/>
      <c r="D614" s="11"/>
      <c r="E614" s="10"/>
      <c r="F614" s="1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0"/>
      <c r="V614" s="11"/>
      <c r="W614" s="10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2.75" customHeight="1">
      <c r="A615" s="10"/>
      <c r="B615" s="11"/>
      <c r="C615" s="10"/>
      <c r="D615" s="11"/>
      <c r="E615" s="10"/>
      <c r="F615" s="1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0"/>
      <c r="V615" s="11"/>
      <c r="W615" s="10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2.75" customHeight="1">
      <c r="A616" s="10"/>
      <c r="B616" s="11"/>
      <c r="C616" s="10"/>
      <c r="D616" s="11"/>
      <c r="E616" s="10"/>
      <c r="F616" s="1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0"/>
      <c r="V616" s="11"/>
      <c r="W616" s="10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2.75" customHeight="1">
      <c r="A617" s="10"/>
      <c r="B617" s="11"/>
      <c r="C617" s="10"/>
      <c r="D617" s="11"/>
      <c r="E617" s="10"/>
      <c r="F617" s="1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0"/>
      <c r="V617" s="11"/>
      <c r="W617" s="10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2.75" customHeight="1">
      <c r="A618" s="10"/>
      <c r="B618" s="11"/>
      <c r="C618" s="10"/>
      <c r="D618" s="11"/>
      <c r="E618" s="10"/>
      <c r="F618" s="1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0"/>
      <c r="V618" s="11"/>
      <c r="W618" s="10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2.75" customHeight="1">
      <c r="A619" s="10"/>
      <c r="B619" s="11"/>
      <c r="C619" s="10"/>
      <c r="D619" s="11"/>
      <c r="E619" s="10"/>
      <c r="F619" s="1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0"/>
      <c r="V619" s="11"/>
      <c r="W619" s="10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2.75" customHeight="1">
      <c r="A620" s="10"/>
      <c r="B620" s="11"/>
      <c r="C620" s="10"/>
      <c r="D620" s="11"/>
      <c r="E620" s="10"/>
      <c r="F620" s="1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0"/>
      <c r="V620" s="11"/>
      <c r="W620" s="10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2.75" customHeight="1">
      <c r="A621" s="10"/>
      <c r="B621" s="11"/>
      <c r="C621" s="10"/>
      <c r="D621" s="11"/>
      <c r="E621" s="10"/>
      <c r="F621" s="1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0"/>
      <c r="V621" s="11"/>
      <c r="W621" s="10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2.75" customHeight="1">
      <c r="A622" s="10"/>
      <c r="B622" s="11"/>
      <c r="C622" s="10"/>
      <c r="D622" s="11"/>
      <c r="E622" s="10"/>
      <c r="F622" s="1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0"/>
      <c r="V622" s="11"/>
      <c r="W622" s="10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2.75" customHeight="1">
      <c r="A623" s="10"/>
      <c r="B623" s="11"/>
      <c r="C623" s="10"/>
      <c r="D623" s="11"/>
      <c r="E623" s="10"/>
      <c r="F623" s="1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0"/>
      <c r="V623" s="11"/>
      <c r="W623" s="10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2.75" customHeight="1">
      <c r="A624" s="10"/>
      <c r="B624" s="11"/>
      <c r="C624" s="10"/>
      <c r="D624" s="11"/>
      <c r="E624" s="10"/>
      <c r="F624" s="1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0"/>
      <c r="V624" s="11"/>
      <c r="W624" s="10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2.75" customHeight="1">
      <c r="A625" s="10"/>
      <c r="B625" s="11"/>
      <c r="C625" s="10"/>
      <c r="D625" s="11"/>
      <c r="E625" s="10"/>
      <c r="F625" s="1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0"/>
      <c r="V625" s="11"/>
      <c r="W625" s="10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2.75" customHeight="1">
      <c r="A626" s="10"/>
      <c r="B626" s="11"/>
      <c r="C626" s="10"/>
      <c r="D626" s="11"/>
      <c r="E626" s="10"/>
      <c r="F626" s="1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0"/>
      <c r="V626" s="11"/>
      <c r="W626" s="10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2.75" customHeight="1">
      <c r="A627" s="10"/>
      <c r="B627" s="11"/>
      <c r="C627" s="10"/>
      <c r="D627" s="11"/>
      <c r="E627" s="10"/>
      <c r="F627" s="1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0"/>
      <c r="V627" s="11"/>
      <c r="W627" s="10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2.75" customHeight="1">
      <c r="A628" s="10"/>
      <c r="B628" s="11"/>
      <c r="C628" s="10"/>
      <c r="D628" s="11"/>
      <c r="E628" s="10"/>
      <c r="F628" s="1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0"/>
      <c r="V628" s="11"/>
      <c r="W628" s="10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2.75" customHeight="1">
      <c r="A629" s="10"/>
      <c r="B629" s="11"/>
      <c r="C629" s="10"/>
      <c r="D629" s="11"/>
      <c r="E629" s="10"/>
      <c r="F629" s="1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0"/>
      <c r="V629" s="11"/>
      <c r="W629" s="10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2.75" customHeight="1">
      <c r="A630" s="10"/>
      <c r="B630" s="11"/>
      <c r="C630" s="10"/>
      <c r="D630" s="11"/>
      <c r="E630" s="10"/>
      <c r="F630" s="1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0"/>
      <c r="V630" s="11"/>
      <c r="W630" s="10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2.75" customHeight="1">
      <c r="A631" s="10"/>
      <c r="B631" s="11"/>
      <c r="C631" s="10"/>
      <c r="D631" s="11"/>
      <c r="E631" s="10"/>
      <c r="F631" s="1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0"/>
      <c r="V631" s="11"/>
      <c r="W631" s="10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2.75" customHeight="1">
      <c r="A632" s="10"/>
      <c r="B632" s="11"/>
      <c r="C632" s="10"/>
      <c r="D632" s="11"/>
      <c r="E632" s="10"/>
      <c r="F632" s="1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0"/>
      <c r="V632" s="11"/>
      <c r="W632" s="10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2.75" customHeight="1">
      <c r="A633" s="10"/>
      <c r="B633" s="11"/>
      <c r="C633" s="10"/>
      <c r="D633" s="11"/>
      <c r="E633" s="10"/>
      <c r="F633" s="1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0"/>
      <c r="V633" s="11"/>
      <c r="W633" s="10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2.75" customHeight="1">
      <c r="A634" s="10"/>
      <c r="B634" s="11"/>
      <c r="C634" s="10"/>
      <c r="D634" s="11"/>
      <c r="E634" s="10"/>
      <c r="F634" s="1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0"/>
      <c r="V634" s="11"/>
      <c r="W634" s="10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2.75" customHeight="1">
      <c r="A635" s="10"/>
      <c r="B635" s="11"/>
      <c r="C635" s="10"/>
      <c r="D635" s="11"/>
      <c r="E635" s="10"/>
      <c r="F635" s="1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0"/>
      <c r="V635" s="11"/>
      <c r="W635" s="10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2.75" customHeight="1">
      <c r="A636" s="10"/>
      <c r="B636" s="11"/>
      <c r="C636" s="10"/>
      <c r="D636" s="11"/>
      <c r="E636" s="10"/>
      <c r="F636" s="1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0"/>
      <c r="V636" s="11"/>
      <c r="W636" s="10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2.75" customHeight="1">
      <c r="A637" s="10"/>
      <c r="B637" s="11"/>
      <c r="C637" s="10"/>
      <c r="D637" s="11"/>
      <c r="E637" s="10"/>
      <c r="F637" s="1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0"/>
      <c r="V637" s="11"/>
      <c r="W637" s="10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2.75" customHeight="1">
      <c r="A638" s="10"/>
      <c r="B638" s="11"/>
      <c r="C638" s="10"/>
      <c r="D638" s="11"/>
      <c r="E638" s="10"/>
      <c r="F638" s="1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0"/>
      <c r="V638" s="11"/>
      <c r="W638" s="10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2.75" customHeight="1">
      <c r="A639" s="10"/>
      <c r="B639" s="11"/>
      <c r="C639" s="10"/>
      <c r="D639" s="11"/>
      <c r="E639" s="10"/>
      <c r="F639" s="1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0"/>
      <c r="V639" s="11"/>
      <c r="W639" s="10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2.75" customHeight="1">
      <c r="A640" s="10"/>
      <c r="B640" s="11"/>
      <c r="C640" s="10"/>
      <c r="D640" s="11"/>
      <c r="E640" s="10"/>
      <c r="F640" s="1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0"/>
      <c r="V640" s="11"/>
      <c r="W640" s="10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2.75" customHeight="1">
      <c r="A641" s="10"/>
      <c r="B641" s="11"/>
      <c r="C641" s="10"/>
      <c r="D641" s="11"/>
      <c r="E641" s="10"/>
      <c r="F641" s="1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0"/>
      <c r="V641" s="11"/>
      <c r="W641" s="10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2.75" customHeight="1">
      <c r="A642" s="10"/>
      <c r="B642" s="11"/>
      <c r="C642" s="10"/>
      <c r="D642" s="11"/>
      <c r="E642" s="10"/>
      <c r="F642" s="1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0"/>
      <c r="V642" s="11"/>
      <c r="W642" s="10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2.75" customHeight="1">
      <c r="A643" s="10"/>
      <c r="B643" s="11"/>
      <c r="C643" s="10"/>
      <c r="D643" s="11"/>
      <c r="E643" s="10"/>
      <c r="F643" s="1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0"/>
      <c r="V643" s="11"/>
      <c r="W643" s="10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2.75" customHeight="1">
      <c r="A644" s="10"/>
      <c r="B644" s="11"/>
      <c r="C644" s="10"/>
      <c r="D644" s="11"/>
      <c r="E644" s="10"/>
      <c r="F644" s="1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0"/>
      <c r="V644" s="11"/>
      <c r="W644" s="10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2.75" customHeight="1">
      <c r="A645" s="10"/>
      <c r="B645" s="11"/>
      <c r="C645" s="10"/>
      <c r="D645" s="11"/>
      <c r="E645" s="10"/>
      <c r="F645" s="1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0"/>
      <c r="V645" s="11"/>
      <c r="W645" s="10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2.75" customHeight="1">
      <c r="A646" s="10"/>
      <c r="B646" s="11"/>
      <c r="C646" s="10"/>
      <c r="D646" s="11"/>
      <c r="E646" s="10"/>
      <c r="F646" s="1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0"/>
      <c r="V646" s="11"/>
      <c r="W646" s="10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2.75" customHeight="1">
      <c r="A647" s="10"/>
      <c r="B647" s="11"/>
      <c r="C647" s="10"/>
      <c r="D647" s="11"/>
      <c r="E647" s="10"/>
      <c r="F647" s="1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0"/>
      <c r="V647" s="11"/>
      <c r="W647" s="10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2.75" customHeight="1">
      <c r="A648" s="10"/>
      <c r="B648" s="11"/>
      <c r="C648" s="10"/>
      <c r="D648" s="11"/>
      <c r="E648" s="10"/>
      <c r="F648" s="1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0"/>
      <c r="V648" s="11"/>
      <c r="W648" s="10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2.75" customHeight="1">
      <c r="A649" s="10"/>
      <c r="B649" s="11"/>
      <c r="C649" s="10"/>
      <c r="D649" s="11"/>
      <c r="E649" s="10"/>
      <c r="F649" s="1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0"/>
      <c r="V649" s="11"/>
      <c r="W649" s="10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2.75" customHeight="1">
      <c r="A650" s="10"/>
      <c r="B650" s="11"/>
      <c r="C650" s="10"/>
      <c r="D650" s="11"/>
      <c r="E650" s="10"/>
      <c r="F650" s="1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0"/>
      <c r="V650" s="11"/>
      <c r="W650" s="10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2.75" customHeight="1">
      <c r="A651" s="10"/>
      <c r="B651" s="11"/>
      <c r="C651" s="10"/>
      <c r="D651" s="11"/>
      <c r="E651" s="10"/>
      <c r="F651" s="1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0"/>
      <c r="V651" s="11"/>
      <c r="W651" s="10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2.75" customHeight="1">
      <c r="A652" s="10"/>
      <c r="B652" s="11"/>
      <c r="C652" s="10"/>
      <c r="D652" s="11"/>
      <c r="E652" s="10"/>
      <c r="F652" s="1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0"/>
      <c r="V652" s="11"/>
      <c r="W652" s="10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2.75" customHeight="1">
      <c r="A653" s="10"/>
      <c r="B653" s="11"/>
      <c r="C653" s="10"/>
      <c r="D653" s="11"/>
      <c r="E653" s="10"/>
      <c r="F653" s="1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0"/>
      <c r="V653" s="11"/>
      <c r="W653" s="10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2.75" customHeight="1">
      <c r="A654" s="10"/>
      <c r="B654" s="11"/>
      <c r="C654" s="10"/>
      <c r="D654" s="11"/>
      <c r="E654" s="10"/>
      <c r="F654" s="1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0"/>
      <c r="V654" s="11"/>
      <c r="W654" s="10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2.75" customHeight="1">
      <c r="A655" s="10"/>
      <c r="B655" s="11"/>
      <c r="C655" s="10"/>
      <c r="D655" s="11"/>
      <c r="E655" s="10"/>
      <c r="F655" s="1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0"/>
      <c r="V655" s="11"/>
      <c r="W655" s="10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2.75" customHeight="1">
      <c r="A656" s="10"/>
      <c r="B656" s="11"/>
      <c r="C656" s="10"/>
      <c r="D656" s="11"/>
      <c r="E656" s="10"/>
      <c r="F656" s="1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0"/>
      <c r="V656" s="11"/>
      <c r="W656" s="10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2.75" customHeight="1">
      <c r="A657" s="10"/>
      <c r="B657" s="11"/>
      <c r="C657" s="10"/>
      <c r="D657" s="11"/>
      <c r="E657" s="10"/>
      <c r="F657" s="1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0"/>
      <c r="V657" s="11"/>
      <c r="W657" s="10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2.75" customHeight="1">
      <c r="A658" s="10"/>
      <c r="B658" s="11"/>
      <c r="C658" s="10"/>
      <c r="D658" s="11"/>
      <c r="E658" s="10"/>
      <c r="F658" s="1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0"/>
      <c r="V658" s="11"/>
      <c r="W658" s="10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2.75" customHeight="1">
      <c r="A659" s="10"/>
      <c r="B659" s="11"/>
      <c r="C659" s="10"/>
      <c r="D659" s="11"/>
      <c r="E659" s="10"/>
      <c r="F659" s="1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0"/>
      <c r="V659" s="11"/>
      <c r="W659" s="10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2.75" customHeight="1">
      <c r="A660" s="10"/>
      <c r="B660" s="11"/>
      <c r="C660" s="10"/>
      <c r="D660" s="11"/>
      <c r="E660" s="10"/>
      <c r="F660" s="1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0"/>
      <c r="V660" s="11"/>
      <c r="W660" s="10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2.75" customHeight="1">
      <c r="A661" s="10"/>
      <c r="B661" s="11"/>
      <c r="C661" s="10"/>
      <c r="D661" s="11"/>
      <c r="E661" s="10"/>
      <c r="F661" s="1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0"/>
      <c r="V661" s="11"/>
      <c r="W661" s="10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2.75" customHeight="1">
      <c r="A662" s="10"/>
      <c r="B662" s="11"/>
      <c r="C662" s="10"/>
      <c r="D662" s="11"/>
      <c r="E662" s="10"/>
      <c r="F662" s="1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0"/>
      <c r="V662" s="11"/>
      <c r="W662" s="10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2.75" customHeight="1">
      <c r="A663" s="10"/>
      <c r="B663" s="11"/>
      <c r="C663" s="10"/>
      <c r="D663" s="11"/>
      <c r="E663" s="10"/>
      <c r="F663" s="1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0"/>
      <c r="V663" s="11"/>
      <c r="W663" s="10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2.75" customHeight="1">
      <c r="A664" s="10"/>
      <c r="B664" s="11"/>
      <c r="C664" s="10"/>
      <c r="D664" s="11"/>
      <c r="E664" s="10"/>
      <c r="F664" s="1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0"/>
      <c r="V664" s="11"/>
      <c r="W664" s="10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2.75" customHeight="1">
      <c r="A665" s="10"/>
      <c r="B665" s="11"/>
      <c r="C665" s="10"/>
      <c r="D665" s="11"/>
      <c r="E665" s="10"/>
      <c r="F665" s="1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0"/>
      <c r="V665" s="11"/>
      <c r="W665" s="10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2.75" customHeight="1">
      <c r="A666" s="10"/>
      <c r="B666" s="11"/>
      <c r="C666" s="10"/>
      <c r="D666" s="11"/>
      <c r="E666" s="10"/>
      <c r="F666" s="1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0"/>
      <c r="V666" s="11"/>
      <c r="W666" s="10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2.75" customHeight="1">
      <c r="A667" s="10"/>
      <c r="B667" s="11"/>
      <c r="C667" s="10"/>
      <c r="D667" s="11"/>
      <c r="E667" s="10"/>
      <c r="F667" s="1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0"/>
      <c r="V667" s="11"/>
      <c r="W667" s="10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2.75" customHeight="1">
      <c r="A668" s="10"/>
      <c r="B668" s="11"/>
      <c r="C668" s="10"/>
      <c r="D668" s="11"/>
      <c r="E668" s="10"/>
      <c r="F668" s="1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0"/>
      <c r="V668" s="11"/>
      <c r="W668" s="10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2.75" customHeight="1">
      <c r="A669" s="10"/>
      <c r="B669" s="11"/>
      <c r="C669" s="10"/>
      <c r="D669" s="11"/>
      <c r="E669" s="10"/>
      <c r="F669" s="1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0"/>
      <c r="V669" s="11"/>
      <c r="W669" s="10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2.75" customHeight="1">
      <c r="A670" s="10"/>
      <c r="B670" s="11"/>
      <c r="C670" s="10"/>
      <c r="D670" s="11"/>
      <c r="E670" s="10"/>
      <c r="F670" s="1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0"/>
      <c r="V670" s="11"/>
      <c r="W670" s="10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2.75" customHeight="1">
      <c r="A671" s="10"/>
      <c r="B671" s="11"/>
      <c r="C671" s="10"/>
      <c r="D671" s="11"/>
      <c r="E671" s="10"/>
      <c r="F671" s="1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0"/>
      <c r="V671" s="11"/>
      <c r="W671" s="10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2.75" customHeight="1">
      <c r="A672" s="10"/>
      <c r="B672" s="11"/>
      <c r="C672" s="10"/>
      <c r="D672" s="11"/>
      <c r="E672" s="10"/>
      <c r="F672" s="1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0"/>
      <c r="V672" s="11"/>
      <c r="W672" s="10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2.75" customHeight="1">
      <c r="A673" s="10"/>
      <c r="B673" s="11"/>
      <c r="C673" s="10"/>
      <c r="D673" s="11"/>
      <c r="E673" s="10"/>
      <c r="F673" s="1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0"/>
      <c r="V673" s="11"/>
      <c r="W673" s="10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2.75" customHeight="1">
      <c r="A674" s="10"/>
      <c r="B674" s="11"/>
      <c r="C674" s="10"/>
      <c r="D674" s="11"/>
      <c r="E674" s="10"/>
      <c r="F674" s="1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0"/>
      <c r="V674" s="11"/>
      <c r="W674" s="10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2.75" customHeight="1">
      <c r="A675" s="10"/>
      <c r="B675" s="11"/>
      <c r="C675" s="10"/>
      <c r="D675" s="11"/>
      <c r="E675" s="10"/>
      <c r="F675" s="1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0"/>
      <c r="V675" s="11"/>
      <c r="W675" s="10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2.75" customHeight="1">
      <c r="A676" s="10"/>
      <c r="B676" s="11"/>
      <c r="C676" s="10"/>
      <c r="D676" s="11"/>
      <c r="E676" s="10"/>
      <c r="F676" s="1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0"/>
      <c r="V676" s="11"/>
      <c r="W676" s="10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2.75" customHeight="1">
      <c r="A677" s="10"/>
      <c r="B677" s="11"/>
      <c r="C677" s="10"/>
      <c r="D677" s="11"/>
      <c r="E677" s="10"/>
      <c r="F677" s="1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0"/>
      <c r="V677" s="11"/>
      <c r="W677" s="10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2.75" customHeight="1">
      <c r="A678" s="10"/>
      <c r="B678" s="11"/>
      <c r="C678" s="10"/>
      <c r="D678" s="11"/>
      <c r="E678" s="10"/>
      <c r="F678" s="1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0"/>
      <c r="V678" s="11"/>
      <c r="W678" s="10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2.75" customHeight="1">
      <c r="A679" s="10"/>
      <c r="B679" s="11"/>
      <c r="C679" s="10"/>
      <c r="D679" s="11"/>
      <c r="E679" s="10"/>
      <c r="F679" s="1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0"/>
      <c r="V679" s="11"/>
      <c r="W679" s="10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2.75" customHeight="1">
      <c r="A680" s="10"/>
      <c r="B680" s="11"/>
      <c r="C680" s="10"/>
      <c r="D680" s="11"/>
      <c r="E680" s="10"/>
      <c r="F680" s="1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0"/>
      <c r="V680" s="11"/>
      <c r="W680" s="10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2.75" customHeight="1">
      <c r="A681" s="10"/>
      <c r="B681" s="11"/>
      <c r="C681" s="10"/>
      <c r="D681" s="11"/>
      <c r="E681" s="10"/>
      <c r="F681" s="1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0"/>
      <c r="V681" s="11"/>
      <c r="W681" s="10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2.75" customHeight="1">
      <c r="A682" s="10"/>
      <c r="B682" s="11"/>
      <c r="C682" s="10"/>
      <c r="D682" s="11"/>
      <c r="E682" s="10"/>
      <c r="F682" s="1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0"/>
      <c r="V682" s="11"/>
      <c r="W682" s="10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2.75" customHeight="1">
      <c r="A683" s="10"/>
      <c r="B683" s="11"/>
      <c r="C683" s="10"/>
      <c r="D683" s="11"/>
      <c r="E683" s="10"/>
      <c r="F683" s="1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0"/>
      <c r="V683" s="11"/>
      <c r="W683" s="10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2.75" customHeight="1">
      <c r="A684" s="10"/>
      <c r="B684" s="11"/>
      <c r="C684" s="10"/>
      <c r="D684" s="11"/>
      <c r="E684" s="10"/>
      <c r="F684" s="1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0"/>
      <c r="V684" s="11"/>
      <c r="W684" s="10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2.75" customHeight="1">
      <c r="A685" s="10"/>
      <c r="B685" s="11"/>
      <c r="C685" s="10"/>
      <c r="D685" s="11"/>
      <c r="E685" s="10"/>
      <c r="F685" s="1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0"/>
      <c r="V685" s="11"/>
      <c r="W685" s="10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2.75" customHeight="1">
      <c r="A686" s="10"/>
      <c r="B686" s="11"/>
      <c r="C686" s="10"/>
      <c r="D686" s="11"/>
      <c r="E686" s="10"/>
      <c r="F686" s="1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0"/>
      <c r="V686" s="11"/>
      <c r="W686" s="10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2.75" customHeight="1">
      <c r="A687" s="10"/>
      <c r="B687" s="11"/>
      <c r="C687" s="10"/>
      <c r="D687" s="11"/>
      <c r="E687" s="10"/>
      <c r="F687" s="1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0"/>
      <c r="V687" s="11"/>
      <c r="W687" s="10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2.75" customHeight="1">
      <c r="A688" s="10"/>
      <c r="B688" s="11"/>
      <c r="C688" s="10"/>
      <c r="D688" s="11"/>
      <c r="E688" s="10"/>
      <c r="F688" s="1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0"/>
      <c r="V688" s="11"/>
      <c r="W688" s="10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2.75" customHeight="1">
      <c r="A689" s="10"/>
      <c r="B689" s="11"/>
      <c r="C689" s="10"/>
      <c r="D689" s="11"/>
      <c r="E689" s="10"/>
      <c r="F689" s="1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0"/>
      <c r="V689" s="11"/>
      <c r="W689" s="10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2.75" customHeight="1">
      <c r="A690" s="10"/>
      <c r="B690" s="11"/>
      <c r="C690" s="10"/>
      <c r="D690" s="11"/>
      <c r="E690" s="10"/>
      <c r="F690" s="1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0"/>
      <c r="V690" s="11"/>
      <c r="W690" s="10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2.75" customHeight="1">
      <c r="A691" s="10"/>
      <c r="B691" s="11"/>
      <c r="C691" s="10"/>
      <c r="D691" s="11"/>
      <c r="E691" s="10"/>
      <c r="F691" s="1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0"/>
      <c r="V691" s="11"/>
      <c r="W691" s="10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2.75" customHeight="1">
      <c r="A692" s="10"/>
      <c r="B692" s="11"/>
      <c r="C692" s="10"/>
      <c r="D692" s="11"/>
      <c r="E692" s="10"/>
      <c r="F692" s="1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0"/>
      <c r="V692" s="11"/>
      <c r="W692" s="10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2.75" customHeight="1">
      <c r="A693" s="10"/>
      <c r="B693" s="11"/>
      <c r="C693" s="10"/>
      <c r="D693" s="11"/>
      <c r="E693" s="10"/>
      <c r="F693" s="1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0"/>
      <c r="V693" s="11"/>
      <c r="W693" s="10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2.75" customHeight="1">
      <c r="A694" s="10"/>
      <c r="B694" s="11"/>
      <c r="C694" s="10"/>
      <c r="D694" s="11"/>
      <c r="E694" s="10"/>
      <c r="F694" s="1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0"/>
      <c r="V694" s="11"/>
      <c r="W694" s="10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2.75" customHeight="1">
      <c r="A695" s="10"/>
      <c r="B695" s="11"/>
      <c r="C695" s="10"/>
      <c r="D695" s="11"/>
      <c r="E695" s="10"/>
      <c r="F695" s="1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0"/>
      <c r="V695" s="11"/>
      <c r="W695" s="10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2.75" customHeight="1">
      <c r="A696" s="10"/>
      <c r="B696" s="11"/>
      <c r="C696" s="10"/>
      <c r="D696" s="11"/>
      <c r="E696" s="10"/>
      <c r="F696" s="1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0"/>
      <c r="V696" s="11"/>
      <c r="W696" s="10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2.75" customHeight="1">
      <c r="A697" s="10"/>
      <c r="B697" s="11"/>
      <c r="C697" s="10"/>
      <c r="D697" s="11"/>
      <c r="E697" s="10"/>
      <c r="F697" s="1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0"/>
      <c r="V697" s="11"/>
      <c r="W697" s="10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2.75" customHeight="1">
      <c r="A698" s="10"/>
      <c r="B698" s="11"/>
      <c r="C698" s="10"/>
      <c r="D698" s="11"/>
      <c r="E698" s="10"/>
      <c r="F698" s="1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0"/>
      <c r="V698" s="11"/>
      <c r="W698" s="10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2.75" customHeight="1">
      <c r="A699" s="10"/>
      <c r="B699" s="11"/>
      <c r="C699" s="10"/>
      <c r="D699" s="11"/>
      <c r="E699" s="10"/>
      <c r="F699" s="1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0"/>
      <c r="V699" s="11"/>
      <c r="W699" s="10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2.75" customHeight="1">
      <c r="A700" s="10"/>
      <c r="B700" s="11"/>
      <c r="C700" s="10"/>
      <c r="D700" s="11"/>
      <c r="E700" s="10"/>
      <c r="F700" s="1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0"/>
      <c r="V700" s="11"/>
      <c r="W700" s="10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2.75" customHeight="1">
      <c r="A701" s="10"/>
      <c r="B701" s="11"/>
      <c r="C701" s="10"/>
      <c r="D701" s="11"/>
      <c r="E701" s="10"/>
      <c r="F701" s="1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0"/>
      <c r="V701" s="11"/>
      <c r="W701" s="10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2.75" customHeight="1">
      <c r="A702" s="10"/>
      <c r="B702" s="11"/>
      <c r="C702" s="10"/>
      <c r="D702" s="11"/>
      <c r="E702" s="10"/>
      <c r="F702" s="1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0"/>
      <c r="V702" s="11"/>
      <c r="W702" s="10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2.75" customHeight="1">
      <c r="A703" s="10"/>
      <c r="B703" s="11"/>
      <c r="C703" s="10"/>
      <c r="D703" s="11"/>
      <c r="E703" s="10"/>
      <c r="F703" s="1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0"/>
      <c r="V703" s="11"/>
      <c r="W703" s="10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2.75" customHeight="1">
      <c r="A704" s="10"/>
      <c r="B704" s="11"/>
      <c r="C704" s="10"/>
      <c r="D704" s="11"/>
      <c r="E704" s="10"/>
      <c r="F704" s="1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0"/>
      <c r="V704" s="11"/>
      <c r="W704" s="10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2.75" customHeight="1">
      <c r="A705" s="10"/>
      <c r="B705" s="11"/>
      <c r="C705" s="10"/>
      <c r="D705" s="11"/>
      <c r="E705" s="10"/>
      <c r="F705" s="1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0"/>
      <c r="V705" s="11"/>
      <c r="W705" s="10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2.75" customHeight="1">
      <c r="A706" s="10"/>
      <c r="B706" s="11"/>
      <c r="C706" s="10"/>
      <c r="D706" s="11"/>
      <c r="E706" s="10"/>
      <c r="F706" s="1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0"/>
      <c r="V706" s="11"/>
      <c r="W706" s="10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2.75" customHeight="1">
      <c r="A707" s="10"/>
      <c r="B707" s="11"/>
      <c r="C707" s="10"/>
      <c r="D707" s="11"/>
      <c r="E707" s="10"/>
      <c r="F707" s="1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0"/>
      <c r="V707" s="11"/>
      <c r="W707" s="10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2.75" customHeight="1">
      <c r="A708" s="10"/>
      <c r="B708" s="11"/>
      <c r="C708" s="10"/>
      <c r="D708" s="11"/>
      <c r="E708" s="10"/>
      <c r="F708" s="1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0"/>
      <c r="V708" s="11"/>
      <c r="W708" s="10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2.75" customHeight="1">
      <c r="A709" s="10"/>
      <c r="B709" s="11"/>
      <c r="C709" s="10"/>
      <c r="D709" s="11"/>
      <c r="E709" s="10"/>
      <c r="F709" s="1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0"/>
      <c r="V709" s="11"/>
      <c r="W709" s="10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2.75" customHeight="1">
      <c r="A710" s="10"/>
      <c r="B710" s="11"/>
      <c r="C710" s="10"/>
      <c r="D710" s="11"/>
      <c r="E710" s="10"/>
      <c r="F710" s="1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0"/>
      <c r="V710" s="11"/>
      <c r="W710" s="10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2.75" customHeight="1">
      <c r="A711" s="10"/>
      <c r="B711" s="11"/>
      <c r="C711" s="10"/>
      <c r="D711" s="11"/>
      <c r="E711" s="10"/>
      <c r="F711" s="1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0"/>
      <c r="V711" s="11"/>
      <c r="W711" s="10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2.75" customHeight="1">
      <c r="A712" s="10"/>
      <c r="B712" s="11"/>
      <c r="C712" s="10"/>
      <c r="D712" s="11"/>
      <c r="E712" s="10"/>
      <c r="F712" s="1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0"/>
      <c r="V712" s="11"/>
      <c r="W712" s="10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2.75" customHeight="1">
      <c r="A713" s="10"/>
      <c r="B713" s="11"/>
      <c r="C713" s="10"/>
      <c r="D713" s="11"/>
      <c r="E713" s="10"/>
      <c r="F713" s="1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0"/>
      <c r="V713" s="11"/>
      <c r="W713" s="10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2.75" customHeight="1">
      <c r="A714" s="10"/>
      <c r="B714" s="11"/>
      <c r="C714" s="10"/>
      <c r="D714" s="11"/>
      <c r="E714" s="10"/>
      <c r="F714" s="1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0"/>
      <c r="V714" s="11"/>
      <c r="W714" s="10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2.75" customHeight="1">
      <c r="A715" s="10"/>
      <c r="B715" s="11"/>
      <c r="C715" s="10"/>
      <c r="D715" s="11"/>
      <c r="E715" s="10"/>
      <c r="F715" s="1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0"/>
      <c r="V715" s="11"/>
      <c r="W715" s="10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2.75" customHeight="1">
      <c r="A716" s="10"/>
      <c r="B716" s="11"/>
      <c r="C716" s="10"/>
      <c r="D716" s="11"/>
      <c r="E716" s="10"/>
      <c r="F716" s="1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0"/>
      <c r="V716" s="11"/>
      <c r="W716" s="10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2.75" customHeight="1">
      <c r="A717" s="10"/>
      <c r="B717" s="11"/>
      <c r="C717" s="10"/>
      <c r="D717" s="11"/>
      <c r="E717" s="10"/>
      <c r="F717" s="1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0"/>
      <c r="V717" s="11"/>
      <c r="W717" s="10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2.75" customHeight="1">
      <c r="A718" s="10"/>
      <c r="B718" s="11"/>
      <c r="C718" s="10"/>
      <c r="D718" s="11"/>
      <c r="E718" s="10"/>
      <c r="F718" s="1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0"/>
      <c r="V718" s="11"/>
      <c r="W718" s="10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2.75" customHeight="1">
      <c r="A719" s="10"/>
      <c r="B719" s="11"/>
      <c r="C719" s="10"/>
      <c r="D719" s="11"/>
      <c r="E719" s="10"/>
      <c r="F719" s="1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0"/>
      <c r="V719" s="11"/>
      <c r="W719" s="10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2.75" customHeight="1">
      <c r="A720" s="10"/>
      <c r="B720" s="11"/>
      <c r="C720" s="10"/>
      <c r="D720" s="11"/>
      <c r="E720" s="10"/>
      <c r="F720" s="1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0"/>
      <c r="V720" s="11"/>
      <c r="W720" s="10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2.75" customHeight="1">
      <c r="A721" s="10"/>
      <c r="B721" s="11"/>
      <c r="C721" s="10"/>
      <c r="D721" s="11"/>
      <c r="E721" s="10"/>
      <c r="F721" s="1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0"/>
      <c r="V721" s="11"/>
      <c r="W721" s="10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2.75" customHeight="1">
      <c r="A722" s="10"/>
      <c r="B722" s="11"/>
      <c r="C722" s="10"/>
      <c r="D722" s="11"/>
      <c r="E722" s="10"/>
      <c r="F722" s="1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0"/>
      <c r="V722" s="11"/>
      <c r="W722" s="10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2.75" customHeight="1">
      <c r="A723" s="10"/>
      <c r="B723" s="11"/>
      <c r="C723" s="10"/>
      <c r="D723" s="11"/>
      <c r="E723" s="10"/>
      <c r="F723" s="1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0"/>
      <c r="V723" s="11"/>
      <c r="W723" s="10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2.75" customHeight="1">
      <c r="A724" s="10"/>
      <c r="B724" s="11"/>
      <c r="C724" s="10"/>
      <c r="D724" s="11"/>
      <c r="E724" s="10"/>
      <c r="F724" s="1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0"/>
      <c r="V724" s="11"/>
      <c r="W724" s="10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2.75" customHeight="1">
      <c r="A725" s="10"/>
      <c r="B725" s="11"/>
      <c r="C725" s="10"/>
      <c r="D725" s="11"/>
      <c r="E725" s="10"/>
      <c r="F725" s="1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0"/>
      <c r="V725" s="11"/>
      <c r="W725" s="10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2.75" customHeight="1">
      <c r="A726" s="10"/>
      <c r="B726" s="11"/>
      <c r="C726" s="10"/>
      <c r="D726" s="11"/>
      <c r="E726" s="10"/>
      <c r="F726" s="1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0"/>
      <c r="V726" s="11"/>
      <c r="W726" s="10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2.75" customHeight="1">
      <c r="A727" s="10"/>
      <c r="B727" s="11"/>
      <c r="C727" s="10"/>
      <c r="D727" s="11"/>
      <c r="E727" s="10"/>
      <c r="F727" s="1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0"/>
      <c r="V727" s="11"/>
      <c r="W727" s="10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2.75" customHeight="1">
      <c r="A728" s="10"/>
      <c r="B728" s="11"/>
      <c r="C728" s="10"/>
      <c r="D728" s="11"/>
      <c r="E728" s="10"/>
      <c r="F728" s="1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0"/>
      <c r="V728" s="11"/>
      <c r="W728" s="10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2.75" customHeight="1">
      <c r="A729" s="10"/>
      <c r="B729" s="11"/>
      <c r="C729" s="10"/>
      <c r="D729" s="11"/>
      <c r="E729" s="10"/>
      <c r="F729" s="1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0"/>
      <c r="V729" s="11"/>
      <c r="W729" s="10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2.75" customHeight="1">
      <c r="A730" s="10"/>
      <c r="B730" s="11"/>
      <c r="C730" s="10"/>
      <c r="D730" s="11"/>
      <c r="E730" s="10"/>
      <c r="F730" s="1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0"/>
      <c r="V730" s="11"/>
      <c r="W730" s="10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2.75" customHeight="1">
      <c r="A731" s="10"/>
      <c r="B731" s="11"/>
      <c r="C731" s="10"/>
      <c r="D731" s="11"/>
      <c r="E731" s="10"/>
      <c r="F731" s="1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0"/>
      <c r="V731" s="11"/>
      <c r="W731" s="10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2.75" customHeight="1">
      <c r="A732" s="10"/>
      <c r="B732" s="11"/>
      <c r="C732" s="10"/>
      <c r="D732" s="11"/>
      <c r="E732" s="10"/>
      <c r="F732" s="1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0"/>
      <c r="V732" s="11"/>
      <c r="W732" s="10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2.75" customHeight="1">
      <c r="A733" s="10"/>
      <c r="B733" s="11"/>
      <c r="C733" s="10"/>
      <c r="D733" s="11"/>
      <c r="E733" s="10"/>
      <c r="F733" s="1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0"/>
      <c r="V733" s="11"/>
      <c r="W733" s="10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2.75" customHeight="1">
      <c r="A734" s="10"/>
      <c r="B734" s="11"/>
      <c r="C734" s="10"/>
      <c r="D734" s="11"/>
      <c r="E734" s="10"/>
      <c r="F734" s="1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0"/>
      <c r="V734" s="11"/>
      <c r="W734" s="10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2.75" customHeight="1">
      <c r="A735" s="10"/>
      <c r="B735" s="11"/>
      <c r="C735" s="10"/>
      <c r="D735" s="11"/>
      <c r="E735" s="10"/>
      <c r="F735" s="1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0"/>
      <c r="V735" s="11"/>
      <c r="W735" s="10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2.75" customHeight="1">
      <c r="A736" s="10"/>
      <c r="B736" s="11"/>
      <c r="C736" s="10"/>
      <c r="D736" s="11"/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0"/>
      <c r="V736" s="11"/>
      <c r="W736" s="10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2.75" customHeight="1">
      <c r="A737" s="10"/>
      <c r="B737" s="11"/>
      <c r="C737" s="10"/>
      <c r="D737" s="11"/>
      <c r="E737" s="10"/>
      <c r="F737" s="1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0"/>
      <c r="V737" s="11"/>
      <c r="W737" s="10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2.75" customHeight="1">
      <c r="A738" s="10"/>
      <c r="B738" s="11"/>
      <c r="C738" s="10"/>
      <c r="D738" s="11"/>
      <c r="E738" s="10"/>
      <c r="F738" s="1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0"/>
      <c r="V738" s="11"/>
      <c r="W738" s="10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2.75" customHeight="1">
      <c r="A739" s="10"/>
      <c r="B739" s="11"/>
      <c r="C739" s="10"/>
      <c r="D739" s="11"/>
      <c r="E739" s="10"/>
      <c r="F739" s="1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0"/>
      <c r="V739" s="11"/>
      <c r="W739" s="10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2.75" customHeight="1">
      <c r="A740" s="10"/>
      <c r="B740" s="11"/>
      <c r="C740" s="10"/>
      <c r="D740" s="11"/>
      <c r="E740" s="10"/>
      <c r="F740" s="1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0"/>
      <c r="V740" s="11"/>
      <c r="W740" s="10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2.75" customHeight="1">
      <c r="A741" s="10"/>
      <c r="B741" s="11"/>
      <c r="C741" s="10"/>
      <c r="D741" s="11"/>
      <c r="E741" s="10"/>
      <c r="F741" s="1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0"/>
      <c r="V741" s="11"/>
      <c r="W741" s="10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2.75" customHeight="1">
      <c r="A742" s="10"/>
      <c r="B742" s="11"/>
      <c r="C742" s="10"/>
      <c r="D742" s="11"/>
      <c r="E742" s="10"/>
      <c r="F742" s="1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0"/>
      <c r="V742" s="11"/>
      <c r="W742" s="10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2.75" customHeight="1">
      <c r="A743" s="10"/>
      <c r="B743" s="11"/>
      <c r="C743" s="10"/>
      <c r="D743" s="11"/>
      <c r="E743" s="10"/>
      <c r="F743" s="1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0"/>
      <c r="V743" s="11"/>
      <c r="W743" s="10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2.75" customHeight="1">
      <c r="A744" s="10"/>
      <c r="B744" s="11"/>
      <c r="C744" s="10"/>
      <c r="D744" s="11"/>
      <c r="E744" s="10"/>
      <c r="F744" s="1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0"/>
      <c r="V744" s="11"/>
      <c r="W744" s="10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2.75" customHeight="1">
      <c r="A745" s="10"/>
      <c r="B745" s="11"/>
      <c r="C745" s="10"/>
      <c r="D745" s="11"/>
      <c r="E745" s="10"/>
      <c r="F745" s="1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0"/>
      <c r="V745" s="11"/>
      <c r="W745" s="10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2.75" customHeight="1">
      <c r="A746" s="10"/>
      <c r="B746" s="11"/>
      <c r="C746" s="10"/>
      <c r="D746" s="11"/>
      <c r="E746" s="10"/>
      <c r="F746" s="1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0"/>
      <c r="V746" s="11"/>
      <c r="W746" s="10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2.75" customHeight="1">
      <c r="A747" s="10"/>
      <c r="B747" s="11"/>
      <c r="C747" s="10"/>
      <c r="D747" s="11"/>
      <c r="E747" s="10"/>
      <c r="F747" s="1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0"/>
      <c r="V747" s="11"/>
      <c r="W747" s="10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2.75" customHeight="1">
      <c r="A748" s="10"/>
      <c r="B748" s="11"/>
      <c r="C748" s="10"/>
      <c r="D748" s="11"/>
      <c r="E748" s="10"/>
      <c r="F748" s="1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0"/>
      <c r="V748" s="11"/>
      <c r="W748" s="10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2.75" customHeight="1">
      <c r="A749" s="10"/>
      <c r="B749" s="11"/>
      <c r="C749" s="10"/>
      <c r="D749" s="11"/>
      <c r="E749" s="10"/>
      <c r="F749" s="1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0"/>
      <c r="V749" s="11"/>
      <c r="W749" s="10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2.75" customHeight="1">
      <c r="A750" s="10"/>
      <c r="B750" s="11"/>
      <c r="C750" s="10"/>
      <c r="D750" s="11"/>
      <c r="E750" s="10"/>
      <c r="F750" s="1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0"/>
      <c r="V750" s="11"/>
      <c r="W750" s="10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2.75" customHeight="1">
      <c r="A751" s="10"/>
      <c r="B751" s="11"/>
      <c r="C751" s="10"/>
      <c r="D751" s="11"/>
      <c r="E751" s="10"/>
      <c r="F751" s="1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0"/>
      <c r="V751" s="11"/>
      <c r="W751" s="10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2.75" customHeight="1">
      <c r="A752" s="10"/>
      <c r="B752" s="11"/>
      <c r="C752" s="10"/>
      <c r="D752" s="11"/>
      <c r="E752" s="10"/>
      <c r="F752" s="1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0"/>
      <c r="V752" s="11"/>
      <c r="W752" s="10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2.75" customHeight="1">
      <c r="A753" s="10"/>
      <c r="B753" s="11"/>
      <c r="C753" s="10"/>
      <c r="D753" s="11"/>
      <c r="E753" s="10"/>
      <c r="F753" s="1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0"/>
      <c r="V753" s="11"/>
      <c r="W753" s="10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2.75" customHeight="1">
      <c r="A754" s="10"/>
      <c r="B754" s="11"/>
      <c r="C754" s="10"/>
      <c r="D754" s="11"/>
      <c r="E754" s="10"/>
      <c r="F754" s="1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0"/>
      <c r="V754" s="11"/>
      <c r="W754" s="10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2.75" customHeight="1">
      <c r="A755" s="10"/>
      <c r="B755" s="11"/>
      <c r="C755" s="10"/>
      <c r="D755" s="11"/>
      <c r="E755" s="10"/>
      <c r="F755" s="1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0"/>
      <c r="V755" s="11"/>
      <c r="W755" s="10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2.75" customHeight="1">
      <c r="A756" s="10"/>
      <c r="B756" s="11"/>
      <c r="C756" s="10"/>
      <c r="D756" s="11"/>
      <c r="E756" s="10"/>
      <c r="F756" s="1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0"/>
      <c r="V756" s="11"/>
      <c r="W756" s="10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2.75" customHeight="1">
      <c r="A757" s="10"/>
      <c r="B757" s="11"/>
      <c r="C757" s="10"/>
      <c r="D757" s="11"/>
      <c r="E757" s="10"/>
      <c r="F757" s="1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0"/>
      <c r="V757" s="11"/>
      <c r="W757" s="10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2.75" customHeight="1">
      <c r="A758" s="10"/>
      <c r="B758" s="11"/>
      <c r="C758" s="10"/>
      <c r="D758" s="11"/>
      <c r="E758" s="10"/>
      <c r="F758" s="1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0"/>
      <c r="V758" s="11"/>
      <c r="W758" s="10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2.75" customHeight="1">
      <c r="A759" s="10"/>
      <c r="B759" s="11"/>
      <c r="C759" s="10"/>
      <c r="D759" s="11"/>
      <c r="E759" s="10"/>
      <c r="F759" s="1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0"/>
      <c r="V759" s="11"/>
      <c r="W759" s="10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2.75" customHeight="1">
      <c r="A760" s="10"/>
      <c r="B760" s="11"/>
      <c r="C760" s="10"/>
      <c r="D760" s="11"/>
      <c r="E760" s="10"/>
      <c r="F760" s="1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0"/>
      <c r="V760" s="11"/>
      <c r="W760" s="10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2.75" customHeight="1">
      <c r="A761" s="10"/>
      <c r="B761" s="11"/>
      <c r="C761" s="10"/>
      <c r="D761" s="11"/>
      <c r="E761" s="10"/>
      <c r="F761" s="1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0"/>
      <c r="V761" s="11"/>
      <c r="W761" s="10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2.75" customHeight="1">
      <c r="A762" s="10"/>
      <c r="B762" s="11"/>
      <c r="C762" s="10"/>
      <c r="D762" s="11"/>
      <c r="E762" s="10"/>
      <c r="F762" s="1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0"/>
      <c r="V762" s="11"/>
      <c r="W762" s="10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2.75" customHeight="1">
      <c r="A763" s="10"/>
      <c r="B763" s="11"/>
      <c r="C763" s="10"/>
      <c r="D763" s="11"/>
      <c r="E763" s="10"/>
      <c r="F763" s="1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0"/>
      <c r="V763" s="11"/>
      <c r="W763" s="10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2.75" customHeight="1">
      <c r="A764" s="10"/>
      <c r="B764" s="11"/>
      <c r="C764" s="10"/>
      <c r="D764" s="11"/>
      <c r="E764" s="10"/>
      <c r="F764" s="1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0"/>
      <c r="V764" s="11"/>
      <c r="W764" s="10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2.75" customHeight="1">
      <c r="A765" s="10"/>
      <c r="B765" s="11"/>
      <c r="C765" s="10"/>
      <c r="D765" s="11"/>
      <c r="E765" s="10"/>
      <c r="F765" s="1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0"/>
      <c r="V765" s="11"/>
      <c r="W765" s="10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2.75" customHeight="1">
      <c r="A766" s="10"/>
      <c r="B766" s="11"/>
      <c r="C766" s="10"/>
      <c r="D766" s="11"/>
      <c r="E766" s="10"/>
      <c r="F766" s="1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0"/>
      <c r="V766" s="11"/>
      <c r="W766" s="10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2.75" customHeight="1">
      <c r="A767" s="10"/>
      <c r="B767" s="11"/>
      <c r="C767" s="10"/>
      <c r="D767" s="11"/>
      <c r="E767" s="10"/>
      <c r="F767" s="1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0"/>
      <c r="V767" s="11"/>
      <c r="W767" s="10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2.75" customHeight="1">
      <c r="A768" s="10"/>
      <c r="B768" s="11"/>
      <c r="C768" s="10"/>
      <c r="D768" s="11"/>
      <c r="E768" s="10"/>
      <c r="F768" s="1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0"/>
      <c r="V768" s="11"/>
      <c r="W768" s="10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2.75" customHeight="1">
      <c r="A769" s="10"/>
      <c r="B769" s="11"/>
      <c r="C769" s="10"/>
      <c r="D769" s="11"/>
      <c r="E769" s="10"/>
      <c r="F769" s="1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0"/>
      <c r="V769" s="11"/>
      <c r="W769" s="10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2.75" customHeight="1">
      <c r="A770" s="10"/>
      <c r="B770" s="11"/>
      <c r="C770" s="10"/>
      <c r="D770" s="11"/>
      <c r="E770" s="10"/>
      <c r="F770" s="1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0"/>
      <c r="V770" s="11"/>
      <c r="W770" s="10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2.75" customHeight="1">
      <c r="A771" s="10"/>
      <c r="B771" s="11"/>
      <c r="C771" s="10"/>
      <c r="D771" s="11"/>
      <c r="E771" s="10"/>
      <c r="F771" s="1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0"/>
      <c r="V771" s="11"/>
      <c r="W771" s="10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2.75" customHeight="1">
      <c r="A772" s="10"/>
      <c r="B772" s="11"/>
      <c r="C772" s="10"/>
      <c r="D772" s="11"/>
      <c r="E772" s="10"/>
      <c r="F772" s="1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0"/>
      <c r="V772" s="11"/>
      <c r="W772" s="10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2.75" customHeight="1">
      <c r="A773" s="10"/>
      <c r="B773" s="11"/>
      <c r="C773" s="10"/>
      <c r="D773" s="11"/>
      <c r="E773" s="10"/>
      <c r="F773" s="1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0"/>
      <c r="V773" s="11"/>
      <c r="W773" s="10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2.75" customHeight="1">
      <c r="A774" s="10"/>
      <c r="B774" s="11"/>
      <c r="C774" s="10"/>
      <c r="D774" s="11"/>
      <c r="E774" s="10"/>
      <c r="F774" s="1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0"/>
      <c r="V774" s="11"/>
      <c r="W774" s="10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2.75" customHeight="1">
      <c r="A775" s="10"/>
      <c r="B775" s="11"/>
      <c r="C775" s="10"/>
      <c r="D775" s="11"/>
      <c r="E775" s="10"/>
      <c r="F775" s="1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0"/>
      <c r="V775" s="11"/>
      <c r="W775" s="10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2.75" customHeight="1">
      <c r="A776" s="10"/>
      <c r="B776" s="11"/>
      <c r="C776" s="10"/>
      <c r="D776" s="11"/>
      <c r="E776" s="10"/>
      <c r="F776" s="1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0"/>
      <c r="V776" s="11"/>
      <c r="W776" s="10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2.75" customHeight="1">
      <c r="A777" s="10"/>
      <c r="B777" s="11"/>
      <c r="C777" s="10"/>
      <c r="D777" s="11"/>
      <c r="E777" s="10"/>
      <c r="F777" s="1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0"/>
      <c r="V777" s="11"/>
      <c r="W777" s="10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2.75" customHeight="1">
      <c r="A778" s="10"/>
      <c r="B778" s="11"/>
      <c r="C778" s="10"/>
      <c r="D778" s="11"/>
      <c r="E778" s="10"/>
      <c r="F778" s="1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0"/>
      <c r="V778" s="11"/>
      <c r="W778" s="10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2.75" customHeight="1">
      <c r="A779" s="10"/>
      <c r="B779" s="11"/>
      <c r="C779" s="10"/>
      <c r="D779" s="11"/>
      <c r="E779" s="10"/>
      <c r="F779" s="1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0"/>
      <c r="V779" s="11"/>
      <c r="W779" s="10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2.75" customHeight="1">
      <c r="A780" s="10"/>
      <c r="B780" s="11"/>
      <c r="C780" s="10"/>
      <c r="D780" s="11"/>
      <c r="E780" s="10"/>
      <c r="F780" s="1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0"/>
      <c r="V780" s="11"/>
      <c r="W780" s="10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2.75" customHeight="1">
      <c r="A781" s="10"/>
      <c r="B781" s="11"/>
      <c r="C781" s="10"/>
      <c r="D781" s="11"/>
      <c r="E781" s="10"/>
      <c r="F781" s="1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0"/>
      <c r="V781" s="11"/>
      <c r="W781" s="10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2.75" customHeight="1">
      <c r="A782" s="10"/>
      <c r="B782" s="11"/>
      <c r="C782" s="10"/>
      <c r="D782" s="11"/>
      <c r="E782" s="10"/>
      <c r="F782" s="1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0"/>
      <c r="V782" s="11"/>
      <c r="W782" s="10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2.75" customHeight="1">
      <c r="A783" s="10"/>
      <c r="B783" s="11"/>
      <c r="C783" s="10"/>
      <c r="D783" s="11"/>
      <c r="E783" s="10"/>
      <c r="F783" s="1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0"/>
      <c r="V783" s="11"/>
      <c r="W783" s="10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2.75" customHeight="1">
      <c r="A784" s="10"/>
      <c r="B784" s="11"/>
      <c r="C784" s="10"/>
      <c r="D784" s="11"/>
      <c r="E784" s="10"/>
      <c r="F784" s="1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0"/>
      <c r="V784" s="11"/>
      <c r="W784" s="10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2.75" customHeight="1">
      <c r="A785" s="10"/>
      <c r="B785" s="11"/>
      <c r="C785" s="10"/>
      <c r="D785" s="11"/>
      <c r="E785" s="10"/>
      <c r="F785" s="1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0"/>
      <c r="V785" s="11"/>
      <c r="W785" s="10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2.75" customHeight="1">
      <c r="A786" s="10"/>
      <c r="B786" s="11"/>
      <c r="C786" s="10"/>
      <c r="D786" s="11"/>
      <c r="E786" s="10"/>
      <c r="F786" s="1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0"/>
      <c r="V786" s="11"/>
      <c r="W786" s="10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2.75" customHeight="1">
      <c r="A787" s="10"/>
      <c r="B787" s="11"/>
      <c r="C787" s="10"/>
      <c r="D787" s="11"/>
      <c r="E787" s="10"/>
      <c r="F787" s="1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0"/>
      <c r="V787" s="11"/>
      <c r="W787" s="10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2.75" customHeight="1">
      <c r="A788" s="10"/>
      <c r="B788" s="11"/>
      <c r="C788" s="10"/>
      <c r="D788" s="11"/>
      <c r="E788" s="10"/>
      <c r="F788" s="1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0"/>
      <c r="V788" s="11"/>
      <c r="W788" s="10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2.75" customHeight="1">
      <c r="A789" s="10"/>
      <c r="B789" s="11"/>
      <c r="C789" s="10"/>
      <c r="D789" s="11"/>
      <c r="E789" s="10"/>
      <c r="F789" s="1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0"/>
      <c r="V789" s="11"/>
      <c r="W789" s="10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2.75" customHeight="1">
      <c r="A790" s="10"/>
      <c r="B790" s="11"/>
      <c r="C790" s="10"/>
      <c r="D790" s="11"/>
      <c r="E790" s="10"/>
      <c r="F790" s="1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0"/>
      <c r="V790" s="11"/>
      <c r="W790" s="10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2.75" customHeight="1">
      <c r="A791" s="10"/>
      <c r="B791" s="11"/>
      <c r="C791" s="10"/>
      <c r="D791" s="11"/>
      <c r="E791" s="10"/>
      <c r="F791" s="1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0"/>
      <c r="V791" s="11"/>
      <c r="W791" s="10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2.75" customHeight="1">
      <c r="A792" s="10"/>
      <c r="B792" s="11"/>
      <c r="C792" s="10"/>
      <c r="D792" s="11"/>
      <c r="E792" s="10"/>
      <c r="F792" s="1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0"/>
      <c r="V792" s="11"/>
      <c r="W792" s="10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2.75" customHeight="1">
      <c r="A793" s="10"/>
      <c r="B793" s="11"/>
      <c r="C793" s="10"/>
      <c r="D793" s="11"/>
      <c r="E793" s="10"/>
      <c r="F793" s="1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0"/>
      <c r="V793" s="11"/>
      <c r="W793" s="10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2.75" customHeight="1">
      <c r="A794" s="10"/>
      <c r="B794" s="11"/>
      <c r="C794" s="10"/>
      <c r="D794" s="11"/>
      <c r="E794" s="10"/>
      <c r="F794" s="1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0"/>
      <c r="V794" s="11"/>
      <c r="W794" s="10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2.75" customHeight="1">
      <c r="A795" s="10"/>
      <c r="B795" s="11"/>
      <c r="C795" s="10"/>
      <c r="D795" s="11"/>
      <c r="E795" s="10"/>
      <c r="F795" s="1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0"/>
      <c r="V795" s="11"/>
      <c r="W795" s="10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2.75" customHeight="1">
      <c r="A796" s="10"/>
      <c r="B796" s="11"/>
      <c r="C796" s="10"/>
      <c r="D796" s="11"/>
      <c r="E796" s="10"/>
      <c r="F796" s="1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0"/>
      <c r="V796" s="11"/>
      <c r="W796" s="10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2.75" customHeight="1">
      <c r="A797" s="10"/>
      <c r="B797" s="11"/>
      <c r="C797" s="10"/>
      <c r="D797" s="11"/>
      <c r="E797" s="10"/>
      <c r="F797" s="1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0"/>
      <c r="V797" s="11"/>
      <c r="W797" s="10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2.75" customHeight="1">
      <c r="A798" s="10"/>
      <c r="B798" s="11"/>
      <c r="C798" s="10"/>
      <c r="D798" s="11"/>
      <c r="E798" s="10"/>
      <c r="F798" s="1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0"/>
      <c r="V798" s="11"/>
      <c r="W798" s="10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2.75" customHeight="1">
      <c r="A799" s="10"/>
      <c r="B799" s="11"/>
      <c r="C799" s="10"/>
      <c r="D799" s="11"/>
      <c r="E799" s="10"/>
      <c r="F799" s="1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0"/>
      <c r="V799" s="11"/>
      <c r="W799" s="10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2.75" customHeight="1">
      <c r="A800" s="10"/>
      <c r="B800" s="11"/>
      <c r="C800" s="10"/>
      <c r="D800" s="11"/>
      <c r="E800" s="10"/>
      <c r="F800" s="1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0"/>
      <c r="V800" s="11"/>
      <c r="W800" s="10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2.75" customHeight="1">
      <c r="A801" s="10"/>
      <c r="B801" s="11"/>
      <c r="C801" s="10"/>
      <c r="D801" s="11"/>
      <c r="E801" s="10"/>
      <c r="F801" s="1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0"/>
      <c r="V801" s="11"/>
      <c r="W801" s="10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2.75" customHeight="1">
      <c r="A802" s="10"/>
      <c r="B802" s="11"/>
      <c r="C802" s="10"/>
      <c r="D802" s="11"/>
      <c r="E802" s="10"/>
      <c r="F802" s="1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0"/>
      <c r="V802" s="11"/>
      <c r="W802" s="10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2.75" customHeight="1">
      <c r="A803" s="10"/>
      <c r="B803" s="11"/>
      <c r="C803" s="10"/>
      <c r="D803" s="11"/>
      <c r="E803" s="10"/>
      <c r="F803" s="1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0"/>
      <c r="V803" s="11"/>
      <c r="W803" s="10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2.75" customHeight="1">
      <c r="A804" s="10"/>
      <c r="B804" s="11"/>
      <c r="C804" s="10"/>
      <c r="D804" s="11"/>
      <c r="E804" s="10"/>
      <c r="F804" s="1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0"/>
      <c r="V804" s="11"/>
      <c r="W804" s="10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2.75" customHeight="1">
      <c r="A805" s="10"/>
      <c r="B805" s="11"/>
      <c r="C805" s="10"/>
      <c r="D805" s="11"/>
      <c r="E805" s="10"/>
      <c r="F805" s="1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0"/>
      <c r="V805" s="11"/>
      <c r="W805" s="10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2.75" customHeight="1">
      <c r="A806" s="10"/>
      <c r="B806" s="11"/>
      <c r="C806" s="10"/>
      <c r="D806" s="11"/>
      <c r="E806" s="10"/>
      <c r="F806" s="1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0"/>
      <c r="V806" s="11"/>
      <c r="W806" s="10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2.75" customHeight="1">
      <c r="A807" s="10"/>
      <c r="B807" s="11"/>
      <c r="C807" s="10"/>
      <c r="D807" s="11"/>
      <c r="E807" s="10"/>
      <c r="F807" s="1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0"/>
      <c r="V807" s="11"/>
      <c r="W807" s="10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2.75" customHeight="1">
      <c r="A808" s="10"/>
      <c r="B808" s="11"/>
      <c r="C808" s="10"/>
      <c r="D808" s="11"/>
      <c r="E808" s="10"/>
      <c r="F808" s="1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0"/>
      <c r="V808" s="11"/>
      <c r="W808" s="10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2.75" customHeight="1">
      <c r="A809" s="10"/>
      <c r="B809" s="11"/>
      <c r="C809" s="10"/>
      <c r="D809" s="11"/>
      <c r="E809" s="10"/>
      <c r="F809" s="1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0"/>
      <c r="V809" s="11"/>
      <c r="W809" s="10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2.75" customHeight="1">
      <c r="A810" s="10"/>
      <c r="B810" s="11"/>
      <c r="C810" s="10"/>
      <c r="D810" s="11"/>
      <c r="E810" s="10"/>
      <c r="F810" s="1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0"/>
      <c r="V810" s="11"/>
      <c r="W810" s="10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2.75" customHeight="1">
      <c r="A811" s="10"/>
      <c r="B811" s="11"/>
      <c r="C811" s="10"/>
      <c r="D811" s="11"/>
      <c r="E811" s="10"/>
      <c r="F811" s="1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0"/>
      <c r="V811" s="11"/>
      <c r="W811" s="10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2.75" customHeight="1">
      <c r="A812" s="10"/>
      <c r="B812" s="11"/>
      <c r="C812" s="10"/>
      <c r="D812" s="11"/>
      <c r="E812" s="10"/>
      <c r="F812" s="1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0"/>
      <c r="V812" s="11"/>
      <c r="W812" s="10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2.75" customHeight="1">
      <c r="A813" s="10"/>
      <c r="B813" s="11"/>
      <c r="C813" s="10"/>
      <c r="D813" s="11"/>
      <c r="E813" s="10"/>
      <c r="F813" s="1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0"/>
      <c r="V813" s="11"/>
      <c r="W813" s="10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2.75" customHeight="1">
      <c r="A814" s="10"/>
      <c r="B814" s="11"/>
      <c r="C814" s="10"/>
      <c r="D814" s="11"/>
      <c r="E814" s="10"/>
      <c r="F814" s="1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0"/>
      <c r="V814" s="11"/>
      <c r="W814" s="10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2.75" customHeight="1">
      <c r="A815" s="10"/>
      <c r="B815" s="11"/>
      <c r="C815" s="10"/>
      <c r="D815" s="11"/>
      <c r="E815" s="10"/>
      <c r="F815" s="1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0"/>
      <c r="V815" s="11"/>
      <c r="W815" s="10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2.75" customHeight="1">
      <c r="A816" s="10"/>
      <c r="B816" s="11"/>
      <c r="C816" s="10"/>
      <c r="D816" s="11"/>
      <c r="E816" s="10"/>
      <c r="F816" s="1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0"/>
      <c r="V816" s="11"/>
      <c r="W816" s="10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2.75" customHeight="1">
      <c r="A817" s="10"/>
      <c r="B817" s="11"/>
      <c r="C817" s="10"/>
      <c r="D817" s="11"/>
      <c r="E817" s="10"/>
      <c r="F817" s="1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0"/>
      <c r="V817" s="11"/>
      <c r="W817" s="10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2.75" customHeight="1">
      <c r="A818" s="10"/>
      <c r="B818" s="11"/>
      <c r="C818" s="10"/>
      <c r="D818" s="11"/>
      <c r="E818" s="10"/>
      <c r="F818" s="1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0"/>
      <c r="V818" s="11"/>
      <c r="W818" s="10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2.75" customHeight="1">
      <c r="A819" s="10"/>
      <c r="B819" s="11"/>
      <c r="C819" s="10"/>
      <c r="D819" s="11"/>
      <c r="E819" s="10"/>
      <c r="F819" s="1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0"/>
      <c r="V819" s="11"/>
      <c r="W819" s="10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2.75" customHeight="1">
      <c r="A820" s="10"/>
      <c r="B820" s="11"/>
      <c r="C820" s="10"/>
      <c r="D820" s="11"/>
      <c r="E820" s="10"/>
      <c r="F820" s="1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0"/>
      <c r="V820" s="11"/>
      <c r="W820" s="10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2.75" customHeight="1">
      <c r="A821" s="10"/>
      <c r="B821" s="11"/>
      <c r="C821" s="10"/>
      <c r="D821" s="11"/>
      <c r="E821" s="10"/>
      <c r="F821" s="1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0"/>
      <c r="V821" s="11"/>
      <c r="W821" s="10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2.75" customHeight="1">
      <c r="A822" s="10"/>
      <c r="B822" s="11"/>
      <c r="C822" s="10"/>
      <c r="D822" s="11"/>
      <c r="E822" s="10"/>
      <c r="F822" s="1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0"/>
      <c r="V822" s="11"/>
      <c r="W822" s="10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2.75" customHeight="1">
      <c r="A823" s="10"/>
      <c r="B823" s="11"/>
      <c r="C823" s="10"/>
      <c r="D823" s="11"/>
      <c r="E823" s="10"/>
      <c r="F823" s="1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0"/>
      <c r="V823" s="11"/>
      <c r="W823" s="10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2.75" customHeight="1">
      <c r="A824" s="10"/>
      <c r="B824" s="11"/>
      <c r="C824" s="10"/>
      <c r="D824" s="11"/>
      <c r="E824" s="10"/>
      <c r="F824" s="1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0"/>
      <c r="V824" s="11"/>
      <c r="W824" s="10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2.75" customHeight="1">
      <c r="A825" s="10"/>
      <c r="B825" s="11"/>
      <c r="C825" s="10"/>
      <c r="D825" s="11"/>
      <c r="E825" s="10"/>
      <c r="F825" s="1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0"/>
      <c r="V825" s="11"/>
      <c r="W825" s="10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2.75" customHeight="1">
      <c r="A826" s="10"/>
      <c r="B826" s="11"/>
      <c r="C826" s="10"/>
      <c r="D826" s="11"/>
      <c r="E826" s="10"/>
      <c r="F826" s="1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0"/>
      <c r="V826" s="11"/>
      <c r="W826" s="10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2.75" customHeight="1">
      <c r="A827" s="10"/>
      <c r="B827" s="11"/>
      <c r="C827" s="10"/>
      <c r="D827" s="11"/>
      <c r="E827" s="10"/>
      <c r="F827" s="1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0"/>
      <c r="V827" s="11"/>
      <c r="W827" s="10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2.75" customHeight="1">
      <c r="A828" s="10"/>
      <c r="B828" s="11"/>
      <c r="C828" s="10"/>
      <c r="D828" s="11"/>
      <c r="E828" s="10"/>
      <c r="F828" s="1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0"/>
      <c r="V828" s="11"/>
      <c r="W828" s="10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2.75" customHeight="1">
      <c r="A829" s="10"/>
      <c r="B829" s="11"/>
      <c r="C829" s="10"/>
      <c r="D829" s="11"/>
      <c r="E829" s="10"/>
      <c r="F829" s="1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0"/>
      <c r="V829" s="11"/>
      <c r="W829" s="10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2.75" customHeight="1">
      <c r="A830" s="10"/>
      <c r="B830" s="11"/>
      <c r="C830" s="10"/>
      <c r="D830" s="11"/>
      <c r="E830" s="10"/>
      <c r="F830" s="1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0"/>
      <c r="V830" s="11"/>
      <c r="W830" s="10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2.75" customHeight="1">
      <c r="A831" s="10"/>
      <c r="B831" s="11"/>
      <c r="C831" s="10"/>
      <c r="D831" s="11"/>
      <c r="E831" s="10"/>
      <c r="F831" s="1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0"/>
      <c r="V831" s="11"/>
      <c r="W831" s="10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2.75" customHeight="1">
      <c r="A832" s="10"/>
      <c r="B832" s="11"/>
      <c r="C832" s="10"/>
      <c r="D832" s="11"/>
      <c r="E832" s="10"/>
      <c r="F832" s="1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0"/>
      <c r="V832" s="11"/>
      <c r="W832" s="10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2.75" customHeight="1">
      <c r="A833" s="10"/>
      <c r="B833" s="11"/>
      <c r="C833" s="10"/>
      <c r="D833" s="11"/>
      <c r="E833" s="10"/>
      <c r="F833" s="1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0"/>
      <c r="V833" s="11"/>
      <c r="W833" s="10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2.75" customHeight="1">
      <c r="A834" s="10"/>
      <c r="B834" s="11"/>
      <c r="C834" s="10"/>
      <c r="D834" s="11"/>
      <c r="E834" s="10"/>
      <c r="F834" s="1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0"/>
      <c r="V834" s="11"/>
      <c r="W834" s="10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2.75" customHeight="1">
      <c r="A835" s="10"/>
      <c r="B835" s="11"/>
      <c r="C835" s="10"/>
      <c r="D835" s="11"/>
      <c r="E835" s="10"/>
      <c r="F835" s="1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0"/>
      <c r="V835" s="11"/>
      <c r="W835" s="10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2.75" customHeight="1">
      <c r="A836" s="10"/>
      <c r="B836" s="11"/>
      <c r="C836" s="10"/>
      <c r="D836" s="11"/>
      <c r="E836" s="10"/>
      <c r="F836" s="1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0"/>
      <c r="V836" s="11"/>
      <c r="W836" s="10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2.75" customHeight="1">
      <c r="A837" s="10"/>
      <c r="B837" s="11"/>
      <c r="C837" s="10"/>
      <c r="D837" s="11"/>
      <c r="E837" s="10"/>
      <c r="F837" s="1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0"/>
      <c r="V837" s="11"/>
      <c r="W837" s="10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2.75" customHeight="1">
      <c r="A838" s="10"/>
      <c r="B838" s="11"/>
      <c r="C838" s="10"/>
      <c r="D838" s="11"/>
      <c r="E838" s="10"/>
      <c r="F838" s="1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0"/>
      <c r="V838" s="11"/>
      <c r="W838" s="10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2.75" customHeight="1">
      <c r="A839" s="10"/>
      <c r="B839" s="11"/>
      <c r="C839" s="10"/>
      <c r="D839" s="11"/>
      <c r="E839" s="10"/>
      <c r="F839" s="1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0"/>
      <c r="V839" s="11"/>
      <c r="W839" s="10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2.75" customHeight="1">
      <c r="A840" s="10"/>
      <c r="B840" s="11"/>
      <c r="C840" s="10"/>
      <c r="D840" s="11"/>
      <c r="E840" s="10"/>
      <c r="F840" s="1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0"/>
      <c r="V840" s="11"/>
      <c r="W840" s="10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2.75" customHeight="1">
      <c r="A841" s="10"/>
      <c r="B841" s="11"/>
      <c r="C841" s="10"/>
      <c r="D841" s="11"/>
      <c r="E841" s="10"/>
      <c r="F841" s="1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0"/>
      <c r="V841" s="11"/>
      <c r="W841" s="10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2.75" customHeight="1">
      <c r="A842" s="10"/>
      <c r="B842" s="11"/>
      <c r="C842" s="10"/>
      <c r="D842" s="11"/>
      <c r="E842" s="10"/>
      <c r="F842" s="1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0"/>
      <c r="V842" s="11"/>
      <c r="W842" s="10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2.75" customHeight="1">
      <c r="A843" s="10"/>
      <c r="B843" s="11"/>
      <c r="C843" s="10"/>
      <c r="D843" s="11"/>
      <c r="E843" s="10"/>
      <c r="F843" s="1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0"/>
      <c r="V843" s="11"/>
      <c r="W843" s="10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2.75" customHeight="1">
      <c r="A844" s="10"/>
      <c r="B844" s="11"/>
      <c r="C844" s="10"/>
      <c r="D844" s="11"/>
      <c r="E844" s="10"/>
      <c r="F844" s="1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0"/>
      <c r="V844" s="11"/>
      <c r="W844" s="10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2.75" customHeight="1">
      <c r="A845" s="10"/>
      <c r="B845" s="11"/>
      <c r="C845" s="10"/>
      <c r="D845" s="11"/>
      <c r="E845" s="10"/>
      <c r="F845" s="1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0"/>
      <c r="V845" s="11"/>
      <c r="W845" s="10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2.75" customHeight="1">
      <c r="A846" s="10"/>
      <c r="B846" s="11"/>
      <c r="C846" s="10"/>
      <c r="D846" s="11"/>
      <c r="E846" s="10"/>
      <c r="F846" s="1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0"/>
      <c r="V846" s="11"/>
      <c r="W846" s="10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2.75" customHeight="1">
      <c r="A847" s="10"/>
      <c r="B847" s="11"/>
      <c r="C847" s="10"/>
      <c r="D847" s="11"/>
      <c r="E847" s="10"/>
      <c r="F847" s="1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0"/>
      <c r="V847" s="11"/>
      <c r="W847" s="10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2.75" customHeight="1">
      <c r="A848" s="10"/>
      <c r="B848" s="11"/>
      <c r="C848" s="10"/>
      <c r="D848" s="11"/>
      <c r="E848" s="10"/>
      <c r="F848" s="1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0"/>
      <c r="V848" s="11"/>
      <c r="W848" s="10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2.75" customHeight="1">
      <c r="A849" s="10"/>
      <c r="B849" s="11"/>
      <c r="C849" s="10"/>
      <c r="D849" s="11"/>
      <c r="E849" s="10"/>
      <c r="F849" s="1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0"/>
      <c r="V849" s="11"/>
      <c r="W849" s="10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2.75" customHeight="1">
      <c r="A850" s="10"/>
      <c r="B850" s="11"/>
      <c r="C850" s="10"/>
      <c r="D850" s="11"/>
      <c r="E850" s="10"/>
      <c r="F850" s="1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0"/>
      <c r="V850" s="11"/>
      <c r="W850" s="10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2.75" customHeight="1">
      <c r="A851" s="10"/>
      <c r="B851" s="11"/>
      <c r="C851" s="10"/>
      <c r="D851" s="11"/>
      <c r="E851" s="10"/>
      <c r="F851" s="1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0"/>
      <c r="V851" s="11"/>
      <c r="W851" s="10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2.75" customHeight="1">
      <c r="A852" s="10"/>
      <c r="B852" s="11"/>
      <c r="C852" s="10"/>
      <c r="D852" s="11"/>
      <c r="E852" s="10"/>
      <c r="F852" s="1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0"/>
      <c r="V852" s="11"/>
      <c r="W852" s="10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2.75" customHeight="1">
      <c r="A853" s="10"/>
      <c r="B853" s="11"/>
      <c r="C853" s="10"/>
      <c r="D853" s="11"/>
      <c r="E853" s="10"/>
      <c r="F853" s="1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0"/>
      <c r="V853" s="11"/>
      <c r="W853" s="10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2.75" customHeight="1">
      <c r="A854" s="10"/>
      <c r="B854" s="11"/>
      <c r="C854" s="10"/>
      <c r="D854" s="11"/>
      <c r="E854" s="10"/>
      <c r="F854" s="1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0"/>
      <c r="V854" s="11"/>
      <c r="W854" s="10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2.75" customHeight="1">
      <c r="A855" s="10"/>
      <c r="B855" s="11"/>
      <c r="C855" s="10"/>
      <c r="D855" s="11"/>
      <c r="E855" s="10"/>
      <c r="F855" s="1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0"/>
      <c r="V855" s="11"/>
      <c r="W855" s="10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2.75" customHeight="1">
      <c r="A856" s="10"/>
      <c r="B856" s="11"/>
      <c r="C856" s="10"/>
      <c r="D856" s="11"/>
      <c r="E856" s="10"/>
      <c r="F856" s="1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0"/>
      <c r="V856" s="11"/>
      <c r="W856" s="10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2.75" customHeight="1">
      <c r="A857" s="10"/>
      <c r="B857" s="11"/>
      <c r="C857" s="10"/>
      <c r="D857" s="11"/>
      <c r="E857" s="10"/>
      <c r="F857" s="1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0"/>
      <c r="V857" s="11"/>
      <c r="W857" s="10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2.75" customHeight="1">
      <c r="A858" s="10"/>
      <c r="B858" s="11"/>
      <c r="C858" s="10"/>
      <c r="D858" s="11"/>
      <c r="E858" s="10"/>
      <c r="F858" s="1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0"/>
      <c r="V858" s="11"/>
      <c r="W858" s="10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2.75" customHeight="1">
      <c r="A859" s="10"/>
      <c r="B859" s="11"/>
      <c r="C859" s="10"/>
      <c r="D859" s="11"/>
      <c r="E859" s="10"/>
      <c r="F859" s="1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0"/>
      <c r="V859" s="11"/>
      <c r="W859" s="10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2.75" customHeight="1">
      <c r="A860" s="10"/>
      <c r="B860" s="11"/>
      <c r="C860" s="10"/>
      <c r="D860" s="11"/>
      <c r="E860" s="10"/>
      <c r="F860" s="1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0"/>
      <c r="V860" s="11"/>
      <c r="W860" s="10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2.75" customHeight="1">
      <c r="A861" s="10"/>
      <c r="B861" s="11"/>
      <c r="C861" s="10"/>
      <c r="D861" s="11"/>
      <c r="E861" s="10"/>
      <c r="F861" s="1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0"/>
      <c r="V861" s="11"/>
      <c r="W861" s="10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2.75" customHeight="1">
      <c r="A862" s="10"/>
      <c r="B862" s="11"/>
      <c r="C862" s="10"/>
      <c r="D862" s="11"/>
      <c r="E862" s="10"/>
      <c r="F862" s="1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0"/>
      <c r="V862" s="11"/>
      <c r="W862" s="10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2.75" customHeight="1">
      <c r="A863" s="10"/>
      <c r="B863" s="11"/>
      <c r="C863" s="10"/>
      <c r="D863" s="11"/>
      <c r="E863" s="10"/>
      <c r="F863" s="1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0"/>
      <c r="V863" s="11"/>
      <c r="W863" s="10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2.75" customHeight="1">
      <c r="A864" s="10"/>
      <c r="B864" s="11"/>
      <c r="C864" s="10"/>
      <c r="D864" s="11"/>
      <c r="E864" s="10"/>
      <c r="F864" s="1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0"/>
      <c r="V864" s="11"/>
      <c r="W864" s="10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2.75" customHeight="1">
      <c r="A865" s="10"/>
      <c r="B865" s="11"/>
      <c r="C865" s="10"/>
      <c r="D865" s="11"/>
      <c r="E865" s="10"/>
      <c r="F865" s="1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0"/>
      <c r="V865" s="11"/>
      <c r="W865" s="10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2.75" customHeight="1">
      <c r="A866" s="10"/>
      <c r="B866" s="11"/>
      <c r="C866" s="10"/>
      <c r="D866" s="11"/>
      <c r="E866" s="10"/>
      <c r="F866" s="1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0"/>
      <c r="V866" s="11"/>
      <c r="W866" s="10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2.75" customHeight="1">
      <c r="A867" s="10"/>
      <c r="B867" s="11"/>
      <c r="C867" s="10"/>
      <c r="D867" s="11"/>
      <c r="E867" s="10"/>
      <c r="F867" s="1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0"/>
      <c r="V867" s="11"/>
      <c r="W867" s="10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2.75" customHeight="1">
      <c r="A868" s="10"/>
      <c r="B868" s="11"/>
      <c r="C868" s="10"/>
      <c r="D868" s="11"/>
      <c r="E868" s="10"/>
      <c r="F868" s="1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0"/>
      <c r="V868" s="11"/>
      <c r="W868" s="10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2.75" customHeight="1">
      <c r="A869" s="10"/>
      <c r="B869" s="11"/>
      <c r="C869" s="10"/>
      <c r="D869" s="11"/>
      <c r="E869" s="10"/>
      <c r="F869" s="1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0"/>
      <c r="V869" s="11"/>
      <c r="W869" s="10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2.75" customHeight="1">
      <c r="A870" s="10"/>
      <c r="B870" s="11"/>
      <c r="C870" s="10"/>
      <c r="D870" s="11"/>
      <c r="E870" s="10"/>
      <c r="F870" s="1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0"/>
      <c r="V870" s="11"/>
      <c r="W870" s="10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2.75" customHeight="1">
      <c r="A871" s="10"/>
      <c r="B871" s="11"/>
      <c r="C871" s="10"/>
      <c r="D871" s="11"/>
      <c r="E871" s="10"/>
      <c r="F871" s="1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0"/>
      <c r="V871" s="11"/>
      <c r="W871" s="10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2.75" customHeight="1">
      <c r="A872" s="10"/>
      <c r="B872" s="11"/>
      <c r="C872" s="10"/>
      <c r="D872" s="11"/>
      <c r="E872" s="10"/>
      <c r="F872" s="1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0"/>
      <c r="V872" s="11"/>
      <c r="W872" s="10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2.75" customHeight="1">
      <c r="A873" s="10"/>
      <c r="B873" s="11"/>
      <c r="C873" s="10"/>
      <c r="D873" s="11"/>
      <c r="E873" s="10"/>
      <c r="F873" s="1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0"/>
      <c r="V873" s="11"/>
      <c r="W873" s="10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2.75" customHeight="1">
      <c r="A874" s="10"/>
      <c r="B874" s="11"/>
      <c r="C874" s="10"/>
      <c r="D874" s="11"/>
      <c r="E874" s="10"/>
      <c r="F874" s="1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0"/>
      <c r="V874" s="11"/>
      <c r="W874" s="10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2.75" customHeight="1">
      <c r="A875" s="10"/>
      <c r="B875" s="11"/>
      <c r="C875" s="10"/>
      <c r="D875" s="11"/>
      <c r="E875" s="10"/>
      <c r="F875" s="1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0"/>
      <c r="V875" s="11"/>
      <c r="W875" s="10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2.75" customHeight="1">
      <c r="A876" s="10"/>
      <c r="B876" s="11"/>
      <c r="C876" s="10"/>
      <c r="D876" s="11"/>
      <c r="E876" s="10"/>
      <c r="F876" s="1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0"/>
      <c r="V876" s="11"/>
      <c r="W876" s="10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2.75" customHeight="1">
      <c r="A877" s="10"/>
      <c r="B877" s="11"/>
      <c r="C877" s="10"/>
      <c r="D877" s="11"/>
      <c r="E877" s="10"/>
      <c r="F877" s="1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0"/>
      <c r="V877" s="11"/>
      <c r="W877" s="10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2.75" customHeight="1">
      <c r="A878" s="10"/>
      <c r="B878" s="11"/>
      <c r="C878" s="10"/>
      <c r="D878" s="11"/>
      <c r="E878" s="10"/>
      <c r="F878" s="1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0"/>
      <c r="V878" s="11"/>
      <c r="W878" s="10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2.75" customHeight="1">
      <c r="A879" s="10"/>
      <c r="B879" s="11"/>
      <c r="C879" s="10"/>
      <c r="D879" s="11"/>
      <c r="E879" s="10"/>
      <c r="F879" s="1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0"/>
      <c r="V879" s="11"/>
      <c r="W879" s="10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2.75" customHeight="1">
      <c r="A880" s="10"/>
      <c r="B880" s="11"/>
      <c r="C880" s="10"/>
      <c r="D880" s="11"/>
      <c r="E880" s="10"/>
      <c r="F880" s="1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0"/>
      <c r="V880" s="11"/>
      <c r="W880" s="10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2.75" customHeight="1">
      <c r="A881" s="10"/>
      <c r="B881" s="11"/>
      <c r="C881" s="10"/>
      <c r="D881" s="11"/>
      <c r="E881" s="10"/>
      <c r="F881" s="1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0"/>
      <c r="V881" s="11"/>
      <c r="W881" s="10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2.75" customHeight="1">
      <c r="A882" s="10"/>
      <c r="B882" s="11"/>
      <c r="C882" s="10"/>
      <c r="D882" s="11"/>
      <c r="E882" s="10"/>
      <c r="F882" s="1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0"/>
      <c r="V882" s="11"/>
      <c r="W882" s="10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2.75" customHeight="1">
      <c r="A883" s="10"/>
      <c r="B883" s="11"/>
      <c r="C883" s="10"/>
      <c r="D883" s="11"/>
      <c r="E883" s="10"/>
      <c r="F883" s="1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0"/>
      <c r="V883" s="11"/>
      <c r="W883" s="10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2.75" customHeight="1">
      <c r="A884" s="10"/>
      <c r="B884" s="11"/>
      <c r="C884" s="10"/>
      <c r="D884" s="11"/>
      <c r="E884" s="10"/>
      <c r="F884" s="1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0"/>
      <c r="V884" s="11"/>
      <c r="W884" s="10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2.75" customHeight="1">
      <c r="A885" s="10"/>
      <c r="B885" s="11"/>
      <c r="C885" s="10"/>
      <c r="D885" s="11"/>
      <c r="E885" s="10"/>
      <c r="F885" s="1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0"/>
      <c r="V885" s="11"/>
      <c r="W885" s="10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2.75" customHeight="1">
      <c r="A886" s="10"/>
      <c r="B886" s="11"/>
      <c r="C886" s="10"/>
      <c r="D886" s="11"/>
      <c r="E886" s="10"/>
      <c r="F886" s="1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0"/>
      <c r="V886" s="11"/>
      <c r="W886" s="10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2.75" customHeight="1">
      <c r="A887" s="10"/>
      <c r="B887" s="11"/>
      <c r="C887" s="10"/>
      <c r="D887" s="11"/>
      <c r="E887" s="10"/>
      <c r="F887" s="1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0"/>
      <c r="V887" s="11"/>
      <c r="W887" s="10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2.75" customHeight="1">
      <c r="A888" s="10"/>
      <c r="B888" s="11"/>
      <c r="C888" s="10"/>
      <c r="D888" s="11"/>
      <c r="E888" s="10"/>
      <c r="F888" s="1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0"/>
      <c r="V888" s="11"/>
      <c r="W888" s="10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2.75" customHeight="1">
      <c r="A889" s="10"/>
      <c r="B889" s="11"/>
      <c r="C889" s="10"/>
      <c r="D889" s="11"/>
      <c r="E889" s="10"/>
      <c r="F889" s="1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0"/>
      <c r="V889" s="11"/>
      <c r="W889" s="10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2.75" customHeight="1">
      <c r="A890" s="10"/>
      <c r="B890" s="11"/>
      <c r="C890" s="10"/>
      <c r="D890" s="11"/>
      <c r="E890" s="10"/>
      <c r="F890" s="1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0"/>
      <c r="V890" s="11"/>
      <c r="W890" s="10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2.75" customHeight="1">
      <c r="A891" s="10"/>
      <c r="B891" s="11"/>
      <c r="C891" s="10"/>
      <c r="D891" s="11"/>
      <c r="E891" s="10"/>
      <c r="F891" s="1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0"/>
      <c r="V891" s="11"/>
      <c r="W891" s="10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2.75" customHeight="1">
      <c r="A892" s="10"/>
      <c r="B892" s="11"/>
      <c r="C892" s="10"/>
      <c r="D892" s="11"/>
      <c r="E892" s="10"/>
      <c r="F892" s="1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0"/>
      <c r="V892" s="11"/>
      <c r="W892" s="10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2.75" customHeight="1">
      <c r="A893" s="10"/>
      <c r="B893" s="11"/>
      <c r="C893" s="10"/>
      <c r="D893" s="11"/>
      <c r="E893" s="10"/>
      <c r="F893" s="1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0"/>
      <c r="V893" s="11"/>
      <c r="W893" s="10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2.75" customHeight="1">
      <c r="A894" s="10"/>
      <c r="B894" s="11"/>
      <c r="C894" s="10"/>
      <c r="D894" s="11"/>
      <c r="E894" s="10"/>
      <c r="F894" s="1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0"/>
      <c r="V894" s="11"/>
      <c r="W894" s="10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2.75" customHeight="1">
      <c r="A895" s="10"/>
      <c r="B895" s="11"/>
      <c r="C895" s="10"/>
      <c r="D895" s="11"/>
      <c r="E895" s="10"/>
      <c r="F895" s="1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0"/>
      <c r="V895" s="11"/>
      <c r="W895" s="10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2.75" customHeight="1">
      <c r="A896" s="10"/>
      <c r="B896" s="11"/>
      <c r="C896" s="10"/>
      <c r="D896" s="11"/>
      <c r="E896" s="10"/>
      <c r="F896" s="1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0"/>
      <c r="V896" s="11"/>
      <c r="W896" s="10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2.75" customHeight="1">
      <c r="A897" s="10"/>
      <c r="B897" s="11"/>
      <c r="C897" s="10"/>
      <c r="D897" s="11"/>
      <c r="E897" s="10"/>
      <c r="F897" s="1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0"/>
      <c r="V897" s="11"/>
      <c r="W897" s="10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2.75" customHeight="1">
      <c r="A898" s="10"/>
      <c r="B898" s="11"/>
      <c r="C898" s="10"/>
      <c r="D898" s="11"/>
      <c r="E898" s="10"/>
      <c r="F898" s="1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0"/>
      <c r="V898" s="11"/>
      <c r="W898" s="10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2.75" customHeight="1">
      <c r="A899" s="10"/>
      <c r="B899" s="11"/>
      <c r="C899" s="10"/>
      <c r="D899" s="11"/>
      <c r="E899" s="10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0"/>
      <c r="V899" s="11"/>
      <c r="W899" s="10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2.75" customHeight="1">
      <c r="A900" s="10"/>
      <c r="B900" s="11"/>
      <c r="C900" s="10"/>
      <c r="D900" s="11"/>
      <c r="E900" s="10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0"/>
      <c r="V900" s="11"/>
      <c r="W900" s="10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2.75" customHeight="1">
      <c r="A901" s="10"/>
      <c r="B901" s="11"/>
      <c r="C901" s="10"/>
      <c r="D901" s="11"/>
      <c r="E901" s="10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0"/>
      <c r="V901" s="11"/>
      <c r="W901" s="10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2.75" customHeight="1">
      <c r="A902" s="10"/>
      <c r="B902" s="11"/>
      <c r="C902" s="10"/>
      <c r="D902" s="11"/>
      <c r="E902" s="10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0"/>
      <c r="V902" s="11"/>
      <c r="W902" s="10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2.75" customHeight="1">
      <c r="A903" s="10"/>
      <c r="B903" s="11"/>
      <c r="C903" s="10"/>
      <c r="D903" s="11"/>
      <c r="E903" s="10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0"/>
      <c r="V903" s="11"/>
      <c r="W903" s="10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2.75" customHeight="1">
      <c r="A904" s="10"/>
      <c r="B904" s="11"/>
      <c r="C904" s="10"/>
      <c r="D904" s="11"/>
      <c r="E904" s="10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0"/>
      <c r="V904" s="11"/>
      <c r="W904" s="10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2.75" customHeight="1">
      <c r="A905" s="10"/>
      <c r="B905" s="11"/>
      <c r="C905" s="10"/>
      <c r="D905" s="11"/>
      <c r="E905" s="10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0"/>
      <c r="V905" s="11"/>
      <c r="W905" s="10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2.75" customHeight="1">
      <c r="A906" s="10"/>
      <c r="B906" s="11"/>
      <c r="C906" s="10"/>
      <c r="D906" s="11"/>
      <c r="E906" s="10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0"/>
      <c r="V906" s="11"/>
      <c r="W906" s="10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2.75" customHeight="1">
      <c r="A907" s="10"/>
      <c r="B907" s="11"/>
      <c r="C907" s="10"/>
      <c r="D907" s="11"/>
      <c r="E907" s="10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0"/>
      <c r="V907" s="11"/>
      <c r="W907" s="10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2.75" customHeight="1">
      <c r="A908" s="10"/>
      <c r="B908" s="11"/>
      <c r="C908" s="10"/>
      <c r="D908" s="11"/>
      <c r="E908" s="10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0"/>
      <c r="V908" s="11"/>
      <c r="W908" s="10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2.75" customHeight="1">
      <c r="A909" s="10"/>
      <c r="B909" s="11"/>
      <c r="C909" s="10"/>
      <c r="D909" s="11"/>
      <c r="E909" s="10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0"/>
      <c r="V909" s="11"/>
      <c r="W909" s="10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2.75" customHeight="1">
      <c r="A910" s="10"/>
      <c r="B910" s="11"/>
      <c r="C910" s="10"/>
      <c r="D910" s="11"/>
      <c r="E910" s="10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0"/>
      <c r="V910" s="11"/>
      <c r="W910" s="10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2.75" customHeight="1">
      <c r="A911" s="10"/>
      <c r="B911" s="11"/>
      <c r="C911" s="10"/>
      <c r="D911" s="11"/>
      <c r="E911" s="10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0"/>
      <c r="V911" s="11"/>
      <c r="W911" s="10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2.75" customHeight="1">
      <c r="A912" s="10"/>
      <c r="B912" s="11"/>
      <c r="C912" s="10"/>
      <c r="D912" s="11"/>
      <c r="E912" s="10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0"/>
      <c r="V912" s="11"/>
      <c r="W912" s="10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2.75" customHeight="1">
      <c r="A913" s="10"/>
      <c r="B913" s="11"/>
      <c r="C913" s="10"/>
      <c r="D913" s="11"/>
      <c r="E913" s="10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0"/>
      <c r="V913" s="11"/>
      <c r="W913" s="10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2.75" customHeight="1">
      <c r="A914" s="10"/>
      <c r="B914" s="11"/>
      <c r="C914" s="10"/>
      <c r="D914" s="11"/>
      <c r="E914" s="10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0"/>
      <c r="V914" s="11"/>
      <c r="W914" s="10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2.75" customHeight="1">
      <c r="A915" s="10"/>
      <c r="B915" s="11"/>
      <c r="C915" s="10"/>
      <c r="D915" s="11"/>
      <c r="E915" s="10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0"/>
      <c r="V915" s="11"/>
      <c r="W915" s="10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2.75" customHeight="1">
      <c r="A916" s="10"/>
      <c r="B916" s="11"/>
      <c r="C916" s="10"/>
      <c r="D916" s="11"/>
      <c r="E916" s="10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0"/>
      <c r="V916" s="11"/>
      <c r="W916" s="10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2.75" customHeight="1">
      <c r="A917" s="10"/>
      <c r="B917" s="11"/>
      <c r="C917" s="10"/>
      <c r="D917" s="11"/>
      <c r="E917" s="10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0"/>
      <c r="V917" s="11"/>
      <c r="W917" s="10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2.75" customHeight="1">
      <c r="A918" s="10"/>
      <c r="B918" s="11"/>
      <c r="C918" s="10"/>
      <c r="D918" s="11"/>
      <c r="E918" s="10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0"/>
      <c r="V918" s="11"/>
      <c r="W918" s="10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2.75" customHeight="1">
      <c r="A919" s="10"/>
      <c r="B919" s="11"/>
      <c r="C919" s="10"/>
      <c r="D919" s="11"/>
      <c r="E919" s="10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0"/>
      <c r="V919" s="11"/>
      <c r="W919" s="10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2.75" customHeight="1">
      <c r="A920" s="10"/>
      <c r="B920" s="11"/>
      <c r="C920" s="10"/>
      <c r="D920" s="11"/>
      <c r="E920" s="10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0"/>
      <c r="V920" s="11"/>
      <c r="W920" s="10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2.75" customHeight="1">
      <c r="A921" s="10"/>
      <c r="B921" s="11"/>
      <c r="C921" s="10"/>
      <c r="D921" s="11"/>
      <c r="E921" s="10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0"/>
      <c r="V921" s="11"/>
      <c r="W921" s="10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2.75" customHeight="1">
      <c r="A922" s="10"/>
      <c r="B922" s="11"/>
      <c r="C922" s="10"/>
      <c r="D922" s="11"/>
      <c r="E922" s="10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0"/>
      <c r="V922" s="11"/>
      <c r="W922" s="10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2.75" customHeight="1">
      <c r="A923" s="10"/>
      <c r="B923" s="11"/>
      <c r="C923" s="10"/>
      <c r="D923" s="11"/>
      <c r="E923" s="10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0"/>
      <c r="V923" s="11"/>
      <c r="W923" s="10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2.75" customHeight="1">
      <c r="A924" s="10"/>
      <c r="B924" s="11"/>
      <c r="C924" s="10"/>
      <c r="D924" s="11"/>
      <c r="E924" s="10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0"/>
      <c r="V924" s="11"/>
      <c r="W924" s="10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2.75" customHeight="1">
      <c r="A925" s="10"/>
      <c r="B925" s="11"/>
      <c r="C925" s="10"/>
      <c r="D925" s="11"/>
      <c r="E925" s="10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0"/>
      <c r="V925" s="11"/>
      <c r="W925" s="10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2.75" customHeight="1">
      <c r="A926" s="10"/>
      <c r="B926" s="11"/>
      <c r="C926" s="10"/>
      <c r="D926" s="11"/>
      <c r="E926" s="10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0"/>
      <c r="V926" s="11"/>
      <c r="W926" s="10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2.75" customHeight="1">
      <c r="A927" s="10"/>
      <c r="B927" s="11"/>
      <c r="C927" s="10"/>
      <c r="D927" s="11"/>
      <c r="E927" s="10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0"/>
      <c r="V927" s="11"/>
      <c r="W927" s="10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2.75" customHeight="1">
      <c r="A928" s="10"/>
      <c r="B928" s="11"/>
      <c r="C928" s="10"/>
      <c r="D928" s="11"/>
      <c r="E928" s="10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0"/>
      <c r="V928" s="11"/>
      <c r="W928" s="10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2.75" customHeight="1">
      <c r="A929" s="10"/>
      <c r="B929" s="11"/>
      <c r="C929" s="10"/>
      <c r="D929" s="11"/>
      <c r="E929" s="10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0"/>
      <c r="V929" s="11"/>
      <c r="W929" s="10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2.75" customHeight="1">
      <c r="A930" s="10"/>
      <c r="B930" s="11"/>
      <c r="C930" s="10"/>
      <c r="D930" s="11"/>
      <c r="E930" s="10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0"/>
      <c r="V930" s="11"/>
      <c r="W930" s="10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2.75" customHeight="1">
      <c r="A931" s="10"/>
      <c r="B931" s="11"/>
      <c r="C931" s="10"/>
      <c r="D931" s="11"/>
      <c r="E931" s="10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0"/>
      <c r="V931" s="11"/>
      <c r="W931" s="10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2.75" customHeight="1">
      <c r="A932" s="10"/>
      <c r="B932" s="11"/>
      <c r="C932" s="10"/>
      <c r="D932" s="11"/>
      <c r="E932" s="10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0"/>
      <c r="V932" s="11"/>
      <c r="W932" s="10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2.75" customHeight="1">
      <c r="A933" s="10"/>
      <c r="B933" s="11"/>
      <c r="C933" s="10"/>
      <c r="D933" s="11"/>
      <c r="E933" s="10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0"/>
      <c r="V933" s="11"/>
      <c r="W933" s="10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2.75" customHeight="1">
      <c r="A934" s="10"/>
      <c r="B934" s="11"/>
      <c r="C934" s="10"/>
      <c r="D934" s="11"/>
      <c r="E934" s="10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0"/>
      <c r="V934" s="11"/>
      <c r="W934" s="10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2.75" customHeight="1">
      <c r="A935" s="10"/>
      <c r="B935" s="11"/>
      <c r="C935" s="10"/>
      <c r="D935" s="11"/>
      <c r="E935" s="10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0"/>
      <c r="V935" s="11"/>
      <c r="W935" s="10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2.75" customHeight="1">
      <c r="A936" s="10"/>
      <c r="B936" s="11"/>
      <c r="C936" s="10"/>
      <c r="D936" s="11"/>
      <c r="E936" s="10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0"/>
      <c r="V936" s="11"/>
      <c r="W936" s="10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2.75" customHeight="1">
      <c r="A937" s="10"/>
      <c r="B937" s="11"/>
      <c r="C937" s="10"/>
      <c r="D937" s="11"/>
      <c r="E937" s="10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0"/>
      <c r="V937" s="11"/>
      <c r="W937" s="10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2.75" customHeight="1">
      <c r="A938" s="10"/>
      <c r="B938" s="11"/>
      <c r="C938" s="10"/>
      <c r="D938" s="11"/>
      <c r="E938" s="10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0"/>
      <c r="V938" s="11"/>
      <c r="W938" s="10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2.75" customHeight="1">
      <c r="A939" s="10"/>
      <c r="B939" s="11"/>
      <c r="C939" s="10"/>
      <c r="D939" s="11"/>
      <c r="E939" s="10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0"/>
      <c r="V939" s="11"/>
      <c r="W939" s="10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2.75" customHeight="1">
      <c r="A940" s="10"/>
      <c r="B940" s="11"/>
      <c r="C940" s="10"/>
      <c r="D940" s="11"/>
      <c r="E940" s="10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0"/>
      <c r="V940" s="11"/>
      <c r="W940" s="10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2.75" customHeight="1">
      <c r="A941" s="10"/>
      <c r="B941" s="11"/>
      <c r="C941" s="10"/>
      <c r="D941" s="11"/>
      <c r="E941" s="10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0"/>
      <c r="V941" s="11"/>
      <c r="W941" s="10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2.75" customHeight="1">
      <c r="A942" s="10"/>
      <c r="B942" s="11"/>
      <c r="C942" s="10"/>
      <c r="D942" s="11"/>
      <c r="E942" s="10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0"/>
      <c r="V942" s="11"/>
      <c r="W942" s="10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2.75" customHeight="1">
      <c r="A943" s="10"/>
      <c r="B943" s="11"/>
      <c r="C943" s="10"/>
      <c r="D943" s="11"/>
      <c r="E943" s="10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0"/>
      <c r="V943" s="11"/>
      <c r="W943" s="10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2.75" customHeight="1">
      <c r="A944" s="10"/>
      <c r="B944" s="11"/>
      <c r="C944" s="10"/>
      <c r="D944" s="11"/>
      <c r="E944" s="10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0"/>
      <c r="V944" s="11"/>
      <c r="W944" s="10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2.75" customHeight="1">
      <c r="A945" s="10"/>
      <c r="B945" s="11"/>
      <c r="C945" s="10"/>
      <c r="D945" s="11"/>
      <c r="E945" s="10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0"/>
      <c r="V945" s="11"/>
      <c r="W945" s="10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2.75" customHeight="1">
      <c r="A946" s="10"/>
      <c r="B946" s="11"/>
      <c r="C946" s="10"/>
      <c r="D946" s="11"/>
      <c r="E946" s="10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0"/>
      <c r="V946" s="11"/>
      <c r="W946" s="10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2.75" customHeight="1">
      <c r="A947" s="10"/>
      <c r="B947" s="11"/>
      <c r="C947" s="10"/>
      <c r="D947" s="11"/>
      <c r="E947" s="10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0"/>
      <c r="V947" s="11"/>
      <c r="W947" s="10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2.75" customHeight="1">
      <c r="A948" s="10"/>
      <c r="B948" s="11"/>
      <c r="C948" s="10"/>
      <c r="D948" s="11"/>
      <c r="E948" s="10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0"/>
      <c r="V948" s="11"/>
      <c r="W948" s="10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2.75" customHeight="1">
      <c r="A949" s="10"/>
      <c r="B949" s="11"/>
      <c r="C949" s="10"/>
      <c r="D949" s="11"/>
      <c r="E949" s="10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0"/>
      <c r="V949" s="11"/>
      <c r="W949" s="10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2.75" customHeight="1">
      <c r="A950" s="10"/>
      <c r="B950" s="11"/>
      <c r="C950" s="10"/>
      <c r="D950" s="11"/>
      <c r="E950" s="10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0"/>
      <c r="V950" s="11"/>
      <c r="W950" s="10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2.75" customHeight="1">
      <c r="A951" s="10"/>
      <c r="B951" s="11"/>
      <c r="C951" s="10"/>
      <c r="D951" s="11"/>
      <c r="E951" s="10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0"/>
      <c r="V951" s="11"/>
      <c r="W951" s="10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2.75" customHeight="1">
      <c r="A952" s="10"/>
      <c r="B952" s="11"/>
      <c r="C952" s="10"/>
      <c r="D952" s="11"/>
      <c r="E952" s="10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0"/>
      <c r="V952" s="11"/>
      <c r="W952" s="10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2.75" customHeight="1">
      <c r="A953" s="10"/>
      <c r="B953" s="11"/>
      <c r="C953" s="10"/>
      <c r="D953" s="11"/>
      <c r="E953" s="10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0"/>
      <c r="V953" s="11"/>
      <c r="W953" s="10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2.75" customHeight="1">
      <c r="A954" s="10"/>
      <c r="B954" s="11"/>
      <c r="C954" s="10"/>
      <c r="D954" s="11"/>
      <c r="E954" s="10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0"/>
      <c r="V954" s="11"/>
      <c r="W954" s="10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2.75" customHeight="1">
      <c r="A955" s="10"/>
      <c r="B955" s="11"/>
      <c r="C955" s="10"/>
      <c r="D955" s="11"/>
      <c r="E955" s="10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0"/>
      <c r="V955" s="11"/>
      <c r="W955" s="10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2.75" customHeight="1">
      <c r="A956" s="10"/>
      <c r="B956" s="11"/>
      <c r="C956" s="10"/>
      <c r="D956" s="11"/>
      <c r="E956" s="10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0"/>
      <c r="V956" s="11"/>
      <c r="W956" s="10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2.75" customHeight="1">
      <c r="A957" s="10"/>
      <c r="B957" s="11"/>
      <c r="C957" s="10"/>
      <c r="D957" s="11"/>
      <c r="E957" s="10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0"/>
      <c r="V957" s="11"/>
      <c r="W957" s="10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2.75" customHeight="1">
      <c r="A958" s="10"/>
      <c r="B958" s="11"/>
      <c r="C958" s="10"/>
      <c r="D958" s="11"/>
      <c r="E958" s="10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0"/>
      <c r="V958" s="11"/>
      <c r="W958" s="10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2.75" customHeight="1">
      <c r="A959" s="10"/>
      <c r="B959" s="11"/>
      <c r="C959" s="10"/>
      <c r="D959" s="11"/>
      <c r="E959" s="10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0"/>
      <c r="V959" s="11"/>
      <c r="W959" s="10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2.75" customHeight="1">
      <c r="A960" s="10"/>
      <c r="B960" s="11"/>
      <c r="C960" s="10"/>
      <c r="D960" s="11"/>
      <c r="E960" s="10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0"/>
      <c r="V960" s="11"/>
      <c r="W960" s="10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2.75" customHeight="1">
      <c r="A961" s="10"/>
      <c r="B961" s="11"/>
      <c r="C961" s="10"/>
      <c r="D961" s="11"/>
      <c r="E961" s="10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0"/>
      <c r="V961" s="11"/>
      <c r="W961" s="10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2.75" customHeight="1">
      <c r="A962" s="10"/>
      <c r="B962" s="11"/>
      <c r="C962" s="10"/>
      <c r="D962" s="11"/>
      <c r="E962" s="10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0"/>
      <c r="V962" s="11"/>
      <c r="W962" s="10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2.75" customHeight="1">
      <c r="A963" s="10"/>
      <c r="B963" s="11"/>
      <c r="C963" s="10"/>
      <c r="D963" s="11"/>
      <c r="E963" s="10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0"/>
      <c r="V963" s="11"/>
      <c r="W963" s="10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2.75" customHeight="1">
      <c r="A964" s="10"/>
      <c r="B964" s="11"/>
      <c r="C964" s="10"/>
      <c r="D964" s="11"/>
      <c r="E964" s="10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0"/>
      <c r="V964" s="11"/>
      <c r="W964" s="10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2.75" customHeight="1">
      <c r="A965" s="10"/>
      <c r="B965" s="11"/>
      <c r="C965" s="10"/>
      <c r="D965" s="11"/>
      <c r="E965" s="10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0"/>
      <c r="V965" s="11"/>
      <c r="W965" s="10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2.75" customHeight="1">
      <c r="A966" s="10"/>
      <c r="B966" s="11"/>
      <c r="C966" s="10"/>
      <c r="D966" s="11"/>
      <c r="E966" s="10"/>
      <c r="F966" s="1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0"/>
      <c r="V966" s="11"/>
      <c r="W966" s="10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2.75" customHeight="1">
      <c r="A967" s="10"/>
      <c r="B967" s="11"/>
      <c r="C967" s="10"/>
      <c r="D967" s="11"/>
      <c r="E967" s="10"/>
      <c r="F967" s="1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0"/>
      <c r="V967" s="11"/>
      <c r="W967" s="10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2.75" customHeight="1">
      <c r="A968" s="10"/>
      <c r="B968" s="11"/>
      <c r="C968" s="10"/>
      <c r="D968" s="11"/>
      <c r="E968" s="10"/>
      <c r="F968" s="1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0"/>
      <c r="V968" s="11"/>
      <c r="W968" s="10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2.75" customHeight="1">
      <c r="A969" s="10"/>
      <c r="B969" s="11"/>
      <c r="C969" s="10"/>
      <c r="D969" s="11"/>
      <c r="E969" s="10"/>
      <c r="F969" s="1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0"/>
      <c r="V969" s="11"/>
      <c r="W969" s="10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2.75" customHeight="1">
      <c r="A970" s="10"/>
      <c r="B970" s="11"/>
      <c r="C970" s="10"/>
      <c r="D970" s="11"/>
      <c r="E970" s="10"/>
      <c r="F970" s="1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0"/>
      <c r="V970" s="11"/>
      <c r="W970" s="10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2.75" customHeight="1">
      <c r="A971" s="10"/>
      <c r="B971" s="11"/>
      <c r="C971" s="10"/>
      <c r="D971" s="11"/>
      <c r="E971" s="10"/>
      <c r="F971" s="1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0"/>
      <c r="V971" s="11"/>
      <c r="W971" s="10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2.75" customHeight="1">
      <c r="A972" s="10"/>
      <c r="B972" s="11"/>
      <c r="C972" s="10"/>
      <c r="D972" s="11"/>
      <c r="E972" s="10"/>
      <c r="F972" s="1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0"/>
      <c r="V972" s="11"/>
      <c r="W972" s="10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2.75" customHeight="1">
      <c r="A973" s="10"/>
      <c r="B973" s="11"/>
      <c r="C973" s="10"/>
      <c r="D973" s="11"/>
      <c r="E973" s="10"/>
      <c r="F973" s="1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0"/>
      <c r="V973" s="11"/>
      <c r="W973" s="10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2.75" customHeight="1">
      <c r="A974" s="10"/>
      <c r="B974" s="11"/>
      <c r="C974" s="10"/>
      <c r="D974" s="11"/>
      <c r="E974" s="10"/>
      <c r="F974" s="1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0"/>
      <c r="V974" s="11"/>
      <c r="W974" s="10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2.75" customHeight="1">
      <c r="A975" s="10"/>
      <c r="B975" s="11"/>
      <c r="C975" s="10"/>
      <c r="D975" s="11"/>
      <c r="E975" s="10"/>
      <c r="F975" s="1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0"/>
      <c r="V975" s="11"/>
      <c r="W975" s="10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2.75" customHeight="1">
      <c r="A976" s="10"/>
      <c r="B976" s="11"/>
      <c r="C976" s="10"/>
      <c r="D976" s="11"/>
      <c r="E976" s="10"/>
      <c r="F976" s="1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0"/>
      <c r="V976" s="11"/>
      <c r="W976" s="10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2.75" customHeight="1">
      <c r="A977" s="10"/>
      <c r="B977" s="11"/>
      <c r="C977" s="10"/>
      <c r="D977" s="11"/>
      <c r="E977" s="10"/>
      <c r="F977" s="1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0"/>
      <c r="V977" s="11"/>
      <c r="W977" s="10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2.75" customHeight="1">
      <c r="A978" s="10"/>
      <c r="B978" s="11"/>
      <c r="C978" s="10"/>
      <c r="D978" s="11"/>
      <c r="E978" s="10"/>
      <c r="F978" s="1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0"/>
      <c r="V978" s="11"/>
      <c r="W978" s="10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2.75" customHeight="1">
      <c r="A979" s="10"/>
      <c r="B979" s="11"/>
      <c r="C979" s="10"/>
      <c r="D979" s="11"/>
      <c r="E979" s="10"/>
      <c r="F979" s="1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0"/>
      <c r="V979" s="11"/>
      <c r="W979" s="10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2.75" customHeight="1">
      <c r="A980" s="10"/>
      <c r="B980" s="11"/>
      <c r="C980" s="10"/>
      <c r="D980" s="11"/>
      <c r="E980" s="10"/>
      <c r="F980" s="1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0"/>
      <c r="V980" s="11"/>
      <c r="W980" s="10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2.75" customHeight="1">
      <c r="A981" s="10"/>
      <c r="B981" s="11"/>
      <c r="C981" s="10"/>
      <c r="D981" s="11"/>
      <c r="E981" s="10"/>
      <c r="F981" s="1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0"/>
      <c r="V981" s="11"/>
      <c r="W981" s="10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2.75" customHeight="1">
      <c r="A982" s="10"/>
      <c r="B982" s="11"/>
      <c r="C982" s="10"/>
      <c r="D982" s="11"/>
      <c r="E982" s="10"/>
      <c r="F982" s="1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0"/>
      <c r="V982" s="11"/>
      <c r="W982" s="10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2.75" customHeight="1">
      <c r="A983" s="10"/>
      <c r="B983" s="11"/>
      <c r="C983" s="10"/>
      <c r="D983" s="11"/>
      <c r="E983" s="10"/>
      <c r="F983" s="1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0"/>
      <c r="V983" s="11"/>
      <c r="W983" s="10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2.75" customHeight="1">
      <c r="A984" s="10"/>
      <c r="B984" s="11"/>
      <c r="C984" s="10"/>
      <c r="D984" s="11"/>
      <c r="E984" s="10"/>
      <c r="F984" s="1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0"/>
      <c r="V984" s="11"/>
      <c r="W984" s="10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2.75" customHeight="1">
      <c r="A985" s="10"/>
      <c r="B985" s="11"/>
      <c r="C985" s="10"/>
      <c r="D985" s="11"/>
      <c r="E985" s="10"/>
      <c r="F985" s="1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0"/>
      <c r="V985" s="11"/>
      <c r="W985" s="10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2.75" customHeight="1">
      <c r="A986" s="10"/>
      <c r="B986" s="11"/>
      <c r="C986" s="10"/>
      <c r="D986" s="11"/>
      <c r="E986" s="10"/>
      <c r="F986" s="1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0"/>
      <c r="V986" s="11"/>
      <c r="W986" s="10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2.75" customHeight="1">
      <c r="A987" s="10"/>
      <c r="B987" s="11"/>
      <c r="C987" s="10"/>
      <c r="D987" s="11"/>
      <c r="E987" s="10"/>
      <c r="F987" s="1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0"/>
      <c r="V987" s="11"/>
      <c r="W987" s="10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2.75" customHeight="1">
      <c r="A988" s="10"/>
      <c r="B988" s="11"/>
      <c r="C988" s="10"/>
      <c r="D988" s="11"/>
      <c r="E988" s="10"/>
      <c r="F988" s="1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0"/>
      <c r="V988" s="11"/>
      <c r="W988" s="10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2.75" customHeight="1">
      <c r="A989" s="10"/>
      <c r="B989" s="11"/>
      <c r="C989" s="10"/>
      <c r="D989" s="11"/>
      <c r="E989" s="10"/>
      <c r="F989" s="1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0"/>
      <c r="V989" s="11"/>
      <c r="W989" s="10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2.75" customHeight="1">
      <c r="A990" s="10"/>
      <c r="B990" s="11"/>
      <c r="C990" s="10"/>
      <c r="D990" s="11"/>
      <c r="E990" s="10"/>
      <c r="F990" s="1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0"/>
      <c r="V990" s="11"/>
      <c r="W990" s="10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2.75" customHeight="1">
      <c r="A991" s="10"/>
      <c r="B991" s="11"/>
      <c r="C991" s="10"/>
      <c r="D991" s="11"/>
      <c r="E991" s="10"/>
      <c r="F991" s="1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0"/>
      <c r="V991" s="11"/>
      <c r="W991" s="10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2.75" customHeight="1">
      <c r="A992" s="10"/>
      <c r="B992" s="11"/>
      <c r="C992" s="10"/>
      <c r="D992" s="11"/>
      <c r="E992" s="10"/>
      <c r="F992" s="1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0"/>
      <c r="V992" s="11"/>
      <c r="W992" s="10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2.75" customHeight="1">
      <c r="A993" s="10"/>
      <c r="B993" s="11"/>
      <c r="C993" s="10"/>
      <c r="D993" s="11"/>
      <c r="E993" s="10"/>
      <c r="F993" s="1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0"/>
      <c r="V993" s="11"/>
      <c r="W993" s="10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2.75" customHeight="1">
      <c r="A994" s="10"/>
      <c r="B994" s="11"/>
      <c r="C994" s="10"/>
      <c r="D994" s="11"/>
      <c r="E994" s="10"/>
      <c r="F994" s="1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0"/>
      <c r="V994" s="11"/>
      <c r="W994" s="10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2.75" customHeight="1">
      <c r="A995" s="10"/>
      <c r="B995" s="11"/>
      <c r="C995" s="10"/>
      <c r="D995" s="11"/>
      <c r="E995" s="10"/>
      <c r="F995" s="1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0"/>
      <c r="V995" s="11"/>
      <c r="W995" s="10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2.75" customHeight="1">
      <c r="A996" s="10"/>
      <c r="B996" s="11"/>
      <c r="C996" s="10"/>
      <c r="D996" s="11"/>
      <c r="E996" s="10"/>
      <c r="F996" s="1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0"/>
      <c r="V996" s="11"/>
      <c r="W996" s="10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2.75" customHeight="1">
      <c r="A997" s="10"/>
      <c r="B997" s="11"/>
      <c r="C997" s="10"/>
      <c r="D997" s="11"/>
      <c r="E997" s="10"/>
      <c r="F997" s="1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0"/>
      <c r="V997" s="11"/>
      <c r="W997" s="10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2.75" customHeight="1">
      <c r="A998" s="10"/>
      <c r="B998" s="11"/>
      <c r="C998" s="10"/>
      <c r="D998" s="11"/>
      <c r="E998" s="10"/>
      <c r="F998" s="1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0"/>
      <c r="V998" s="11"/>
      <c r="W998" s="10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2.75" customHeight="1">
      <c r="A999" s="10"/>
      <c r="B999" s="11"/>
      <c r="C999" s="10"/>
      <c r="D999" s="11"/>
      <c r="E999" s="10"/>
      <c r="F999" s="1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0"/>
      <c r="V999" s="11"/>
      <c r="W999" s="10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2.75" customHeight="1">
      <c r="A1000" s="10"/>
      <c r="B1000" s="11"/>
      <c r="C1000" s="10"/>
      <c r="D1000" s="11"/>
      <c r="E1000" s="10"/>
      <c r="F1000" s="1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0"/>
      <c r="V1000" s="11"/>
      <c r="W1000" s="10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5.13" defaultRowHeight="15.0"/>
  <cols>
    <col customWidth="1" min="1" max="1" width="4.0"/>
    <col customWidth="1" min="2" max="2" width="7.75"/>
    <col customWidth="1" min="3" max="3" width="10.88"/>
    <col customWidth="1" min="4" max="4" width="3.0"/>
    <col customWidth="1" min="5" max="5" width="2.63"/>
    <col customWidth="1" min="6" max="6" width="6.63"/>
    <col customWidth="1" min="7" max="7" width="2.75"/>
    <col customWidth="1" min="8" max="9" width="3.5"/>
    <col customWidth="1" min="10" max="10" width="2.63"/>
    <col customWidth="1" min="11" max="11" width="3.25"/>
    <col customWidth="1" min="12" max="12" width="3.13"/>
    <col customWidth="1" min="13" max="13" width="4.63"/>
    <col customWidth="1" min="14" max="19" width="3.63"/>
    <col customWidth="1" min="20" max="20" width="5.38"/>
    <col customWidth="1" min="21" max="21" width="3.13"/>
    <col customWidth="1" min="22" max="22" width="9.0"/>
    <col customWidth="1" min="23" max="23" width="3.13"/>
    <col customWidth="1" min="24" max="24" width="10.25"/>
    <col customWidth="1" min="25" max="25" width="7.5"/>
    <col customWidth="1" min="26" max="26" width="7.88"/>
    <col customWidth="1" min="27" max="3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3">
        <v>1.0</v>
      </c>
      <c r="B2" s="4" t="s">
        <v>26</v>
      </c>
      <c r="C2" s="3"/>
      <c r="D2" s="4">
        <v>10.0</v>
      </c>
      <c r="E2" s="3">
        <v>5.0</v>
      </c>
      <c r="F2" s="3">
        <f t="shared" ref="F2:F48" si="1">D2-E2</f>
        <v>5</v>
      </c>
      <c r="G2" s="4">
        <v>2.0</v>
      </c>
      <c r="H2" s="4">
        <v>0.0</v>
      </c>
      <c r="I2" s="4">
        <v>2.0</v>
      </c>
      <c r="J2" s="4">
        <v>0.0</v>
      </c>
      <c r="K2" s="4">
        <v>0.0</v>
      </c>
      <c r="L2" s="4">
        <v>0.0</v>
      </c>
      <c r="M2" s="4" t="s">
        <v>36</v>
      </c>
      <c r="N2" s="5">
        <f>(E2-1)+VLOOKUP(M2,Size,2,0)</f>
        <v>5</v>
      </c>
      <c r="O2" s="5">
        <f>VLOOKUP(E2,LevelData,4)</f>
        <v>5</v>
      </c>
      <c r="P2" s="5">
        <f>O2+VLOOKUP(M2,Size,3,0)</f>
        <v>6</v>
      </c>
      <c r="Q2" s="5">
        <f t="shared" ref="Q2:Q48" si="2">R2</f>
        <v>4</v>
      </c>
      <c r="R2" s="5">
        <f>VLOOKUP(E2,LevelData,2)</f>
        <v>4</v>
      </c>
      <c r="S2" s="5">
        <f t="shared" ref="S2:S48" si="3">R2</f>
        <v>4</v>
      </c>
      <c r="T2" s="4" t="s">
        <v>129</v>
      </c>
      <c r="U2" s="3">
        <v>13.0</v>
      </c>
      <c r="V2" s="6"/>
      <c r="W2" s="3"/>
      <c r="X2" s="4" t="s">
        <v>130</v>
      </c>
      <c r="Y2" s="3" t="s">
        <v>94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3">
        <f t="shared" ref="A3:A48" si="4">A2+1</f>
        <v>2</v>
      </c>
      <c r="B3" s="4"/>
      <c r="C3" s="3"/>
      <c r="D3" s="4">
        <f t="shared" ref="D3:D48" si="5">D2+1</f>
        <v>11</v>
      </c>
      <c r="E3" s="3">
        <v>6.0</v>
      </c>
      <c r="F3" s="3">
        <f t="shared" si="1"/>
        <v>5</v>
      </c>
      <c r="G3" s="4">
        <v>1.0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 t="s">
        <v>36</v>
      </c>
      <c r="N3" s="5">
        <f>(E3-1)+VLOOKUP(M3,Size,2,0)</f>
        <v>6</v>
      </c>
      <c r="O3" s="5">
        <f>VLOOKUP(E3,LevelData,4)</f>
        <v>6</v>
      </c>
      <c r="P3" s="5">
        <f>O3+VLOOKUP(M3,Size,3,0)</f>
        <v>7</v>
      </c>
      <c r="Q3" s="5">
        <f t="shared" si="2"/>
        <v>5</v>
      </c>
      <c r="R3" s="5">
        <f>VLOOKUP(E3,LevelData,2)</f>
        <v>5</v>
      </c>
      <c r="S3" s="5">
        <f t="shared" si="3"/>
        <v>5</v>
      </c>
      <c r="T3" s="4" t="s">
        <v>131</v>
      </c>
      <c r="U3" s="3">
        <v>14.0</v>
      </c>
      <c r="V3" s="4"/>
      <c r="W3" s="3"/>
      <c r="X3" s="4" t="s">
        <v>96</v>
      </c>
      <c r="Y3" s="3" t="s">
        <v>132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7">
        <f t="shared" si="4"/>
        <v>3</v>
      </c>
      <c r="B4" s="8"/>
      <c r="C4" s="7"/>
      <c r="D4" s="8">
        <f t="shared" si="5"/>
        <v>12</v>
      </c>
      <c r="E4" s="7">
        <v>7.0</v>
      </c>
      <c r="F4" s="7">
        <f t="shared" si="1"/>
        <v>5</v>
      </c>
      <c r="G4" s="8">
        <v>0.0</v>
      </c>
      <c r="H4" s="8">
        <v>0.0</v>
      </c>
      <c r="I4" s="8">
        <v>1.0</v>
      </c>
      <c r="J4" s="8">
        <v>0.0</v>
      </c>
      <c r="K4" s="8">
        <v>0.0</v>
      </c>
      <c r="L4" s="8">
        <v>0.0</v>
      </c>
      <c r="M4" s="8" t="s">
        <v>36</v>
      </c>
      <c r="N4" s="9">
        <f>(E4-1)+VLOOKUP(M4,Size,2,0)</f>
        <v>7</v>
      </c>
      <c r="O4" s="9">
        <f>VLOOKUP(E4,LevelData,4)</f>
        <v>7</v>
      </c>
      <c r="P4" s="9">
        <f>O4+VLOOKUP(M4,Size,3,0)</f>
        <v>8</v>
      </c>
      <c r="Q4" s="9">
        <f t="shared" si="2"/>
        <v>5</v>
      </c>
      <c r="R4" s="9">
        <f>VLOOKUP(E4,LevelData,2)</f>
        <v>5</v>
      </c>
      <c r="S4" s="9">
        <f t="shared" si="3"/>
        <v>5</v>
      </c>
      <c r="T4" s="8" t="s">
        <v>131</v>
      </c>
      <c r="U4" s="7">
        <v>15.0</v>
      </c>
      <c r="V4" s="8"/>
      <c r="W4" s="7"/>
      <c r="X4" s="8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12.75" customHeight="1">
      <c r="A5" s="10">
        <f t="shared" si="4"/>
        <v>4</v>
      </c>
      <c r="B5" s="11" t="s">
        <v>35</v>
      </c>
      <c r="C5" s="10"/>
      <c r="D5" s="11">
        <f t="shared" si="5"/>
        <v>13</v>
      </c>
      <c r="E5" s="10">
        <v>8.0</v>
      </c>
      <c r="F5" s="10">
        <f t="shared" si="1"/>
        <v>5</v>
      </c>
      <c r="G5" s="11">
        <v>1.0</v>
      </c>
      <c r="H5" s="11">
        <v>0.0</v>
      </c>
      <c r="I5" s="11">
        <v>1.0</v>
      </c>
      <c r="J5" s="11">
        <v>0.0</v>
      </c>
      <c r="K5" s="11">
        <v>0.0</v>
      </c>
      <c r="L5" s="11">
        <v>0.0</v>
      </c>
      <c r="M5" s="11" t="s">
        <v>40</v>
      </c>
      <c r="N5" s="12">
        <f>(E5-1)+VLOOKUP(M5,Size,2,0)</f>
        <v>7</v>
      </c>
      <c r="O5" s="12">
        <f>VLOOKUP(E5,LevelData,4)</f>
        <v>8</v>
      </c>
      <c r="P5" s="12">
        <f>O5+VLOOKUP(M5,Size,3,0)</f>
        <v>8</v>
      </c>
      <c r="Q5" s="12">
        <f t="shared" si="2"/>
        <v>6</v>
      </c>
      <c r="R5" s="12">
        <f>VLOOKUP(E5,LevelData,2)</f>
        <v>6</v>
      </c>
      <c r="S5" s="12">
        <f t="shared" si="3"/>
        <v>6</v>
      </c>
      <c r="T5" s="11" t="s">
        <v>133</v>
      </c>
      <c r="U5" s="10">
        <v>16.0</v>
      </c>
      <c r="V5" s="11"/>
      <c r="W5" s="10"/>
      <c r="X5" s="11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ht="12.75" customHeight="1">
      <c r="A6" s="10">
        <f t="shared" si="4"/>
        <v>5</v>
      </c>
      <c r="B6" s="11"/>
      <c r="C6" s="10"/>
      <c r="D6" s="11">
        <f t="shared" si="5"/>
        <v>14</v>
      </c>
      <c r="E6" s="10">
        <v>9.0</v>
      </c>
      <c r="F6" s="10">
        <f t="shared" si="1"/>
        <v>5</v>
      </c>
      <c r="G6" s="11">
        <v>0.0</v>
      </c>
      <c r="H6" s="11">
        <v>0.0</v>
      </c>
      <c r="I6" s="11">
        <v>0.0</v>
      </c>
      <c r="J6" s="11">
        <v>1.0</v>
      </c>
      <c r="K6" s="11">
        <v>1.0</v>
      </c>
      <c r="L6" s="11">
        <v>0.0</v>
      </c>
      <c r="M6" s="11" t="s">
        <v>40</v>
      </c>
      <c r="N6" s="12">
        <f>(E6-1)+VLOOKUP(M6,Size,2,0)</f>
        <v>8</v>
      </c>
      <c r="O6" s="12">
        <f>VLOOKUP(E6,LevelData,4)</f>
        <v>9</v>
      </c>
      <c r="P6" s="12">
        <f>O6+VLOOKUP(M6,Size,3,0)</f>
        <v>9</v>
      </c>
      <c r="Q6" s="12">
        <f t="shared" si="2"/>
        <v>6</v>
      </c>
      <c r="R6" s="12">
        <f>VLOOKUP(E6,LevelData,2)</f>
        <v>6</v>
      </c>
      <c r="S6" s="12">
        <f t="shared" si="3"/>
        <v>6</v>
      </c>
      <c r="T6" s="11" t="s">
        <v>133</v>
      </c>
      <c r="U6" s="10">
        <v>16.0</v>
      </c>
      <c r="V6" s="11"/>
      <c r="W6" s="10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2.75" customHeight="1">
      <c r="A7" s="1">
        <f t="shared" si="4"/>
        <v>6</v>
      </c>
      <c r="B7" s="2"/>
      <c r="C7" s="1"/>
      <c r="D7" s="2">
        <f t="shared" si="5"/>
        <v>15</v>
      </c>
      <c r="E7" s="1">
        <v>10.0</v>
      </c>
      <c r="F7" s="1">
        <f t="shared" si="1"/>
        <v>5</v>
      </c>
      <c r="G7" s="2">
        <v>1.0</v>
      </c>
      <c r="H7" s="2">
        <v>0.0</v>
      </c>
      <c r="I7" s="2">
        <v>0.0</v>
      </c>
      <c r="J7" s="2">
        <v>0.0</v>
      </c>
      <c r="K7" s="2">
        <v>0.0</v>
      </c>
      <c r="L7" s="2">
        <v>1.0</v>
      </c>
      <c r="M7" s="2" t="s">
        <v>40</v>
      </c>
      <c r="N7" s="13">
        <f>(E7-1)+VLOOKUP(M7,Size,2,0)</f>
        <v>9</v>
      </c>
      <c r="O7" s="13">
        <f>VLOOKUP(E7,LevelData,4)</f>
        <v>10</v>
      </c>
      <c r="P7" s="13">
        <f>O7+VLOOKUP(M7,Size,3,0)</f>
        <v>10</v>
      </c>
      <c r="Q7" s="13">
        <f t="shared" si="2"/>
        <v>7</v>
      </c>
      <c r="R7" s="13">
        <f>VLOOKUP(E7,LevelData,2)</f>
        <v>7</v>
      </c>
      <c r="S7" s="13">
        <f t="shared" si="3"/>
        <v>7</v>
      </c>
      <c r="T7" s="2" t="s">
        <v>134</v>
      </c>
      <c r="U7" s="1">
        <v>16.0</v>
      </c>
      <c r="V7" s="2"/>
      <c r="W7" s="1"/>
      <c r="X7" s="2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ht="12.75" customHeight="1">
      <c r="A8" s="3">
        <f t="shared" si="4"/>
        <v>7</v>
      </c>
      <c r="B8" s="4" t="s">
        <v>39</v>
      </c>
      <c r="C8" s="3"/>
      <c r="D8" s="4">
        <f t="shared" si="5"/>
        <v>16</v>
      </c>
      <c r="E8" s="3">
        <v>11.0</v>
      </c>
      <c r="F8" s="3">
        <f t="shared" si="1"/>
        <v>5</v>
      </c>
      <c r="G8" s="4">
        <v>1.0</v>
      </c>
      <c r="H8" s="4">
        <v>0.0</v>
      </c>
      <c r="I8" s="4">
        <v>0.0</v>
      </c>
      <c r="J8" s="4">
        <v>1.0</v>
      </c>
      <c r="K8" s="4">
        <v>1.0</v>
      </c>
      <c r="L8" s="4">
        <v>1.0</v>
      </c>
      <c r="M8" s="4" t="s">
        <v>40</v>
      </c>
      <c r="N8" s="5">
        <f>(E8-1)+VLOOKUP(M8,Size,2,0)</f>
        <v>10</v>
      </c>
      <c r="O8" s="5">
        <f>VLOOKUP(E8,LevelData,4)</f>
        <v>11</v>
      </c>
      <c r="P8" s="5">
        <f>O8+VLOOKUP(M8,Size,3,0)</f>
        <v>11</v>
      </c>
      <c r="Q8" s="5">
        <f t="shared" si="2"/>
        <v>7</v>
      </c>
      <c r="R8" s="5">
        <f>VLOOKUP(E8,LevelData,2)</f>
        <v>7</v>
      </c>
      <c r="S8" s="5">
        <f t="shared" si="3"/>
        <v>7</v>
      </c>
      <c r="T8" s="4" t="s">
        <v>135</v>
      </c>
      <c r="U8" s="3">
        <v>17.0</v>
      </c>
      <c r="V8" s="4"/>
      <c r="W8" s="3"/>
      <c r="X8" s="4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12.75" customHeight="1">
      <c r="A9" s="3">
        <f t="shared" si="4"/>
        <v>8</v>
      </c>
      <c r="B9" s="4"/>
      <c r="C9" s="3"/>
      <c r="D9" s="4">
        <f t="shared" si="5"/>
        <v>17</v>
      </c>
      <c r="E9" s="3">
        <v>12.0</v>
      </c>
      <c r="F9" s="3">
        <f t="shared" si="1"/>
        <v>5</v>
      </c>
      <c r="G9" s="4">
        <v>0.0</v>
      </c>
      <c r="H9" s="4">
        <v>0.0</v>
      </c>
      <c r="I9" s="4">
        <v>1.0</v>
      </c>
      <c r="J9" s="4">
        <v>0.0</v>
      </c>
      <c r="K9" s="4">
        <v>0.0</v>
      </c>
      <c r="L9" s="4">
        <v>0.0</v>
      </c>
      <c r="M9" s="4" t="s">
        <v>40</v>
      </c>
      <c r="N9" s="5">
        <f>(E9-1)+VLOOKUP(M9,Size,2,0)</f>
        <v>11</v>
      </c>
      <c r="O9" s="5">
        <f>VLOOKUP(E9,LevelData,4)</f>
        <v>12</v>
      </c>
      <c r="P9" s="5">
        <f>O9+VLOOKUP(M9,Size,3,0)</f>
        <v>12</v>
      </c>
      <c r="Q9" s="5">
        <f t="shared" si="2"/>
        <v>8</v>
      </c>
      <c r="R9" s="5">
        <f>VLOOKUP(E9,LevelData,2)</f>
        <v>8</v>
      </c>
      <c r="S9" s="5">
        <f t="shared" si="3"/>
        <v>8</v>
      </c>
      <c r="T9" s="4" t="s">
        <v>135</v>
      </c>
      <c r="U9" s="3">
        <v>18.0</v>
      </c>
      <c r="V9" s="4"/>
      <c r="W9" s="3"/>
      <c r="X9" s="4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12.75" customHeight="1">
      <c r="A10" s="3">
        <f t="shared" si="4"/>
        <v>9</v>
      </c>
      <c r="B10" s="4"/>
      <c r="C10" s="3"/>
      <c r="D10" s="4">
        <f t="shared" si="5"/>
        <v>18</v>
      </c>
      <c r="E10" s="3">
        <v>13.0</v>
      </c>
      <c r="F10" s="3">
        <f t="shared" si="1"/>
        <v>5</v>
      </c>
      <c r="G10" s="4">
        <v>1.0</v>
      </c>
      <c r="H10" s="4">
        <v>0.0</v>
      </c>
      <c r="I10" s="4">
        <v>0.0</v>
      </c>
      <c r="J10" s="4">
        <v>1.0</v>
      </c>
      <c r="K10" s="4">
        <v>0.0</v>
      </c>
      <c r="L10" s="4">
        <v>0.0</v>
      </c>
      <c r="M10" s="4" t="s">
        <v>40</v>
      </c>
      <c r="N10" s="5">
        <f>(E10-1)+VLOOKUP(M10,Size,2,0)</f>
        <v>12</v>
      </c>
      <c r="O10" s="5">
        <f>VLOOKUP(E10,LevelData,4)</f>
        <v>13</v>
      </c>
      <c r="P10" s="5">
        <f>O10+VLOOKUP(M10,Size,3,0)</f>
        <v>13</v>
      </c>
      <c r="Q10" s="5">
        <f t="shared" si="2"/>
        <v>8</v>
      </c>
      <c r="R10" s="5">
        <f>VLOOKUP(E10,LevelData,2)</f>
        <v>8</v>
      </c>
      <c r="S10" s="5">
        <f t="shared" si="3"/>
        <v>8</v>
      </c>
      <c r="T10" s="4" t="s">
        <v>136</v>
      </c>
      <c r="U10" s="3">
        <v>19.0</v>
      </c>
      <c r="V10" s="4"/>
      <c r="W10" s="3"/>
      <c r="X10" s="4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7">
        <f t="shared" si="4"/>
        <v>10</v>
      </c>
      <c r="B11" s="8"/>
      <c r="C11" s="7"/>
      <c r="D11" s="8">
        <f t="shared" si="5"/>
        <v>19</v>
      </c>
      <c r="E11" s="7">
        <v>13.0</v>
      </c>
      <c r="F11" s="7">
        <f t="shared" si="1"/>
        <v>6</v>
      </c>
      <c r="G11" s="8">
        <v>0.0</v>
      </c>
      <c r="H11" s="8">
        <v>0.0</v>
      </c>
      <c r="I11" s="8">
        <v>0.0</v>
      </c>
      <c r="J11" s="8">
        <v>0.0</v>
      </c>
      <c r="K11" s="8">
        <v>1.0</v>
      </c>
      <c r="L11" s="8">
        <v>1.0</v>
      </c>
      <c r="M11" s="8" t="s">
        <v>40</v>
      </c>
      <c r="N11" s="9">
        <f>(E11-1)+VLOOKUP(M11,Size,2,0)</f>
        <v>12</v>
      </c>
      <c r="O11" s="9">
        <f>VLOOKUP(E11,LevelData,4)</f>
        <v>13</v>
      </c>
      <c r="P11" s="9">
        <f>O11+VLOOKUP(M11,Size,3,0)</f>
        <v>13</v>
      </c>
      <c r="Q11" s="9">
        <f t="shared" si="2"/>
        <v>8</v>
      </c>
      <c r="R11" s="9">
        <f>VLOOKUP(E11,LevelData,2)</f>
        <v>8</v>
      </c>
      <c r="S11" s="9">
        <f t="shared" si="3"/>
        <v>8</v>
      </c>
      <c r="T11" s="8" t="s">
        <v>136</v>
      </c>
      <c r="U11" s="7">
        <v>19.0</v>
      </c>
      <c r="V11" s="8"/>
      <c r="W11" s="7"/>
      <c r="X11" s="8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12.75" customHeight="1">
      <c r="A12" s="10">
        <f t="shared" si="4"/>
        <v>11</v>
      </c>
      <c r="B12" s="11" t="s">
        <v>44</v>
      </c>
      <c r="C12" s="10"/>
      <c r="D12" s="11">
        <f t="shared" si="5"/>
        <v>20</v>
      </c>
      <c r="E12" s="10">
        <v>14.0</v>
      </c>
      <c r="F12" s="10">
        <f t="shared" si="1"/>
        <v>6</v>
      </c>
      <c r="G12" s="11">
        <v>1.0</v>
      </c>
      <c r="H12" s="11">
        <v>0.0</v>
      </c>
      <c r="I12" s="11">
        <v>1.0</v>
      </c>
      <c r="J12" s="11">
        <v>1.0</v>
      </c>
      <c r="K12" s="11">
        <v>1.0</v>
      </c>
      <c r="L12" s="11">
        <v>1.0</v>
      </c>
      <c r="M12" s="11" t="s">
        <v>49</v>
      </c>
      <c r="N12" s="12">
        <f>(E12-1)+VLOOKUP(M12,Size,2,0)</f>
        <v>12</v>
      </c>
      <c r="O12" s="12">
        <f>VLOOKUP(E12,LevelData,4)</f>
        <v>14</v>
      </c>
      <c r="P12" s="12">
        <f>O12+VLOOKUP(M12,Size,3,0)</f>
        <v>13</v>
      </c>
      <c r="Q12" s="12">
        <f t="shared" si="2"/>
        <v>9</v>
      </c>
      <c r="R12" s="12">
        <f>VLOOKUP(E12,LevelData,2)</f>
        <v>9</v>
      </c>
      <c r="S12" s="12">
        <f t="shared" si="3"/>
        <v>9</v>
      </c>
      <c r="T12" s="11" t="s">
        <v>137</v>
      </c>
      <c r="U12" s="10">
        <v>20.0</v>
      </c>
      <c r="V12" s="11"/>
      <c r="W12" s="10"/>
      <c r="X12" s="11"/>
      <c r="Y12" s="10">
        <v>1.0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12.75" customHeight="1">
      <c r="A13" s="10">
        <f t="shared" si="4"/>
        <v>12</v>
      </c>
      <c r="B13" s="11"/>
      <c r="C13" s="10"/>
      <c r="D13" s="11">
        <f t="shared" si="5"/>
        <v>21</v>
      </c>
      <c r="E13" s="10">
        <v>15.0</v>
      </c>
      <c r="F13" s="10">
        <f t="shared" si="1"/>
        <v>6</v>
      </c>
      <c r="G13" s="11">
        <v>1.0</v>
      </c>
      <c r="H13" s="11">
        <v>0.0</v>
      </c>
      <c r="I13" s="11">
        <v>0.0</v>
      </c>
      <c r="J13" s="11">
        <v>0.0</v>
      </c>
      <c r="K13" s="11">
        <v>0.0</v>
      </c>
      <c r="L13" s="11">
        <v>0.0</v>
      </c>
      <c r="M13" s="11" t="s">
        <v>49</v>
      </c>
      <c r="N13" s="12">
        <f>(E13-1)+VLOOKUP(M13,Size,2,0)</f>
        <v>13</v>
      </c>
      <c r="O13" s="12">
        <f>VLOOKUP(E13,LevelData,4)</f>
        <v>15</v>
      </c>
      <c r="P13" s="12">
        <f>O13+VLOOKUP(M13,Size,3,0)</f>
        <v>14</v>
      </c>
      <c r="Q13" s="12">
        <f t="shared" si="2"/>
        <v>9</v>
      </c>
      <c r="R13" s="12">
        <f>VLOOKUP(E13,LevelData,2)</f>
        <v>9</v>
      </c>
      <c r="S13" s="12">
        <f t="shared" si="3"/>
        <v>9</v>
      </c>
      <c r="T13" s="11" t="s">
        <v>137</v>
      </c>
      <c r="U13" s="10">
        <v>20.0</v>
      </c>
      <c r="V13" s="11"/>
      <c r="W13" s="10"/>
      <c r="X13" s="11"/>
      <c r="Y13" s="10">
        <v>1.0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12.75" customHeight="1">
      <c r="A14" s="10">
        <f t="shared" si="4"/>
        <v>13</v>
      </c>
      <c r="B14" s="11"/>
      <c r="C14" s="10">
        <v>26.0</v>
      </c>
      <c r="D14" s="11">
        <f t="shared" si="5"/>
        <v>22</v>
      </c>
      <c r="E14" s="10">
        <v>16.0</v>
      </c>
      <c r="F14" s="10">
        <f t="shared" si="1"/>
        <v>6</v>
      </c>
      <c r="G14" s="11">
        <v>1.0</v>
      </c>
      <c r="H14" s="11">
        <v>0.0</v>
      </c>
      <c r="I14" s="11">
        <v>1.0</v>
      </c>
      <c r="J14" s="11">
        <v>0.0</v>
      </c>
      <c r="K14" s="11">
        <v>0.0</v>
      </c>
      <c r="L14" s="11">
        <v>0.0</v>
      </c>
      <c r="M14" s="11" t="s">
        <v>49</v>
      </c>
      <c r="N14" s="12">
        <f>(E14-1)+VLOOKUP(M14,Size,2,0)</f>
        <v>14</v>
      </c>
      <c r="O14" s="12">
        <f>VLOOKUP(E14,LevelData,4)</f>
        <v>16</v>
      </c>
      <c r="P14" s="12">
        <f>O14+VLOOKUP(M14,Size,3,0)</f>
        <v>15</v>
      </c>
      <c r="Q14" s="12">
        <f t="shared" si="2"/>
        <v>10</v>
      </c>
      <c r="R14" s="12">
        <f>VLOOKUP(E14,LevelData,2)</f>
        <v>10</v>
      </c>
      <c r="S14" s="12">
        <f t="shared" si="3"/>
        <v>10</v>
      </c>
      <c r="T14" s="11" t="s">
        <v>138</v>
      </c>
      <c r="U14" s="10">
        <v>21.0</v>
      </c>
      <c r="V14" s="11"/>
      <c r="W14" s="10"/>
      <c r="X14" s="11"/>
      <c r="Y14" s="10">
        <v>2.0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2.75" customHeight="1">
      <c r="A15" s="1">
        <f t="shared" si="4"/>
        <v>14</v>
      </c>
      <c r="B15" s="2"/>
      <c r="C15" s="1">
        <v>32.0</v>
      </c>
      <c r="D15" s="2">
        <f t="shared" si="5"/>
        <v>23</v>
      </c>
      <c r="E15" s="1">
        <v>16.0</v>
      </c>
      <c r="F15" s="1">
        <f t="shared" si="1"/>
        <v>7</v>
      </c>
      <c r="G15" s="2">
        <v>1.0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 t="s">
        <v>49</v>
      </c>
      <c r="N15" s="13">
        <f>(E15-1)+VLOOKUP(M15,Size,2,0)</f>
        <v>14</v>
      </c>
      <c r="O15" s="13">
        <f>VLOOKUP(E15,LevelData,4)</f>
        <v>16</v>
      </c>
      <c r="P15" s="13">
        <f>O15+VLOOKUP(M15,Size,3,0)</f>
        <v>15</v>
      </c>
      <c r="Q15" s="13">
        <f t="shared" si="2"/>
        <v>10</v>
      </c>
      <c r="R15" s="13">
        <f>VLOOKUP(E15,LevelData,2)</f>
        <v>10</v>
      </c>
      <c r="S15" s="13">
        <f t="shared" si="3"/>
        <v>10</v>
      </c>
      <c r="T15" s="2" t="s">
        <v>138</v>
      </c>
      <c r="U15" s="1">
        <v>21.0</v>
      </c>
      <c r="V15" s="2"/>
      <c r="W15" s="1"/>
      <c r="X15" s="2"/>
      <c r="Y15" s="1">
        <v>2.0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ht="12.75" customHeight="1">
      <c r="A16" s="3">
        <f t="shared" si="4"/>
        <v>15</v>
      </c>
      <c r="B16" s="4" t="s">
        <v>48</v>
      </c>
      <c r="C16" s="3">
        <v>39.0</v>
      </c>
      <c r="D16" s="4">
        <f t="shared" si="5"/>
        <v>24</v>
      </c>
      <c r="E16" s="3">
        <v>17.0</v>
      </c>
      <c r="F16" s="3">
        <f t="shared" si="1"/>
        <v>7</v>
      </c>
      <c r="G16" s="4">
        <v>1.0</v>
      </c>
      <c r="H16" s="4">
        <v>0.0</v>
      </c>
      <c r="I16" s="4">
        <v>1.0</v>
      </c>
      <c r="J16" s="4">
        <v>0.0</v>
      </c>
      <c r="K16" s="4">
        <v>0.0</v>
      </c>
      <c r="L16" s="4">
        <v>0.0</v>
      </c>
      <c r="M16" s="4" t="s">
        <v>49</v>
      </c>
      <c r="N16" s="5">
        <f>(E16-1)+VLOOKUP(M16,Size,2,0)</f>
        <v>15</v>
      </c>
      <c r="O16" s="5">
        <f>VLOOKUP(E16,LevelData,4)</f>
        <v>17</v>
      </c>
      <c r="P16" s="5">
        <f>O16+VLOOKUP(M16,Size,3,0)</f>
        <v>16</v>
      </c>
      <c r="Q16" s="5">
        <f t="shared" si="2"/>
        <v>10</v>
      </c>
      <c r="R16" s="5">
        <f>VLOOKUP(E16,LevelData,2)</f>
        <v>10</v>
      </c>
      <c r="S16" s="5">
        <f t="shared" si="3"/>
        <v>10</v>
      </c>
      <c r="T16" s="4" t="s">
        <v>139</v>
      </c>
      <c r="U16" s="3">
        <v>22.0</v>
      </c>
      <c r="V16" s="4">
        <f>INT(11+(E16/2))-VLOOKUP(M16,Size,2,0)</f>
        <v>20</v>
      </c>
      <c r="W16" s="3">
        <f t="shared" ref="W16:W48" si="6">INT((E16/2)+11)</f>
        <v>19</v>
      </c>
      <c r="X16" s="4" t="s">
        <v>51</v>
      </c>
      <c r="Y16" s="3">
        <v>3.0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2.75" customHeight="1">
      <c r="A17" s="3">
        <f t="shared" si="4"/>
        <v>16</v>
      </c>
      <c r="B17" s="4"/>
      <c r="C17" s="3">
        <v>45.0</v>
      </c>
      <c r="D17" s="4">
        <f t="shared" si="5"/>
        <v>25</v>
      </c>
      <c r="E17" s="3">
        <v>18.0</v>
      </c>
      <c r="F17" s="3">
        <f t="shared" si="1"/>
        <v>7</v>
      </c>
      <c r="G17" s="4">
        <v>1.0</v>
      </c>
      <c r="H17" s="4">
        <v>0.0</v>
      </c>
      <c r="I17" s="4">
        <v>0.0</v>
      </c>
      <c r="J17" s="4">
        <v>1.0</v>
      </c>
      <c r="K17" s="4">
        <v>1.0</v>
      </c>
      <c r="L17" s="4">
        <v>0.0</v>
      </c>
      <c r="M17" s="4" t="s">
        <v>49</v>
      </c>
      <c r="N17" s="5">
        <f>(E17-1)+VLOOKUP(M17,Size,2,0)</f>
        <v>16</v>
      </c>
      <c r="O17" s="5">
        <f>VLOOKUP(E17,LevelData,4)</f>
        <v>18</v>
      </c>
      <c r="P17" s="5">
        <f>O17+VLOOKUP(M17,Size,3,0)</f>
        <v>17</v>
      </c>
      <c r="Q17" s="5">
        <f t="shared" si="2"/>
        <v>11</v>
      </c>
      <c r="R17" s="5">
        <f>VLOOKUP(E17,LevelData,2)</f>
        <v>11</v>
      </c>
      <c r="S17" s="5">
        <f t="shared" si="3"/>
        <v>11</v>
      </c>
      <c r="T17" s="4" t="s">
        <v>139</v>
      </c>
      <c r="U17" s="3">
        <v>23.0</v>
      </c>
      <c r="V17" s="4">
        <f>INT(11+(E17/2))-VLOOKUP(M17,Size,2,0)</f>
        <v>21</v>
      </c>
      <c r="W17" s="3">
        <f t="shared" si="6"/>
        <v>20</v>
      </c>
      <c r="X17" s="4"/>
      <c r="Y17" s="3">
        <v>3.0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2.75" customHeight="1">
      <c r="A18" s="3">
        <f t="shared" si="4"/>
        <v>17</v>
      </c>
      <c r="B18" s="4"/>
      <c r="C18" s="3">
        <v>51.0</v>
      </c>
      <c r="D18" s="4">
        <f t="shared" si="5"/>
        <v>26</v>
      </c>
      <c r="E18" s="3">
        <v>19.0</v>
      </c>
      <c r="F18" s="3">
        <f t="shared" si="1"/>
        <v>7</v>
      </c>
      <c r="G18" s="4">
        <v>1.0</v>
      </c>
      <c r="H18" s="4">
        <v>0.0</v>
      </c>
      <c r="I18" s="4">
        <v>1.0</v>
      </c>
      <c r="J18" s="4">
        <v>0.0</v>
      </c>
      <c r="K18" s="4">
        <v>0.0</v>
      </c>
      <c r="L18" s="4">
        <v>0.0</v>
      </c>
      <c r="M18" s="4" t="s">
        <v>49</v>
      </c>
      <c r="N18" s="5">
        <f>(E18-1)+VLOOKUP(M18,Size,2,0)</f>
        <v>17</v>
      </c>
      <c r="O18" s="5">
        <f>VLOOKUP(E18,LevelData,4)</f>
        <v>19</v>
      </c>
      <c r="P18" s="5">
        <f>O18+VLOOKUP(M18,Size,3,0)</f>
        <v>18</v>
      </c>
      <c r="Q18" s="5">
        <f t="shared" si="2"/>
        <v>11</v>
      </c>
      <c r="R18" s="5">
        <f>VLOOKUP(E18,LevelData,2)</f>
        <v>11</v>
      </c>
      <c r="S18" s="5">
        <f t="shared" si="3"/>
        <v>11</v>
      </c>
      <c r="T18" s="4" t="s">
        <v>140</v>
      </c>
      <c r="U18" s="3">
        <v>24.0</v>
      </c>
      <c r="V18" s="4">
        <f>INT(11+(E18/2))-VLOOKUP(M18,Size,2,0)</f>
        <v>21</v>
      </c>
      <c r="W18" s="3">
        <f t="shared" si="6"/>
        <v>20</v>
      </c>
      <c r="X18" s="4"/>
      <c r="Y18" s="3">
        <v>4.0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7">
        <f t="shared" si="4"/>
        <v>18</v>
      </c>
      <c r="B19" s="8"/>
      <c r="C19" s="7">
        <v>63.0</v>
      </c>
      <c r="D19" s="8">
        <f t="shared" si="5"/>
        <v>27</v>
      </c>
      <c r="E19" s="7">
        <v>19.0</v>
      </c>
      <c r="F19" s="7">
        <f t="shared" si="1"/>
        <v>8</v>
      </c>
      <c r="G19" s="8">
        <v>1.0</v>
      </c>
      <c r="H19" s="8">
        <v>0.0</v>
      </c>
      <c r="I19" s="8">
        <v>0.0</v>
      </c>
      <c r="J19" s="8">
        <v>0.0</v>
      </c>
      <c r="K19" s="8">
        <v>0.0</v>
      </c>
      <c r="L19" s="8">
        <v>1.0</v>
      </c>
      <c r="M19" s="8" t="s">
        <v>49</v>
      </c>
      <c r="N19" s="9">
        <f>(E19-1)+VLOOKUP(M19,Size,2,0)</f>
        <v>17</v>
      </c>
      <c r="O19" s="9">
        <f>VLOOKUP(E19,LevelData,4)</f>
        <v>19</v>
      </c>
      <c r="P19" s="9">
        <f>O19+VLOOKUP(M19,Size,3,0)</f>
        <v>18</v>
      </c>
      <c r="Q19" s="9">
        <f t="shared" si="2"/>
        <v>11</v>
      </c>
      <c r="R19" s="9">
        <f>VLOOKUP(E19,LevelData,2)</f>
        <v>11</v>
      </c>
      <c r="S19" s="9">
        <f t="shared" si="3"/>
        <v>11</v>
      </c>
      <c r="T19" s="8" t="s">
        <v>140</v>
      </c>
      <c r="U19" s="7">
        <v>24.0</v>
      </c>
      <c r="V19" s="8">
        <f>INT(11+(E19/2))-VLOOKUP(M19,Size,2,0)</f>
        <v>21</v>
      </c>
      <c r="W19" s="7">
        <f t="shared" si="6"/>
        <v>20</v>
      </c>
      <c r="X19" s="8"/>
      <c r="Y19" s="7">
        <v>4.0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ht="12.75" customHeight="1">
      <c r="A20" s="10">
        <f t="shared" si="4"/>
        <v>19</v>
      </c>
      <c r="B20" s="11" t="s">
        <v>53</v>
      </c>
      <c r="C20" s="10">
        <v>75.0</v>
      </c>
      <c r="D20" s="11">
        <f t="shared" si="5"/>
        <v>28</v>
      </c>
      <c r="E20" s="10">
        <v>20.0</v>
      </c>
      <c r="F20" s="10">
        <f t="shared" si="1"/>
        <v>8</v>
      </c>
      <c r="G20" s="11">
        <v>1.0</v>
      </c>
      <c r="H20" s="11">
        <v>0.0</v>
      </c>
      <c r="I20" s="11">
        <v>1.0</v>
      </c>
      <c r="J20" s="11">
        <v>1.0</v>
      </c>
      <c r="K20" s="11">
        <v>1.0</v>
      </c>
      <c r="L20" s="11">
        <v>1.0</v>
      </c>
      <c r="M20" s="11" t="s">
        <v>58</v>
      </c>
      <c r="N20" s="12">
        <f>(E20-1)+VLOOKUP(M20,Size,2,0)</f>
        <v>17</v>
      </c>
      <c r="O20" s="12">
        <f>VLOOKUP(E20,LevelData,4)</f>
        <v>20</v>
      </c>
      <c r="P20" s="12">
        <f>O20+VLOOKUP(M20,Size,3,0)</f>
        <v>18</v>
      </c>
      <c r="Q20" s="12">
        <f t="shared" si="2"/>
        <v>12</v>
      </c>
      <c r="R20" s="12">
        <f>VLOOKUP(E20,LevelData,2)</f>
        <v>12</v>
      </c>
      <c r="S20" s="12">
        <f t="shared" si="3"/>
        <v>12</v>
      </c>
      <c r="T20" s="11" t="s">
        <v>141</v>
      </c>
      <c r="U20" s="10">
        <v>25.0</v>
      </c>
      <c r="V20" s="11">
        <f>INT(11+(E20/2))-VLOOKUP(M20,Size,2,0)</f>
        <v>23</v>
      </c>
      <c r="W20" s="10">
        <f t="shared" si="6"/>
        <v>21</v>
      </c>
      <c r="X20" s="11" t="s">
        <v>142</v>
      </c>
      <c r="Y20" s="10">
        <v>5.0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12.75" customHeight="1">
      <c r="A21" s="10">
        <f t="shared" si="4"/>
        <v>20</v>
      </c>
      <c r="B21" s="11"/>
      <c r="C21" s="10">
        <v>87.0</v>
      </c>
      <c r="D21" s="11">
        <f t="shared" si="5"/>
        <v>29</v>
      </c>
      <c r="E21" s="10">
        <v>21.0</v>
      </c>
      <c r="F21" s="10">
        <f t="shared" si="1"/>
        <v>8</v>
      </c>
      <c r="G21" s="11">
        <v>0.0</v>
      </c>
      <c r="H21" s="11">
        <v>0.0</v>
      </c>
      <c r="I21" s="11">
        <v>0.0</v>
      </c>
      <c r="J21" s="11">
        <v>0.0</v>
      </c>
      <c r="K21" s="11">
        <v>0.0</v>
      </c>
      <c r="L21" s="11">
        <v>0.0</v>
      </c>
      <c r="M21" s="11" t="s">
        <v>58</v>
      </c>
      <c r="N21" s="12">
        <f>(E21-1)+VLOOKUP(M21,Size,2,0)</f>
        <v>18</v>
      </c>
      <c r="O21" s="12">
        <f>VLOOKUP(E21,LevelData,4)</f>
        <v>21</v>
      </c>
      <c r="P21" s="12">
        <f>O21+VLOOKUP(M21,Size,3,0)</f>
        <v>19</v>
      </c>
      <c r="Q21" s="12">
        <f t="shared" si="2"/>
        <v>12</v>
      </c>
      <c r="R21" s="12">
        <f>VLOOKUP(E21,LevelData,2)</f>
        <v>12</v>
      </c>
      <c r="S21" s="12">
        <f t="shared" si="3"/>
        <v>12</v>
      </c>
      <c r="T21" s="11" t="s">
        <v>141</v>
      </c>
      <c r="U21" s="10">
        <v>25.0</v>
      </c>
      <c r="V21" s="11">
        <f>INT(11+(E21/2))-VLOOKUP(M21,Size,2,0)</f>
        <v>23</v>
      </c>
      <c r="W21" s="10">
        <f t="shared" si="6"/>
        <v>21</v>
      </c>
      <c r="X21" s="11"/>
      <c r="Y21" s="10">
        <v>5.0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12.75" customHeight="1">
      <c r="A22" s="10">
        <f t="shared" si="4"/>
        <v>21</v>
      </c>
      <c r="B22" s="11"/>
      <c r="C22" s="10">
        <v>101.0</v>
      </c>
      <c r="D22" s="11">
        <f t="shared" si="5"/>
        <v>30</v>
      </c>
      <c r="E22" s="10">
        <v>22.0</v>
      </c>
      <c r="F22" s="10">
        <f t="shared" si="1"/>
        <v>8</v>
      </c>
      <c r="G22" s="11">
        <v>0.0</v>
      </c>
      <c r="H22" s="11">
        <v>0.0</v>
      </c>
      <c r="I22" s="11">
        <v>0.0</v>
      </c>
      <c r="J22" s="11">
        <v>0.0</v>
      </c>
      <c r="K22" s="11">
        <v>0.0</v>
      </c>
      <c r="L22" s="11">
        <v>0.0</v>
      </c>
      <c r="M22" s="11" t="s">
        <v>58</v>
      </c>
      <c r="N22" s="12">
        <f>(E22-1)+VLOOKUP(M22,Size,2,0)</f>
        <v>19</v>
      </c>
      <c r="O22" s="12">
        <f>VLOOKUP(E22,LevelData,4)</f>
        <v>22</v>
      </c>
      <c r="P22" s="12">
        <f>O22+VLOOKUP(M22,Size,3,0)</f>
        <v>20</v>
      </c>
      <c r="Q22" s="12">
        <f t="shared" si="2"/>
        <v>13</v>
      </c>
      <c r="R22" s="12">
        <f>VLOOKUP(E22,LevelData,2)</f>
        <v>13</v>
      </c>
      <c r="S22" s="12">
        <f t="shared" si="3"/>
        <v>13</v>
      </c>
      <c r="T22" s="11" t="s">
        <v>143</v>
      </c>
      <c r="U22" s="10">
        <v>25.0</v>
      </c>
      <c r="V22" s="11">
        <f>INT(11+(E22/2))-VLOOKUP(M22,Size,2,0)</f>
        <v>24</v>
      </c>
      <c r="W22" s="10">
        <f t="shared" si="6"/>
        <v>22</v>
      </c>
      <c r="X22" s="11"/>
      <c r="Y22" s="10">
        <v>6.0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2.75" customHeight="1">
      <c r="A23" s="1">
        <f t="shared" si="4"/>
        <v>22</v>
      </c>
      <c r="B23" s="2"/>
      <c r="C23" s="1">
        <v>126.0</v>
      </c>
      <c r="D23" s="2">
        <f t="shared" si="5"/>
        <v>31</v>
      </c>
      <c r="E23" s="1">
        <v>22.0</v>
      </c>
      <c r="F23" s="1">
        <f t="shared" si="1"/>
        <v>9</v>
      </c>
      <c r="G23" s="2">
        <v>1.0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 t="s">
        <v>58</v>
      </c>
      <c r="N23" s="13">
        <f>(E23-1)+VLOOKUP(M23,Size,2,0)</f>
        <v>19</v>
      </c>
      <c r="O23" s="13">
        <f>VLOOKUP(E23,LevelData,4)</f>
        <v>22</v>
      </c>
      <c r="P23" s="13">
        <f>O23+VLOOKUP(M23,Size,3,0)</f>
        <v>20</v>
      </c>
      <c r="Q23" s="13">
        <f t="shared" si="2"/>
        <v>13</v>
      </c>
      <c r="R23" s="13">
        <f>VLOOKUP(E23,LevelData,2)</f>
        <v>13</v>
      </c>
      <c r="S23" s="13">
        <f t="shared" si="3"/>
        <v>13</v>
      </c>
      <c r="T23" s="2" t="s">
        <v>143</v>
      </c>
      <c r="U23" s="1">
        <v>25.0</v>
      </c>
      <c r="V23" s="2">
        <f>INT(11+(E23/2))-VLOOKUP(M23,Size,2,0)</f>
        <v>24</v>
      </c>
      <c r="W23" s="1">
        <f t="shared" si="6"/>
        <v>22</v>
      </c>
      <c r="X23" s="2"/>
      <c r="Y23" s="1">
        <v>6.0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2.75" customHeight="1">
      <c r="A24" s="3">
        <f t="shared" si="4"/>
        <v>23</v>
      </c>
      <c r="B24" s="4" t="s">
        <v>57</v>
      </c>
      <c r="C24" s="3">
        <v>151.0</v>
      </c>
      <c r="D24" s="4">
        <f t="shared" si="5"/>
        <v>32</v>
      </c>
      <c r="E24" s="3">
        <v>23.0</v>
      </c>
      <c r="F24" s="3">
        <f t="shared" si="1"/>
        <v>9</v>
      </c>
      <c r="G24" s="4">
        <v>1.0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 t="s">
        <v>58</v>
      </c>
      <c r="N24" s="5">
        <f>(E24-1)+VLOOKUP(M24,Size,2,0)</f>
        <v>20</v>
      </c>
      <c r="O24" s="5">
        <f>VLOOKUP(E24,LevelData,4)</f>
        <v>23</v>
      </c>
      <c r="P24" s="5">
        <f>O24+VLOOKUP(M24,Size,3,0)</f>
        <v>21</v>
      </c>
      <c r="Q24" s="5">
        <f t="shared" si="2"/>
        <v>13</v>
      </c>
      <c r="R24" s="5">
        <f>VLOOKUP(E24,LevelData,2)</f>
        <v>13</v>
      </c>
      <c r="S24" s="5">
        <f t="shared" si="3"/>
        <v>13</v>
      </c>
      <c r="T24" s="4" t="s">
        <v>144</v>
      </c>
      <c r="U24" s="3">
        <v>26.0</v>
      </c>
      <c r="V24" s="4">
        <f>INT(11+(E24/2))-VLOOKUP(M24,Size,2,0)</f>
        <v>24</v>
      </c>
      <c r="W24" s="3">
        <f t="shared" si="6"/>
        <v>22</v>
      </c>
      <c r="X24" s="4" t="s">
        <v>60</v>
      </c>
      <c r="Y24" s="3">
        <v>7.0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12.75" customHeight="1">
      <c r="A25" s="3">
        <f t="shared" si="4"/>
        <v>24</v>
      </c>
      <c r="B25" s="4"/>
      <c r="C25" s="3">
        <v>176.0</v>
      </c>
      <c r="D25" s="4">
        <f t="shared" si="5"/>
        <v>33</v>
      </c>
      <c r="E25" s="3">
        <v>24.0</v>
      </c>
      <c r="F25" s="3">
        <f t="shared" si="1"/>
        <v>9</v>
      </c>
      <c r="G25" s="4">
        <v>0.0</v>
      </c>
      <c r="H25" s="4">
        <v>0.0</v>
      </c>
      <c r="I25" s="4">
        <v>1.0</v>
      </c>
      <c r="J25" s="4">
        <v>1.0</v>
      </c>
      <c r="K25" s="4">
        <v>1.0</v>
      </c>
      <c r="L25" s="4">
        <v>0.0</v>
      </c>
      <c r="M25" s="4" t="s">
        <v>58</v>
      </c>
      <c r="N25" s="5">
        <f>(E25-1)+VLOOKUP(M25,Size,2,0)</f>
        <v>21</v>
      </c>
      <c r="O25" s="5">
        <f>VLOOKUP(E25,LevelData,4)</f>
        <v>24</v>
      </c>
      <c r="P25" s="5">
        <f>O25+VLOOKUP(M25,Size,3,0)</f>
        <v>22</v>
      </c>
      <c r="Q25" s="5">
        <f t="shared" si="2"/>
        <v>14</v>
      </c>
      <c r="R25" s="5">
        <f>VLOOKUP(E25,LevelData,2)</f>
        <v>14</v>
      </c>
      <c r="S25" s="5">
        <f t="shared" si="3"/>
        <v>14</v>
      </c>
      <c r="T25" s="4" t="s">
        <v>144</v>
      </c>
      <c r="U25" s="3">
        <v>27.0</v>
      </c>
      <c r="V25" s="4">
        <f>INT(11+(E25/2))-VLOOKUP(M25,Size,2,0)</f>
        <v>25</v>
      </c>
      <c r="W25" s="3">
        <f t="shared" si="6"/>
        <v>23</v>
      </c>
      <c r="X25" s="4"/>
      <c r="Y25" s="3">
        <v>7.0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2.75" customHeight="1">
      <c r="A26" s="3">
        <f t="shared" si="4"/>
        <v>25</v>
      </c>
      <c r="B26" s="4"/>
      <c r="C26" s="3">
        <v>201.0</v>
      </c>
      <c r="D26" s="4">
        <f t="shared" si="5"/>
        <v>34</v>
      </c>
      <c r="E26" s="3">
        <v>25.0</v>
      </c>
      <c r="F26" s="3">
        <f t="shared" si="1"/>
        <v>9</v>
      </c>
      <c r="G26" s="4">
        <v>1.0</v>
      </c>
      <c r="H26" s="4">
        <v>0.0</v>
      </c>
      <c r="I26" s="4">
        <v>0.0</v>
      </c>
      <c r="J26" s="4">
        <v>0.0</v>
      </c>
      <c r="K26" s="4">
        <v>0.0</v>
      </c>
      <c r="L26" s="4">
        <v>1.0</v>
      </c>
      <c r="M26" s="4" t="s">
        <v>58</v>
      </c>
      <c r="N26" s="5">
        <f>(E26-1)+VLOOKUP(M26,Size,2,0)</f>
        <v>22</v>
      </c>
      <c r="O26" s="5">
        <f>VLOOKUP(E26,LevelData,4)</f>
        <v>25</v>
      </c>
      <c r="P26" s="5">
        <f>O26+VLOOKUP(M26,Size,3,0)</f>
        <v>23</v>
      </c>
      <c r="Q26" s="5">
        <f t="shared" si="2"/>
        <v>14</v>
      </c>
      <c r="R26" s="5">
        <f>VLOOKUP(E26,LevelData,2)</f>
        <v>14</v>
      </c>
      <c r="S26" s="5">
        <f t="shared" si="3"/>
        <v>14</v>
      </c>
      <c r="T26" s="4" t="s">
        <v>145</v>
      </c>
      <c r="U26" s="3">
        <v>27.0</v>
      </c>
      <c r="V26" s="4">
        <f>INT(11+(E26/2))-VLOOKUP(M26,Size,2,0)</f>
        <v>25</v>
      </c>
      <c r="W26" s="3">
        <f t="shared" si="6"/>
        <v>23</v>
      </c>
      <c r="X26" s="4"/>
      <c r="Y26" s="3">
        <v>8.0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7">
        <f t="shared" si="4"/>
        <v>26</v>
      </c>
      <c r="B27" s="8"/>
      <c r="C27" s="7">
        <v>251.0</v>
      </c>
      <c r="D27" s="8">
        <f t="shared" si="5"/>
        <v>35</v>
      </c>
      <c r="E27" s="7">
        <v>25.0</v>
      </c>
      <c r="F27" s="7">
        <f t="shared" si="1"/>
        <v>10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 t="s">
        <v>58</v>
      </c>
      <c r="N27" s="9">
        <f>(E27-1)+VLOOKUP(M27,Size,2,0)</f>
        <v>22</v>
      </c>
      <c r="O27" s="9">
        <f>VLOOKUP(E27,LevelData,4)</f>
        <v>25</v>
      </c>
      <c r="P27" s="9">
        <f>O27+VLOOKUP(M27,Size,3,0)</f>
        <v>23</v>
      </c>
      <c r="Q27" s="9">
        <f t="shared" si="2"/>
        <v>14</v>
      </c>
      <c r="R27" s="9">
        <f>VLOOKUP(E27,LevelData,2)</f>
        <v>14</v>
      </c>
      <c r="S27" s="9">
        <f t="shared" si="3"/>
        <v>14</v>
      </c>
      <c r="T27" s="8" t="s">
        <v>145</v>
      </c>
      <c r="U27" s="7">
        <v>28.0</v>
      </c>
      <c r="V27" s="8">
        <f>INT(11+(E27/2))-VLOOKUP(M27,Size,2,0)</f>
        <v>25</v>
      </c>
      <c r="W27" s="7">
        <f t="shared" si="6"/>
        <v>23</v>
      </c>
      <c r="X27" s="8"/>
      <c r="Y27" s="7">
        <v>8.0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ht="12.75" customHeight="1">
      <c r="A28" s="10">
        <f t="shared" si="4"/>
        <v>27</v>
      </c>
      <c r="B28" s="11" t="s">
        <v>62</v>
      </c>
      <c r="C28" s="10">
        <v>301.0</v>
      </c>
      <c r="D28" s="11">
        <f t="shared" si="5"/>
        <v>36</v>
      </c>
      <c r="E28" s="10">
        <v>26.0</v>
      </c>
      <c r="F28" s="10">
        <f t="shared" si="1"/>
        <v>10</v>
      </c>
      <c r="G28" s="11">
        <v>1.0</v>
      </c>
      <c r="H28" s="11">
        <v>0.0</v>
      </c>
      <c r="I28" s="11">
        <v>1.0</v>
      </c>
      <c r="J28" s="11">
        <v>1.0</v>
      </c>
      <c r="K28" s="11">
        <v>1.0</v>
      </c>
      <c r="L28" s="11">
        <v>1.0</v>
      </c>
      <c r="M28" s="11" t="s">
        <v>58</v>
      </c>
      <c r="N28" s="12">
        <f>(E28-1)+VLOOKUP(M28,Size,2,0)</f>
        <v>23</v>
      </c>
      <c r="O28" s="12">
        <f>VLOOKUP(E28,LevelData,4)</f>
        <v>26</v>
      </c>
      <c r="P28" s="12">
        <f>O28+VLOOKUP(M28,Size,3,0)</f>
        <v>24</v>
      </c>
      <c r="Q28" s="12">
        <f t="shared" si="2"/>
        <v>15</v>
      </c>
      <c r="R28" s="12">
        <f>VLOOKUP(E28,LevelData,2)</f>
        <v>15</v>
      </c>
      <c r="S28" s="12">
        <f t="shared" si="3"/>
        <v>15</v>
      </c>
      <c r="T28" s="11" t="s">
        <v>146</v>
      </c>
      <c r="U28" s="10">
        <v>29.0</v>
      </c>
      <c r="V28" s="11">
        <f>INT(11+(E28/2))-VLOOKUP(M28,Size,2,0)</f>
        <v>26</v>
      </c>
      <c r="W28" s="10">
        <f t="shared" si="6"/>
        <v>24</v>
      </c>
      <c r="X28" s="11" t="s">
        <v>147</v>
      </c>
      <c r="Y28" s="10">
        <v>9.0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12.75" customHeight="1">
      <c r="A29" s="10">
        <f t="shared" si="4"/>
        <v>28</v>
      </c>
      <c r="B29" s="11"/>
      <c r="C29" s="10">
        <v>351.0</v>
      </c>
      <c r="D29" s="11">
        <f t="shared" si="5"/>
        <v>37</v>
      </c>
      <c r="E29" s="10">
        <v>27.0</v>
      </c>
      <c r="F29" s="10">
        <f t="shared" si="1"/>
        <v>10</v>
      </c>
      <c r="G29" s="11">
        <v>0.0</v>
      </c>
      <c r="H29" s="11">
        <v>0.0</v>
      </c>
      <c r="I29" s="11">
        <v>0.0</v>
      </c>
      <c r="J29" s="11">
        <v>0.0</v>
      </c>
      <c r="K29" s="11">
        <v>0.0</v>
      </c>
      <c r="L29" s="11">
        <v>0.0</v>
      </c>
      <c r="M29" s="11" t="s">
        <v>58</v>
      </c>
      <c r="N29" s="12">
        <f>(E29-1)+VLOOKUP(M29,Size,2,0)</f>
        <v>24</v>
      </c>
      <c r="O29" s="12">
        <f>VLOOKUP(E29,LevelData,4)</f>
        <v>27</v>
      </c>
      <c r="P29" s="12">
        <f>O29+VLOOKUP(M29,Size,3,0)</f>
        <v>25</v>
      </c>
      <c r="Q29" s="12">
        <f t="shared" si="2"/>
        <v>15</v>
      </c>
      <c r="R29" s="12">
        <f>VLOOKUP(E29,LevelData,2)</f>
        <v>15</v>
      </c>
      <c r="S29" s="12">
        <f t="shared" si="3"/>
        <v>15</v>
      </c>
      <c r="T29" s="11" t="s">
        <v>146</v>
      </c>
      <c r="U29" s="10">
        <v>29.0</v>
      </c>
      <c r="V29" s="11">
        <f>INT(11+(E29/2))-VLOOKUP(M29,Size,2,0)</f>
        <v>26</v>
      </c>
      <c r="W29" s="10">
        <f t="shared" si="6"/>
        <v>24</v>
      </c>
      <c r="X29" s="11"/>
      <c r="Y29" s="10">
        <v>9.0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12.75" customHeight="1">
      <c r="A30" s="10">
        <f t="shared" si="4"/>
        <v>29</v>
      </c>
      <c r="B30" s="11"/>
      <c r="C30" s="10">
        <v>401.0</v>
      </c>
      <c r="D30" s="11">
        <f t="shared" si="5"/>
        <v>38</v>
      </c>
      <c r="E30" s="10">
        <v>28.0</v>
      </c>
      <c r="F30" s="10">
        <f t="shared" si="1"/>
        <v>10</v>
      </c>
      <c r="G30" s="11">
        <v>1.0</v>
      </c>
      <c r="H30" s="11">
        <v>0.0</v>
      </c>
      <c r="I30" s="11">
        <v>0.0</v>
      </c>
      <c r="J30" s="11">
        <v>0.0</v>
      </c>
      <c r="K30" s="11">
        <v>0.0</v>
      </c>
      <c r="L30" s="11">
        <v>0.0</v>
      </c>
      <c r="M30" s="11" t="s">
        <v>58</v>
      </c>
      <c r="N30" s="12">
        <f>(E30-1)+VLOOKUP(M30,Size,2,0)</f>
        <v>25</v>
      </c>
      <c r="O30" s="12">
        <f>VLOOKUP(E30,LevelData,4)</f>
        <v>28</v>
      </c>
      <c r="P30" s="12">
        <f>O30+VLOOKUP(M30,Size,3,0)</f>
        <v>26</v>
      </c>
      <c r="Q30" s="12">
        <f t="shared" si="2"/>
        <v>16</v>
      </c>
      <c r="R30" s="12">
        <f>VLOOKUP(E30,LevelData,2)</f>
        <v>16</v>
      </c>
      <c r="S30" s="12">
        <f t="shared" si="3"/>
        <v>16</v>
      </c>
      <c r="T30" s="11" t="s">
        <v>148</v>
      </c>
      <c r="U30" s="10">
        <v>29.0</v>
      </c>
      <c r="V30" s="11">
        <f>INT(11+(E30/2))-VLOOKUP(M30,Size,2,0)</f>
        <v>27</v>
      </c>
      <c r="W30" s="10">
        <f t="shared" si="6"/>
        <v>25</v>
      </c>
      <c r="X30" s="11"/>
      <c r="Y30" s="10">
        <v>10.0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2.75" customHeight="1">
      <c r="A31" s="1">
        <f t="shared" si="4"/>
        <v>30</v>
      </c>
      <c r="B31" s="2"/>
      <c r="C31" s="1">
        <v>451.0</v>
      </c>
      <c r="D31" s="2">
        <f t="shared" si="5"/>
        <v>39</v>
      </c>
      <c r="E31" s="1">
        <v>28.0</v>
      </c>
      <c r="F31" s="1">
        <f t="shared" si="1"/>
        <v>11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 t="s">
        <v>58</v>
      </c>
      <c r="N31" s="13">
        <f>(E31-1)+VLOOKUP(M31,Size,2,0)</f>
        <v>25</v>
      </c>
      <c r="O31" s="13">
        <f>VLOOKUP(E31,LevelData,4)</f>
        <v>28</v>
      </c>
      <c r="P31" s="13">
        <f>O31+VLOOKUP(M31,Size,3,0)</f>
        <v>26</v>
      </c>
      <c r="Q31" s="13">
        <f t="shared" si="2"/>
        <v>16</v>
      </c>
      <c r="R31" s="13">
        <f>VLOOKUP(E31,LevelData,2)</f>
        <v>16</v>
      </c>
      <c r="S31" s="13">
        <f t="shared" si="3"/>
        <v>16</v>
      </c>
      <c r="T31" s="2" t="s">
        <v>148</v>
      </c>
      <c r="U31" s="1">
        <v>29.0</v>
      </c>
      <c r="V31" s="2">
        <f>INT(11+(E31/2))-VLOOKUP(M31,Size,2,0)</f>
        <v>27</v>
      </c>
      <c r="W31" s="1">
        <f t="shared" si="6"/>
        <v>25</v>
      </c>
      <c r="X31" s="2"/>
      <c r="Y31" s="1">
        <v>10.0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2.75" customHeight="1">
      <c r="A32" s="3">
        <f t="shared" si="4"/>
        <v>31</v>
      </c>
      <c r="B32" s="4" t="s">
        <v>67</v>
      </c>
      <c r="C32" s="3">
        <v>501.0</v>
      </c>
      <c r="D32" s="4">
        <f t="shared" si="5"/>
        <v>40</v>
      </c>
      <c r="E32" s="3">
        <v>29.0</v>
      </c>
      <c r="F32" s="3">
        <f t="shared" si="1"/>
        <v>11</v>
      </c>
      <c r="G32" s="4">
        <v>1.0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 t="s">
        <v>58</v>
      </c>
      <c r="N32" s="5">
        <f>(E32-1)+VLOOKUP(M32,Size,2,0)</f>
        <v>26</v>
      </c>
      <c r="O32" s="5">
        <f>VLOOKUP(E32,LevelData,4)</f>
        <v>29</v>
      </c>
      <c r="P32" s="5">
        <f>O32+VLOOKUP(M32,Size,3,0)</f>
        <v>27</v>
      </c>
      <c r="Q32" s="5">
        <f t="shared" si="2"/>
        <v>16</v>
      </c>
      <c r="R32" s="5">
        <f>VLOOKUP(E32,LevelData,2)</f>
        <v>16</v>
      </c>
      <c r="S32" s="5">
        <f t="shared" si="3"/>
        <v>16</v>
      </c>
      <c r="T32" s="4" t="s">
        <v>149</v>
      </c>
      <c r="U32" s="3">
        <v>30.0</v>
      </c>
      <c r="V32" s="4">
        <f>INT(11+(E32/2))-VLOOKUP(M32,Size,2,0)</f>
        <v>27</v>
      </c>
      <c r="W32" s="3">
        <f t="shared" si="6"/>
        <v>25</v>
      </c>
      <c r="X32" s="4" t="s">
        <v>69</v>
      </c>
      <c r="Y32" s="3">
        <v>11.0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12.75" customHeight="1">
      <c r="A33" s="3">
        <f t="shared" si="4"/>
        <v>32</v>
      </c>
      <c r="B33" s="4"/>
      <c r="C33" s="3">
        <v>551.0</v>
      </c>
      <c r="D33" s="4">
        <f t="shared" si="5"/>
        <v>41</v>
      </c>
      <c r="E33" s="3">
        <v>30.0</v>
      </c>
      <c r="F33" s="3">
        <f t="shared" si="1"/>
        <v>11</v>
      </c>
      <c r="G33" s="4">
        <v>0.0</v>
      </c>
      <c r="H33" s="4">
        <v>0.0</v>
      </c>
      <c r="I33" s="4">
        <v>1.0</v>
      </c>
      <c r="J33" s="4">
        <v>1.0</v>
      </c>
      <c r="K33" s="4">
        <v>0.0</v>
      </c>
      <c r="L33" s="4">
        <v>0.0</v>
      </c>
      <c r="M33" s="4" t="s">
        <v>58</v>
      </c>
      <c r="N33" s="5">
        <f>(E33-1)+VLOOKUP(M33,Size,2,0)</f>
        <v>27</v>
      </c>
      <c r="O33" s="5">
        <f>VLOOKUP(E33,LevelData,4)</f>
        <v>30</v>
      </c>
      <c r="P33" s="5">
        <f>O33+VLOOKUP(M33,Size,3,0)</f>
        <v>28</v>
      </c>
      <c r="Q33" s="5">
        <f t="shared" si="2"/>
        <v>17</v>
      </c>
      <c r="R33" s="5">
        <f>VLOOKUP(E33,LevelData,2)</f>
        <v>17</v>
      </c>
      <c r="S33" s="5">
        <f t="shared" si="3"/>
        <v>17</v>
      </c>
      <c r="T33" s="4" t="s">
        <v>149</v>
      </c>
      <c r="U33" s="3">
        <v>31.0</v>
      </c>
      <c r="V33" s="4">
        <f>INT(11+(E33/2))-VLOOKUP(M33,Size,2,0)</f>
        <v>28</v>
      </c>
      <c r="W33" s="3">
        <f t="shared" si="6"/>
        <v>26</v>
      </c>
      <c r="X33" s="4"/>
      <c r="Y33" s="3">
        <v>11.0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2.75" customHeight="1">
      <c r="A34" s="3">
        <f t="shared" si="4"/>
        <v>33</v>
      </c>
      <c r="B34" s="4"/>
      <c r="C34" s="3">
        <v>601.0</v>
      </c>
      <c r="D34" s="4">
        <f t="shared" si="5"/>
        <v>42</v>
      </c>
      <c r="E34" s="3">
        <v>31.0</v>
      </c>
      <c r="F34" s="3">
        <f t="shared" si="1"/>
        <v>11</v>
      </c>
      <c r="G34" s="4">
        <v>1.0</v>
      </c>
      <c r="H34" s="4">
        <v>0.0</v>
      </c>
      <c r="I34" s="4">
        <v>0.0</v>
      </c>
      <c r="J34" s="4">
        <v>0.0</v>
      </c>
      <c r="K34" s="4">
        <v>1.0</v>
      </c>
      <c r="L34" s="4">
        <v>0.0</v>
      </c>
      <c r="M34" s="4" t="s">
        <v>58</v>
      </c>
      <c r="N34" s="5">
        <f>(E34-1)+VLOOKUP(M34,Size,2,0)</f>
        <v>28</v>
      </c>
      <c r="O34" s="5">
        <f>VLOOKUP(E34,LevelData,4)</f>
        <v>31</v>
      </c>
      <c r="P34" s="5">
        <f>O34+VLOOKUP(M34,Size,3,0)</f>
        <v>29</v>
      </c>
      <c r="Q34" s="5">
        <f t="shared" si="2"/>
        <v>17</v>
      </c>
      <c r="R34" s="5">
        <f>VLOOKUP(E34,LevelData,2)</f>
        <v>17</v>
      </c>
      <c r="S34" s="5">
        <f t="shared" si="3"/>
        <v>17</v>
      </c>
      <c r="T34" s="4" t="s">
        <v>150</v>
      </c>
      <c r="U34" s="3">
        <v>32.0</v>
      </c>
      <c r="V34" s="4">
        <f>INT(11+(E34/2))-VLOOKUP(M34,Size,2,0)</f>
        <v>28</v>
      </c>
      <c r="W34" s="3">
        <f t="shared" si="6"/>
        <v>26</v>
      </c>
      <c r="X34" s="4"/>
      <c r="Y34" s="3">
        <v>12.0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7">
        <f t="shared" si="4"/>
        <v>34</v>
      </c>
      <c r="B35" s="8"/>
      <c r="C35" s="7">
        <v>651.0</v>
      </c>
      <c r="D35" s="8">
        <f t="shared" si="5"/>
        <v>43</v>
      </c>
      <c r="E35" s="7">
        <v>31.0</v>
      </c>
      <c r="F35" s="7">
        <f t="shared" si="1"/>
        <v>12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  <c r="L35" s="8">
        <v>1.0</v>
      </c>
      <c r="M35" s="8" t="s">
        <v>58</v>
      </c>
      <c r="N35" s="9">
        <f>(E35-1)+VLOOKUP(M35,Size,2,0)</f>
        <v>28</v>
      </c>
      <c r="O35" s="9">
        <f>VLOOKUP(E35,LevelData,4)</f>
        <v>31</v>
      </c>
      <c r="P35" s="9">
        <f>O35+VLOOKUP(M35,Size,3,0)</f>
        <v>29</v>
      </c>
      <c r="Q35" s="9">
        <f t="shared" si="2"/>
        <v>17</v>
      </c>
      <c r="R35" s="9">
        <f>VLOOKUP(E35,LevelData,2)</f>
        <v>17</v>
      </c>
      <c r="S35" s="9">
        <f t="shared" si="3"/>
        <v>17</v>
      </c>
      <c r="T35" s="8" t="s">
        <v>150</v>
      </c>
      <c r="U35" s="7">
        <v>32.0</v>
      </c>
      <c r="V35" s="8">
        <f>INT(11+(E35/2))-VLOOKUP(M35,Size,2,0)</f>
        <v>28</v>
      </c>
      <c r="W35" s="7">
        <f t="shared" si="6"/>
        <v>26</v>
      </c>
      <c r="X35" s="8"/>
      <c r="Y35" s="7">
        <v>12.0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12.75" customHeight="1">
      <c r="A36" s="10">
        <f t="shared" si="4"/>
        <v>35</v>
      </c>
      <c r="B36" s="11" t="s">
        <v>71</v>
      </c>
      <c r="C36" s="10">
        <v>701.0</v>
      </c>
      <c r="D36" s="11">
        <f t="shared" si="5"/>
        <v>44</v>
      </c>
      <c r="E36" s="10">
        <v>32.0</v>
      </c>
      <c r="F36" s="10">
        <f t="shared" si="1"/>
        <v>12</v>
      </c>
      <c r="G36" s="11">
        <v>1.0</v>
      </c>
      <c r="H36" s="11">
        <v>0.0</v>
      </c>
      <c r="I36" s="11">
        <v>1.0</v>
      </c>
      <c r="J36" s="11">
        <v>1.0</v>
      </c>
      <c r="K36" s="11">
        <v>1.0</v>
      </c>
      <c r="L36" s="11">
        <v>1.0</v>
      </c>
      <c r="M36" s="11" t="s">
        <v>77</v>
      </c>
      <c r="N36" s="12">
        <f>(E36-1)+VLOOKUP(M36,Size,2,0)</f>
        <v>27</v>
      </c>
      <c r="O36" s="12">
        <f>VLOOKUP(E36,LevelData,4)</f>
        <v>32</v>
      </c>
      <c r="P36" s="12">
        <f>O36+VLOOKUP(M36,Size,3,0)</f>
        <v>28</v>
      </c>
      <c r="Q36" s="12">
        <f t="shared" si="2"/>
        <v>18</v>
      </c>
      <c r="R36" s="12">
        <f>VLOOKUP(E36,LevelData,2)</f>
        <v>18</v>
      </c>
      <c r="S36" s="12">
        <f t="shared" si="3"/>
        <v>18</v>
      </c>
      <c r="T36" s="11" t="s">
        <v>151</v>
      </c>
      <c r="U36" s="10">
        <v>33.0</v>
      </c>
      <c r="V36" s="11">
        <f>INT(11+(E36/2))-VLOOKUP(M36,Size,2,0)</f>
        <v>31</v>
      </c>
      <c r="W36" s="10">
        <f t="shared" si="6"/>
        <v>27</v>
      </c>
      <c r="X36" s="11" t="s">
        <v>152</v>
      </c>
      <c r="Y36" s="10">
        <v>13.0</v>
      </c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12.75" customHeight="1">
      <c r="A37" s="10">
        <f t="shared" si="4"/>
        <v>36</v>
      </c>
      <c r="B37" s="11"/>
      <c r="C37" s="10">
        <v>751.0</v>
      </c>
      <c r="D37" s="11">
        <f t="shared" si="5"/>
        <v>45</v>
      </c>
      <c r="E37" s="10">
        <v>33.0</v>
      </c>
      <c r="F37" s="10">
        <f t="shared" si="1"/>
        <v>12</v>
      </c>
      <c r="G37" s="11">
        <v>0.0</v>
      </c>
      <c r="H37" s="11">
        <v>0.0</v>
      </c>
      <c r="I37" s="11">
        <v>0.0</v>
      </c>
      <c r="J37" s="11">
        <v>0.0</v>
      </c>
      <c r="K37" s="11">
        <v>0.0</v>
      </c>
      <c r="L37" s="11">
        <v>0.0</v>
      </c>
      <c r="M37" s="11" t="s">
        <v>77</v>
      </c>
      <c r="N37" s="12">
        <f>(E37-1)+VLOOKUP(M37,Size,2,0)</f>
        <v>28</v>
      </c>
      <c r="O37" s="12">
        <f>VLOOKUP(E37,LevelData,4)</f>
        <v>33</v>
      </c>
      <c r="P37" s="12">
        <f>O37+VLOOKUP(M37,Size,3,0)</f>
        <v>29</v>
      </c>
      <c r="Q37" s="12">
        <f t="shared" si="2"/>
        <v>18</v>
      </c>
      <c r="R37" s="12">
        <f>VLOOKUP(E37,LevelData,2)</f>
        <v>18</v>
      </c>
      <c r="S37" s="12">
        <f t="shared" si="3"/>
        <v>18</v>
      </c>
      <c r="T37" s="11" t="s">
        <v>151</v>
      </c>
      <c r="U37" s="10">
        <v>33.0</v>
      </c>
      <c r="V37" s="11">
        <f>INT(11+(E37/2))-VLOOKUP(M37,Size,2,0)</f>
        <v>31</v>
      </c>
      <c r="W37" s="10">
        <f t="shared" si="6"/>
        <v>27</v>
      </c>
      <c r="X37" s="11" t="s">
        <v>153</v>
      </c>
      <c r="Y37" s="10">
        <v>13.0</v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12.75" customHeight="1">
      <c r="A38" s="10">
        <f t="shared" si="4"/>
        <v>37</v>
      </c>
      <c r="B38" s="11"/>
      <c r="C38" s="10">
        <v>801.0</v>
      </c>
      <c r="D38" s="11">
        <f t="shared" si="5"/>
        <v>46</v>
      </c>
      <c r="E38" s="10">
        <v>34.0</v>
      </c>
      <c r="F38" s="10">
        <f t="shared" si="1"/>
        <v>12</v>
      </c>
      <c r="G38" s="11">
        <v>1.0</v>
      </c>
      <c r="H38" s="11">
        <v>0.0</v>
      </c>
      <c r="I38" s="11">
        <v>1.0</v>
      </c>
      <c r="J38" s="11">
        <v>0.0</v>
      </c>
      <c r="K38" s="11">
        <v>0.0</v>
      </c>
      <c r="L38" s="11">
        <v>0.0</v>
      </c>
      <c r="M38" s="11" t="s">
        <v>77</v>
      </c>
      <c r="N38" s="12">
        <f>(E38-1)+VLOOKUP(M38,Size,2,0)</f>
        <v>29</v>
      </c>
      <c r="O38" s="12">
        <f>VLOOKUP(E38,LevelData,4)</f>
        <v>34</v>
      </c>
      <c r="P38" s="12">
        <f>O38+VLOOKUP(M38,Size,3,0)</f>
        <v>30</v>
      </c>
      <c r="Q38" s="12">
        <f t="shared" si="2"/>
        <v>19</v>
      </c>
      <c r="R38" s="12">
        <f>VLOOKUP(E38,LevelData,2)</f>
        <v>19</v>
      </c>
      <c r="S38" s="12">
        <f t="shared" si="3"/>
        <v>19</v>
      </c>
      <c r="T38" s="11" t="s">
        <v>154</v>
      </c>
      <c r="U38" s="10">
        <v>34.0</v>
      </c>
      <c r="V38" s="11">
        <f>INT(11+(E38/2))-VLOOKUP(M38,Size,2,0)</f>
        <v>32</v>
      </c>
      <c r="W38" s="10">
        <f t="shared" si="6"/>
        <v>28</v>
      </c>
      <c r="X38" s="11"/>
      <c r="Y38" s="10">
        <v>14.0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2.75" customHeight="1">
      <c r="A39" s="1">
        <f t="shared" si="4"/>
        <v>38</v>
      </c>
      <c r="B39" s="2"/>
      <c r="C39" s="1">
        <v>851.0</v>
      </c>
      <c r="D39" s="2">
        <f t="shared" si="5"/>
        <v>47</v>
      </c>
      <c r="E39" s="1">
        <v>34.0</v>
      </c>
      <c r="F39" s="1">
        <f t="shared" si="1"/>
        <v>13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 t="s">
        <v>77</v>
      </c>
      <c r="N39" s="13">
        <f>(E39-1)+VLOOKUP(M39,Size,2,0)</f>
        <v>29</v>
      </c>
      <c r="O39" s="13">
        <f>VLOOKUP(E39,LevelData,4)</f>
        <v>34</v>
      </c>
      <c r="P39" s="13">
        <f>O39+VLOOKUP(M39,Size,3,0)</f>
        <v>30</v>
      </c>
      <c r="Q39" s="13">
        <f t="shared" si="2"/>
        <v>19</v>
      </c>
      <c r="R39" s="13">
        <f>VLOOKUP(E39,LevelData,2)</f>
        <v>19</v>
      </c>
      <c r="S39" s="13">
        <f t="shared" si="3"/>
        <v>19</v>
      </c>
      <c r="T39" s="2" t="s">
        <v>154</v>
      </c>
      <c r="U39" s="1">
        <v>34.0</v>
      </c>
      <c r="V39" s="2">
        <f>INT(11+(E39/2))-VLOOKUP(M39,Size,2,0)</f>
        <v>32</v>
      </c>
      <c r="W39" s="1">
        <f t="shared" si="6"/>
        <v>28</v>
      </c>
      <c r="X39" s="2"/>
      <c r="Y39" s="1">
        <v>14.0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2.75" customHeight="1">
      <c r="A40" s="3">
        <f t="shared" si="4"/>
        <v>39</v>
      </c>
      <c r="B40" s="4" t="s">
        <v>76</v>
      </c>
      <c r="C40" s="3">
        <v>901.0</v>
      </c>
      <c r="D40" s="4">
        <f t="shared" si="5"/>
        <v>48</v>
      </c>
      <c r="E40" s="3">
        <v>35.0</v>
      </c>
      <c r="F40" s="3">
        <f t="shared" si="1"/>
        <v>13</v>
      </c>
      <c r="G40" s="4">
        <v>1.0</v>
      </c>
      <c r="H40" s="4">
        <v>0.0</v>
      </c>
      <c r="I40" s="4">
        <v>1.0</v>
      </c>
      <c r="J40" s="4">
        <v>0.0</v>
      </c>
      <c r="K40" s="4">
        <v>0.0</v>
      </c>
      <c r="L40" s="4">
        <v>0.0</v>
      </c>
      <c r="M40" s="4" t="s">
        <v>77</v>
      </c>
      <c r="N40" s="5">
        <f>(E40-1)+VLOOKUP(M40,Size,2,0)</f>
        <v>30</v>
      </c>
      <c r="O40" s="5">
        <f>VLOOKUP(E40,LevelData,4)</f>
        <v>35</v>
      </c>
      <c r="P40" s="5">
        <f>O40+VLOOKUP(M40,Size,3,0)</f>
        <v>31</v>
      </c>
      <c r="Q40" s="5">
        <f t="shared" si="2"/>
        <v>19</v>
      </c>
      <c r="R40" s="5">
        <f>VLOOKUP(E40,LevelData,2)</f>
        <v>19</v>
      </c>
      <c r="S40" s="5">
        <f t="shared" si="3"/>
        <v>19</v>
      </c>
      <c r="T40" s="4" t="s">
        <v>155</v>
      </c>
      <c r="U40" s="3">
        <v>35.0</v>
      </c>
      <c r="V40" s="4">
        <f>INT(11+(E40/2))-VLOOKUP(M40,Size,2,0)</f>
        <v>32</v>
      </c>
      <c r="W40" s="3">
        <f t="shared" si="6"/>
        <v>28</v>
      </c>
      <c r="X40" s="4" t="s">
        <v>156</v>
      </c>
      <c r="Y40" s="3">
        <v>15.0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2.75" customHeight="1">
      <c r="A41" s="3">
        <f t="shared" si="4"/>
        <v>40</v>
      </c>
      <c r="B41" s="4"/>
      <c r="C41" s="3">
        <v>851.0</v>
      </c>
      <c r="D41" s="4">
        <f t="shared" si="5"/>
        <v>49</v>
      </c>
      <c r="E41" s="3">
        <v>36.0</v>
      </c>
      <c r="F41" s="3">
        <f t="shared" si="1"/>
        <v>13</v>
      </c>
      <c r="G41" s="4">
        <v>0.0</v>
      </c>
      <c r="H41" s="4">
        <v>0.0</v>
      </c>
      <c r="I41" s="4">
        <v>0.0</v>
      </c>
      <c r="J41" s="4">
        <v>1.0</v>
      </c>
      <c r="K41" s="4">
        <v>0.0</v>
      </c>
      <c r="L41" s="4">
        <v>1.0</v>
      </c>
      <c r="M41" s="4" t="s">
        <v>77</v>
      </c>
      <c r="N41" s="5">
        <f>(E41-1)+VLOOKUP(M41,Size,2,0)</f>
        <v>31</v>
      </c>
      <c r="O41" s="5">
        <f>VLOOKUP(E41,LevelData,4)</f>
        <v>36</v>
      </c>
      <c r="P41" s="5">
        <f>O41+VLOOKUP(M41,Size,3,0)</f>
        <v>32</v>
      </c>
      <c r="Q41" s="5">
        <f t="shared" si="2"/>
        <v>20</v>
      </c>
      <c r="R41" s="5">
        <f>VLOOKUP(E41,LevelData,2)</f>
        <v>20</v>
      </c>
      <c r="S41" s="5">
        <f t="shared" si="3"/>
        <v>20</v>
      </c>
      <c r="T41" s="4" t="s">
        <v>155</v>
      </c>
      <c r="U41" s="3">
        <v>35.0</v>
      </c>
      <c r="V41" s="4">
        <f>INT(11+(E41/2))-VLOOKUP(M41,Size,2,0)</f>
        <v>33</v>
      </c>
      <c r="W41" s="3">
        <f t="shared" si="6"/>
        <v>29</v>
      </c>
      <c r="X41" s="4"/>
      <c r="Y41" s="3">
        <v>15.0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2.75" customHeight="1">
      <c r="A42" s="3">
        <f t="shared" si="4"/>
        <v>41</v>
      </c>
      <c r="B42" s="4"/>
      <c r="C42" s="3">
        <v>1001.0</v>
      </c>
      <c r="D42" s="4">
        <f t="shared" si="5"/>
        <v>50</v>
      </c>
      <c r="E42" s="3">
        <v>37.0</v>
      </c>
      <c r="F42" s="3">
        <f t="shared" si="1"/>
        <v>13</v>
      </c>
      <c r="G42" s="4">
        <v>1.0</v>
      </c>
      <c r="H42" s="4">
        <v>0.0</v>
      </c>
      <c r="I42" s="4">
        <v>0.0</v>
      </c>
      <c r="J42" s="4">
        <v>0.0</v>
      </c>
      <c r="K42" s="4">
        <v>1.0</v>
      </c>
      <c r="L42" s="4">
        <v>0.0</v>
      </c>
      <c r="M42" s="4" t="s">
        <v>77</v>
      </c>
      <c r="N42" s="5">
        <f>(E42-1)+VLOOKUP(M42,Size,2,0)</f>
        <v>32</v>
      </c>
      <c r="O42" s="5">
        <f>VLOOKUP(E42,LevelData,4)</f>
        <v>37</v>
      </c>
      <c r="P42" s="5">
        <f>O42+VLOOKUP(M42,Size,3,0)</f>
        <v>33</v>
      </c>
      <c r="Q42" s="5">
        <f t="shared" si="2"/>
        <v>20</v>
      </c>
      <c r="R42" s="5">
        <f>VLOOKUP(E42,LevelData,2)</f>
        <v>20</v>
      </c>
      <c r="S42" s="5">
        <f t="shared" si="3"/>
        <v>20</v>
      </c>
      <c r="T42" s="4" t="s">
        <v>157</v>
      </c>
      <c r="U42" s="3">
        <v>36.0</v>
      </c>
      <c r="V42" s="4">
        <f>INT(11+(E42/2))-VLOOKUP(M42,Size,2,0)</f>
        <v>33</v>
      </c>
      <c r="W42" s="3">
        <f t="shared" si="6"/>
        <v>29</v>
      </c>
      <c r="X42" s="4"/>
      <c r="Y42" s="3">
        <v>16.0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7">
        <f t="shared" si="4"/>
        <v>42</v>
      </c>
      <c r="B43" s="8"/>
      <c r="C43" s="7">
        <v>1051.0</v>
      </c>
      <c r="D43" s="8">
        <f t="shared" si="5"/>
        <v>51</v>
      </c>
      <c r="E43" s="7">
        <v>37.0</v>
      </c>
      <c r="F43" s="7">
        <f t="shared" si="1"/>
        <v>14</v>
      </c>
      <c r="G43" s="8">
        <v>0.0</v>
      </c>
      <c r="H43" s="8">
        <v>0.0</v>
      </c>
      <c r="I43" s="8">
        <v>0.0</v>
      </c>
      <c r="J43" s="8">
        <v>0.0</v>
      </c>
      <c r="K43" s="8">
        <v>0.0</v>
      </c>
      <c r="L43" s="8">
        <v>0.0</v>
      </c>
      <c r="M43" s="8" t="s">
        <v>77</v>
      </c>
      <c r="N43" s="9">
        <f>(E43-1)+VLOOKUP(M43,Size,2,0)</f>
        <v>32</v>
      </c>
      <c r="O43" s="9">
        <f>VLOOKUP(E43,LevelData,4)</f>
        <v>37</v>
      </c>
      <c r="P43" s="9">
        <f>O43+VLOOKUP(M43,Size,3,0)</f>
        <v>33</v>
      </c>
      <c r="Q43" s="9">
        <f t="shared" si="2"/>
        <v>20</v>
      </c>
      <c r="R43" s="9">
        <f>VLOOKUP(E43,LevelData,2)</f>
        <v>20</v>
      </c>
      <c r="S43" s="9">
        <f t="shared" si="3"/>
        <v>20</v>
      </c>
      <c r="T43" s="8" t="s">
        <v>158</v>
      </c>
      <c r="U43" s="7">
        <v>36.0</v>
      </c>
      <c r="V43" s="8">
        <f>INT(11+(E43/2))-VLOOKUP(M43,Size,2,0)</f>
        <v>33</v>
      </c>
      <c r="W43" s="7">
        <f t="shared" si="6"/>
        <v>29</v>
      </c>
      <c r="X43" s="8"/>
      <c r="Y43" s="7">
        <v>16.0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ht="12.75" customHeight="1">
      <c r="A44" s="10">
        <f t="shared" si="4"/>
        <v>43</v>
      </c>
      <c r="B44" s="11" t="s">
        <v>81</v>
      </c>
      <c r="C44" s="10">
        <v>1101.0</v>
      </c>
      <c r="D44" s="11">
        <f t="shared" si="5"/>
        <v>52</v>
      </c>
      <c r="E44" s="10">
        <v>38.0</v>
      </c>
      <c r="F44" s="10">
        <f t="shared" si="1"/>
        <v>14</v>
      </c>
      <c r="G44" s="11">
        <v>1.0</v>
      </c>
      <c r="H44" s="11">
        <v>0.0</v>
      </c>
      <c r="I44" s="11">
        <v>0.0</v>
      </c>
      <c r="J44" s="11">
        <v>1.0</v>
      </c>
      <c r="K44" s="11">
        <v>1.0</v>
      </c>
      <c r="L44" s="11">
        <v>1.0</v>
      </c>
      <c r="M44" s="11" t="s">
        <v>77</v>
      </c>
      <c r="N44" s="12">
        <f>(E44-1)+VLOOKUP(M44,Size,2,0)</f>
        <v>33</v>
      </c>
      <c r="O44" s="12">
        <f>VLOOKUP(E44,LevelData,4)</f>
        <v>38</v>
      </c>
      <c r="P44" s="12">
        <f>O44+VLOOKUP(M44,Size,3,0)</f>
        <v>34</v>
      </c>
      <c r="Q44" s="12">
        <f t="shared" si="2"/>
        <v>21</v>
      </c>
      <c r="R44" s="12">
        <f>VLOOKUP(E44,LevelData,2)</f>
        <v>21</v>
      </c>
      <c r="S44" s="12">
        <f t="shared" si="3"/>
        <v>21</v>
      </c>
      <c r="T44" s="11" t="s">
        <v>158</v>
      </c>
      <c r="U44" s="10">
        <v>37.0</v>
      </c>
      <c r="V44" s="11">
        <f>INT(11+(E44/2))-VLOOKUP(M44,Size,2,0)</f>
        <v>34</v>
      </c>
      <c r="W44" s="10">
        <f t="shared" si="6"/>
        <v>30</v>
      </c>
      <c r="X44" s="11" t="s">
        <v>159</v>
      </c>
      <c r="Y44" s="10">
        <v>17.0</v>
      </c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12.75" customHeight="1">
      <c r="A45" s="10">
        <f t="shared" si="4"/>
        <v>44</v>
      </c>
      <c r="B45" s="11"/>
      <c r="C45" s="10">
        <v>1151.0</v>
      </c>
      <c r="D45" s="11">
        <f t="shared" si="5"/>
        <v>53</v>
      </c>
      <c r="E45" s="10">
        <v>39.0</v>
      </c>
      <c r="F45" s="10">
        <f t="shared" si="1"/>
        <v>14</v>
      </c>
      <c r="G45" s="11">
        <v>0.0</v>
      </c>
      <c r="H45" s="11">
        <v>0.0</v>
      </c>
      <c r="I45" s="11">
        <v>1.0</v>
      </c>
      <c r="J45" s="11">
        <v>0.0</v>
      </c>
      <c r="K45" s="11">
        <v>0.0</v>
      </c>
      <c r="L45" s="11">
        <v>0.0</v>
      </c>
      <c r="M45" s="11" t="s">
        <v>77</v>
      </c>
      <c r="N45" s="12">
        <f>(E45-1)+VLOOKUP(M45,Size,2,0)</f>
        <v>34</v>
      </c>
      <c r="O45" s="12">
        <f>VLOOKUP(E45,LevelData,4)</f>
        <v>39</v>
      </c>
      <c r="P45" s="12">
        <f>O45+VLOOKUP(M45,Size,3,0)</f>
        <v>35</v>
      </c>
      <c r="Q45" s="12">
        <f t="shared" si="2"/>
        <v>21</v>
      </c>
      <c r="R45" s="12">
        <f>VLOOKUP(E45,LevelData,2)</f>
        <v>21</v>
      </c>
      <c r="S45" s="12">
        <f t="shared" si="3"/>
        <v>21</v>
      </c>
      <c r="T45" s="11" t="s">
        <v>158</v>
      </c>
      <c r="U45" s="10">
        <v>37.0</v>
      </c>
      <c r="V45" s="11">
        <f>INT(11+(E45/2))-VLOOKUP(M45,Size,2,0)</f>
        <v>34</v>
      </c>
      <c r="W45" s="10">
        <f t="shared" si="6"/>
        <v>30</v>
      </c>
      <c r="X45" s="11" t="s">
        <v>160</v>
      </c>
      <c r="Y45" s="10">
        <v>17.0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12.75" customHeight="1">
      <c r="A46" s="10">
        <f t="shared" si="4"/>
        <v>45</v>
      </c>
      <c r="B46" s="11"/>
      <c r="C46" s="10">
        <v>1201.0</v>
      </c>
      <c r="D46" s="11">
        <f t="shared" si="5"/>
        <v>54</v>
      </c>
      <c r="E46" s="10">
        <v>40.0</v>
      </c>
      <c r="F46" s="10">
        <f t="shared" si="1"/>
        <v>14</v>
      </c>
      <c r="G46" s="11">
        <v>1.0</v>
      </c>
      <c r="H46" s="11">
        <v>0.0</v>
      </c>
      <c r="I46" s="11">
        <v>0.0</v>
      </c>
      <c r="J46" s="11">
        <v>0.0</v>
      </c>
      <c r="K46" s="11">
        <v>1.0</v>
      </c>
      <c r="L46" s="11">
        <v>0.0</v>
      </c>
      <c r="M46" s="11" t="s">
        <v>77</v>
      </c>
      <c r="N46" s="12">
        <f>(E46-1)+VLOOKUP(M46,Size,2,0)</f>
        <v>35</v>
      </c>
      <c r="O46" s="12">
        <f>VLOOKUP(E46,LevelData,4)</f>
        <v>40</v>
      </c>
      <c r="P46" s="12">
        <f>O46+VLOOKUP(M46,Size,3,0)</f>
        <v>36</v>
      </c>
      <c r="Q46" s="12">
        <f t="shared" si="2"/>
        <v>22</v>
      </c>
      <c r="R46" s="12">
        <f>VLOOKUP(E46,LevelData,2)</f>
        <v>22</v>
      </c>
      <c r="S46" s="12">
        <f t="shared" si="3"/>
        <v>22</v>
      </c>
      <c r="T46" s="11" t="s">
        <v>161</v>
      </c>
      <c r="U46" s="10">
        <v>38.0</v>
      </c>
      <c r="V46" s="11">
        <f>INT(11+(E46/2))-VLOOKUP(M46,Size,2,0)</f>
        <v>35</v>
      </c>
      <c r="W46" s="10">
        <f t="shared" si="6"/>
        <v>31</v>
      </c>
      <c r="X46" s="11"/>
      <c r="Y46" s="10">
        <v>18.0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2.75" customHeight="1">
      <c r="A47" s="1">
        <f t="shared" si="4"/>
        <v>46</v>
      </c>
      <c r="B47" s="2"/>
      <c r="C47" s="1" t="s">
        <v>84</v>
      </c>
      <c r="D47" s="2">
        <f t="shared" si="5"/>
        <v>55</v>
      </c>
      <c r="E47" s="1">
        <v>40.0</v>
      </c>
      <c r="F47" s="1">
        <f t="shared" si="1"/>
        <v>15</v>
      </c>
      <c r="G47" s="2">
        <v>0.0</v>
      </c>
      <c r="H47" s="2">
        <v>0.0</v>
      </c>
      <c r="I47" s="2">
        <v>0.0</v>
      </c>
      <c r="J47" s="2">
        <v>1.0</v>
      </c>
      <c r="K47" s="2">
        <v>0.0</v>
      </c>
      <c r="L47" s="2">
        <v>0.0</v>
      </c>
      <c r="M47" s="2" t="s">
        <v>77</v>
      </c>
      <c r="N47" s="13">
        <f>(E47-1)+VLOOKUP(M47,Size,2,0)</f>
        <v>35</v>
      </c>
      <c r="O47" s="13">
        <f>VLOOKUP(E47,LevelData,4)</f>
        <v>40</v>
      </c>
      <c r="P47" s="13">
        <f>O47+VLOOKUP(M47,Size,3,0)</f>
        <v>36</v>
      </c>
      <c r="Q47" s="13">
        <f t="shared" si="2"/>
        <v>22</v>
      </c>
      <c r="R47" s="13">
        <f>VLOOKUP(E47,LevelData,2)</f>
        <v>22</v>
      </c>
      <c r="S47" s="13">
        <f t="shared" si="3"/>
        <v>22</v>
      </c>
      <c r="T47" s="2" t="s">
        <v>161</v>
      </c>
      <c r="U47" s="1">
        <v>38.0</v>
      </c>
      <c r="V47" s="2">
        <f>INT(11+(E47/2))-VLOOKUP(M47,Size,2,0)</f>
        <v>35</v>
      </c>
      <c r="W47" s="1">
        <f t="shared" si="6"/>
        <v>31</v>
      </c>
      <c r="X47" s="2"/>
      <c r="Y47" s="1">
        <v>18.0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2.75" customHeight="1">
      <c r="A48" s="3">
        <f t="shared" si="4"/>
        <v>47</v>
      </c>
      <c r="B48" s="4" t="s">
        <v>89</v>
      </c>
      <c r="C48" s="3" t="s">
        <v>86</v>
      </c>
      <c r="D48" s="4">
        <f t="shared" si="5"/>
        <v>56</v>
      </c>
      <c r="E48" s="3">
        <v>41.0</v>
      </c>
      <c r="F48" s="3">
        <f t="shared" si="1"/>
        <v>15</v>
      </c>
      <c r="G48" s="4">
        <v>1.0</v>
      </c>
      <c r="H48" s="4">
        <v>0.0</v>
      </c>
      <c r="I48" s="4">
        <v>1.0</v>
      </c>
      <c r="J48" s="4">
        <v>1.0</v>
      </c>
      <c r="K48" s="4">
        <v>1.0</v>
      </c>
      <c r="L48" s="4">
        <v>1.0</v>
      </c>
      <c r="M48" s="4" t="s">
        <v>162</v>
      </c>
      <c r="N48" s="5">
        <f>(E48-1)+VLOOKUP(M48,Size,2,0)</f>
        <v>32</v>
      </c>
      <c r="O48" s="5">
        <f>VLOOKUP(E48,LevelData,4)</f>
        <v>41</v>
      </c>
      <c r="P48" s="5">
        <f>O48+VLOOKUP(M48,Size,3,0)</f>
        <v>33</v>
      </c>
      <c r="Q48" s="5">
        <f t="shared" si="2"/>
        <v>22</v>
      </c>
      <c r="R48" s="5">
        <f>VLOOKUP(E48,LevelData,2)</f>
        <v>22</v>
      </c>
      <c r="S48" s="5">
        <f t="shared" si="3"/>
        <v>22</v>
      </c>
      <c r="T48" s="4" t="s">
        <v>163</v>
      </c>
      <c r="U48" s="3">
        <v>39.0</v>
      </c>
      <c r="V48" s="4">
        <f>INT(11+(E48/2))-VLOOKUP(M48,Size,2,0)</f>
        <v>39</v>
      </c>
      <c r="W48" s="3">
        <f t="shared" si="6"/>
        <v>31</v>
      </c>
      <c r="X48" s="4"/>
      <c r="Y48" s="3">
        <v>19.0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12.75" customHeight="1">
      <c r="A49" s="10"/>
      <c r="B49" s="11"/>
      <c r="C49" s="10"/>
      <c r="D49" s="11"/>
      <c r="E49" s="10"/>
      <c r="F49" s="10"/>
      <c r="G49" s="11"/>
      <c r="H49" s="11"/>
      <c r="I49" s="11"/>
      <c r="J49" s="11"/>
      <c r="K49" s="11"/>
      <c r="L49" s="11"/>
      <c r="M49" s="14" t="str">
        <f>HYPERLINK("http://www.geocities.com/galliard6/dragons_sheet.html","Back")</f>
        <v>Back</v>
      </c>
      <c r="N49" s="11"/>
      <c r="O49" s="11"/>
      <c r="P49" s="11"/>
      <c r="Q49" s="11"/>
      <c r="R49" s="11"/>
      <c r="S49" s="11"/>
      <c r="T49" s="11"/>
      <c r="U49" s="10"/>
      <c r="V49" s="11"/>
      <c r="W49" s="10"/>
      <c r="X49" s="11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12.75" customHeight="1">
      <c r="A50" s="10"/>
      <c r="B50" s="11"/>
      <c r="C50" s="10"/>
      <c r="D50" s="11"/>
      <c r="E50" s="10"/>
      <c r="F50" s="1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0"/>
      <c r="V50" s="11"/>
      <c r="W50" s="10"/>
      <c r="X50" s="11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12.75" customHeight="1">
      <c r="A51" s="10"/>
      <c r="B51" s="11"/>
      <c r="C51" s="10"/>
      <c r="D51" s="11"/>
      <c r="E51" s="10"/>
      <c r="F51" s="1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0"/>
      <c r="V51" s="11"/>
      <c r="W51" s="10"/>
      <c r="X51" s="1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2.75" customHeight="1">
      <c r="A52" s="10"/>
      <c r="B52" s="11"/>
      <c r="C52" s="10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/>
      <c r="V52" s="11"/>
      <c r="W52" s="10"/>
      <c r="X52" s="1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2.75" customHeight="1">
      <c r="A53" s="10"/>
      <c r="B53" s="11"/>
      <c r="C53" s="10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/>
      <c r="V53" s="11"/>
      <c r="W53" s="10"/>
      <c r="X53" s="11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2.75" customHeight="1">
      <c r="A54" s="10"/>
      <c r="B54" s="11"/>
      <c r="C54" s="10"/>
      <c r="D54" s="11"/>
      <c r="E54" s="10"/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1"/>
      <c r="W54" s="10"/>
      <c r="X54" s="11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2.75" customHeight="1">
      <c r="A55" s="10"/>
      <c r="B55" s="11"/>
      <c r="C55" s="10"/>
      <c r="D55" s="11"/>
      <c r="E55" s="10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/>
      <c r="V55" s="11"/>
      <c r="W55" s="10"/>
      <c r="X55" s="11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2.75" customHeight="1">
      <c r="A56" s="10"/>
      <c r="B56" s="11"/>
      <c r="C56" s="10"/>
      <c r="D56" s="11"/>
      <c r="E56" s="10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/>
      <c r="V56" s="11"/>
      <c r="W56" s="10"/>
      <c r="X56" s="11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2.75" customHeight="1">
      <c r="A57" s="10"/>
      <c r="B57" s="11"/>
      <c r="C57" s="10"/>
      <c r="D57" s="11"/>
      <c r="E57" s="10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/>
      <c r="V57" s="11"/>
      <c r="W57" s="10"/>
      <c r="X57" s="11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2.75" customHeight="1">
      <c r="A58" s="10"/>
      <c r="B58" s="11"/>
      <c r="C58" s="10"/>
      <c r="D58" s="11"/>
      <c r="E58" s="10"/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/>
      <c r="V58" s="11"/>
      <c r="W58" s="10"/>
      <c r="X58" s="11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2.75" customHeight="1">
      <c r="A59" s="10"/>
      <c r="B59" s="11"/>
      <c r="C59" s="10"/>
      <c r="D59" s="11"/>
      <c r="E59" s="10"/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/>
      <c r="V59" s="11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2.75" customHeight="1">
      <c r="A60" s="10"/>
      <c r="B60" s="11"/>
      <c r="C60" s="10"/>
      <c r="D60" s="11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/>
      <c r="V60" s="11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2.75" customHeight="1">
      <c r="A61" s="10"/>
      <c r="B61" s="11"/>
      <c r="C61" s="10"/>
      <c r="D61" s="11"/>
      <c r="E61" s="10"/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/>
      <c r="V61" s="11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2.75" customHeight="1">
      <c r="A62" s="10"/>
      <c r="B62" s="11"/>
      <c r="C62" s="10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/>
      <c r="V62" s="11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2.75" customHeight="1">
      <c r="A63" s="10"/>
      <c r="B63" s="11"/>
      <c r="C63" s="10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2.75" customHeight="1">
      <c r="A64" s="10"/>
      <c r="B64" s="11"/>
      <c r="C64" s="10"/>
      <c r="D64" s="11"/>
      <c r="E64" s="10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2.75" customHeight="1">
      <c r="A65" s="10"/>
      <c r="B65" s="11"/>
      <c r="C65" s="10"/>
      <c r="D65" s="11"/>
      <c r="E65" s="10"/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2.75" customHeight="1">
      <c r="A66" s="10"/>
      <c r="B66" s="11"/>
      <c r="C66" s="10"/>
      <c r="D66" s="11"/>
      <c r="E66" s="10"/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2.75" customHeight="1">
      <c r="A67" s="10"/>
      <c r="B67" s="11"/>
      <c r="C67" s="10"/>
      <c r="D67" s="11"/>
      <c r="E67" s="10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2.75" customHeight="1">
      <c r="A68" s="10"/>
      <c r="B68" s="11"/>
      <c r="C68" s="10"/>
      <c r="D68" s="11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2.75" customHeight="1">
      <c r="A69" s="10"/>
      <c r="B69" s="11"/>
      <c r="C69" s="10"/>
      <c r="D69" s="11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2.75" customHeight="1">
      <c r="A70" s="10"/>
      <c r="B70" s="11"/>
      <c r="C70" s="10"/>
      <c r="D70" s="11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2.75" customHeight="1">
      <c r="A71" s="10"/>
      <c r="B71" s="11"/>
      <c r="C71" s="10"/>
      <c r="D71" s="11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2.75" customHeight="1">
      <c r="A72" s="10"/>
      <c r="B72" s="11"/>
      <c r="C72" s="10"/>
      <c r="D72" s="11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2.75" customHeight="1">
      <c r="A73" s="10"/>
      <c r="B73" s="11"/>
      <c r="C73" s="10"/>
      <c r="D73" s="11"/>
      <c r="E73" s="10"/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2.75" customHeight="1">
      <c r="A74" s="10"/>
      <c r="B74" s="11"/>
      <c r="C74" s="10"/>
      <c r="D74" s="11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2.75" customHeight="1">
      <c r="A75" s="10"/>
      <c r="B75" s="11"/>
      <c r="C75" s="10"/>
      <c r="D75" s="11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2.75" customHeight="1">
      <c r="A76" s="10"/>
      <c r="B76" s="11"/>
      <c r="C76" s="10"/>
      <c r="D76" s="11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2.75" customHeight="1">
      <c r="A77" s="10"/>
      <c r="B77" s="11"/>
      <c r="C77" s="10"/>
      <c r="D77" s="11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2.75" customHeight="1">
      <c r="A78" s="10"/>
      <c r="B78" s="11"/>
      <c r="C78" s="10"/>
      <c r="D78" s="11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2.75" customHeight="1">
      <c r="A79" s="10"/>
      <c r="B79" s="11"/>
      <c r="C79" s="10"/>
      <c r="D79" s="11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2.75" customHeight="1">
      <c r="A80" s="10"/>
      <c r="B80" s="11"/>
      <c r="C80" s="10"/>
      <c r="D80" s="11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2.75" customHeight="1">
      <c r="A81" s="10"/>
      <c r="B81" s="11"/>
      <c r="C81" s="10"/>
      <c r="D81" s="11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2.75" customHeight="1">
      <c r="A82" s="10"/>
      <c r="B82" s="11"/>
      <c r="C82" s="10"/>
      <c r="D82" s="11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2.75" customHeight="1">
      <c r="A83" s="10"/>
      <c r="B83" s="11"/>
      <c r="C83" s="10"/>
      <c r="D83" s="11"/>
      <c r="E83" s="10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2.75" customHeight="1">
      <c r="A84" s="10"/>
      <c r="B84" s="11"/>
      <c r="C84" s="10"/>
      <c r="D84" s="11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2.75" customHeight="1">
      <c r="A85" s="10"/>
      <c r="B85" s="11"/>
      <c r="C85" s="10"/>
      <c r="D85" s="11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2.75" customHeight="1">
      <c r="A86" s="10"/>
      <c r="B86" s="11"/>
      <c r="C86" s="10"/>
      <c r="D86" s="11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2.75" customHeight="1">
      <c r="A87" s="10"/>
      <c r="B87" s="11"/>
      <c r="C87" s="10"/>
      <c r="D87" s="11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2.75" customHeight="1">
      <c r="A88" s="10"/>
      <c r="B88" s="11"/>
      <c r="C88" s="10"/>
      <c r="D88" s="11"/>
      <c r="E88" s="10"/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2.75" customHeight="1">
      <c r="A89" s="10"/>
      <c r="B89" s="11"/>
      <c r="C89" s="10"/>
      <c r="D89" s="11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2.75" customHeight="1">
      <c r="A90" s="10"/>
      <c r="B90" s="11"/>
      <c r="C90" s="10"/>
      <c r="D90" s="11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2.75" customHeight="1">
      <c r="A91" s="10"/>
      <c r="B91" s="11"/>
      <c r="C91" s="10"/>
      <c r="D91" s="11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2.75" customHeight="1">
      <c r="A92" s="10"/>
      <c r="B92" s="11"/>
      <c r="C92" s="10"/>
      <c r="D92" s="11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2.75" customHeight="1">
      <c r="A93" s="10"/>
      <c r="B93" s="11"/>
      <c r="C93" s="10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2.75" customHeight="1">
      <c r="A94" s="10"/>
      <c r="B94" s="11"/>
      <c r="C94" s="10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2.75" customHeight="1">
      <c r="A95" s="10"/>
      <c r="B95" s="11"/>
      <c r="C95" s="10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2.75" customHeight="1">
      <c r="A96" s="10"/>
      <c r="B96" s="11"/>
      <c r="C96" s="10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2.75" customHeight="1">
      <c r="A97" s="10"/>
      <c r="B97" s="11"/>
      <c r="C97" s="10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2.75" customHeight="1">
      <c r="A98" s="10"/>
      <c r="B98" s="11"/>
      <c r="C98" s="10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2.75" customHeight="1">
      <c r="A99" s="10"/>
      <c r="B99" s="11"/>
      <c r="C99" s="10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2.75" customHeight="1">
      <c r="A100" s="10"/>
      <c r="B100" s="11"/>
      <c r="C100" s="10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2.75" customHeight="1">
      <c r="A101" s="10"/>
      <c r="B101" s="11"/>
      <c r="C101" s="10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2.75" customHeight="1">
      <c r="A102" s="10"/>
      <c r="B102" s="11"/>
      <c r="C102" s="10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2.75" customHeight="1">
      <c r="A103" s="10"/>
      <c r="B103" s="11"/>
      <c r="C103" s="10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2.75" customHeight="1">
      <c r="A104" s="10"/>
      <c r="B104" s="11"/>
      <c r="C104" s="10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2.75" customHeight="1">
      <c r="A105" s="10"/>
      <c r="B105" s="11"/>
      <c r="C105" s="10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2.75" customHeight="1">
      <c r="A106" s="10"/>
      <c r="B106" s="11"/>
      <c r="C106" s="10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2.75" customHeight="1">
      <c r="A107" s="10"/>
      <c r="B107" s="11"/>
      <c r="C107" s="10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2.75" customHeight="1">
      <c r="A108" s="10"/>
      <c r="B108" s="11"/>
      <c r="C108" s="10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2.75" customHeight="1">
      <c r="A109" s="10"/>
      <c r="B109" s="11"/>
      <c r="C109" s="10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2.75" customHeight="1">
      <c r="A110" s="10"/>
      <c r="B110" s="11"/>
      <c r="C110" s="10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2.75" customHeight="1">
      <c r="A111" s="10"/>
      <c r="B111" s="11"/>
      <c r="C111" s="10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2.75" customHeight="1">
      <c r="A112" s="10"/>
      <c r="B112" s="11"/>
      <c r="C112" s="10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2.75" customHeight="1">
      <c r="A113" s="10"/>
      <c r="B113" s="11"/>
      <c r="C113" s="10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2.75" customHeight="1">
      <c r="A114" s="10"/>
      <c r="B114" s="11"/>
      <c r="C114" s="10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2.75" customHeight="1">
      <c r="A115" s="10"/>
      <c r="B115" s="11"/>
      <c r="C115" s="10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2.75" customHeight="1">
      <c r="A116" s="10"/>
      <c r="B116" s="11"/>
      <c r="C116" s="10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2.75" customHeight="1">
      <c r="A117" s="10"/>
      <c r="B117" s="11"/>
      <c r="C117" s="10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2.75" customHeight="1">
      <c r="A118" s="10"/>
      <c r="B118" s="11"/>
      <c r="C118" s="10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2.75" customHeight="1">
      <c r="A119" s="10"/>
      <c r="B119" s="11"/>
      <c r="C119" s="10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2.75" customHeight="1">
      <c r="A120" s="10"/>
      <c r="B120" s="11"/>
      <c r="C120" s="10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2.75" customHeight="1">
      <c r="A121" s="10"/>
      <c r="B121" s="11"/>
      <c r="C121" s="10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2.75" customHeight="1">
      <c r="A122" s="10"/>
      <c r="B122" s="11"/>
      <c r="C122" s="10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2.75" customHeight="1">
      <c r="A123" s="10"/>
      <c r="B123" s="11"/>
      <c r="C123" s="10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2.75" customHeight="1">
      <c r="A124" s="10"/>
      <c r="B124" s="11"/>
      <c r="C124" s="10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2.75" customHeight="1">
      <c r="A125" s="10"/>
      <c r="B125" s="11"/>
      <c r="C125" s="10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2.75" customHeight="1">
      <c r="A126" s="10"/>
      <c r="B126" s="11"/>
      <c r="C126" s="10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2.75" customHeight="1">
      <c r="A127" s="10"/>
      <c r="B127" s="11"/>
      <c r="C127" s="10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2.75" customHeight="1">
      <c r="A128" s="10"/>
      <c r="B128" s="11"/>
      <c r="C128" s="10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2.75" customHeight="1">
      <c r="A129" s="10"/>
      <c r="B129" s="11"/>
      <c r="C129" s="10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2.75" customHeight="1">
      <c r="A130" s="10"/>
      <c r="B130" s="11"/>
      <c r="C130" s="10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2.75" customHeight="1">
      <c r="A131" s="10"/>
      <c r="B131" s="11"/>
      <c r="C131" s="10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2.75" customHeight="1">
      <c r="A132" s="10"/>
      <c r="B132" s="11"/>
      <c r="C132" s="10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2.75" customHeight="1">
      <c r="A133" s="10"/>
      <c r="B133" s="11"/>
      <c r="C133" s="10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2.75" customHeight="1">
      <c r="A134" s="10"/>
      <c r="B134" s="11"/>
      <c r="C134" s="10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2.75" customHeight="1">
      <c r="A135" s="10"/>
      <c r="B135" s="11"/>
      <c r="C135" s="10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2.75" customHeight="1">
      <c r="A136" s="10"/>
      <c r="B136" s="11"/>
      <c r="C136" s="10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2.75" customHeight="1">
      <c r="A137" s="10"/>
      <c r="B137" s="11"/>
      <c r="C137" s="10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2.75" customHeight="1">
      <c r="A138" s="10"/>
      <c r="B138" s="11"/>
      <c r="C138" s="10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2.75" customHeight="1">
      <c r="A139" s="10"/>
      <c r="B139" s="11"/>
      <c r="C139" s="10"/>
      <c r="D139" s="11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2.75" customHeight="1">
      <c r="A140" s="10"/>
      <c r="B140" s="11"/>
      <c r="C140" s="10"/>
      <c r="D140" s="11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2.75" customHeight="1">
      <c r="A141" s="10"/>
      <c r="B141" s="11"/>
      <c r="C141" s="10"/>
      <c r="D141" s="11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2.75" customHeight="1">
      <c r="A142" s="10"/>
      <c r="B142" s="11"/>
      <c r="C142" s="10"/>
      <c r="D142" s="11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2.75" customHeight="1">
      <c r="A143" s="10"/>
      <c r="B143" s="11"/>
      <c r="C143" s="10"/>
      <c r="D143" s="11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2.75" customHeight="1">
      <c r="A144" s="10"/>
      <c r="B144" s="11"/>
      <c r="C144" s="10"/>
      <c r="D144" s="11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2.75" customHeight="1">
      <c r="A145" s="10"/>
      <c r="B145" s="11"/>
      <c r="C145" s="10"/>
      <c r="D145" s="11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/>
      <c r="V145" s="11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2.75" customHeight="1">
      <c r="A146" s="10"/>
      <c r="B146" s="11"/>
      <c r="C146" s="10"/>
      <c r="D146" s="11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/>
      <c r="V146" s="11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2.75" customHeight="1">
      <c r="A147" s="10"/>
      <c r="B147" s="11"/>
      <c r="C147" s="10"/>
      <c r="D147" s="11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/>
      <c r="V147" s="11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2.75" customHeight="1">
      <c r="A148" s="10"/>
      <c r="B148" s="11"/>
      <c r="C148" s="10"/>
      <c r="D148" s="11"/>
      <c r="E148" s="10"/>
      <c r="F148" s="1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/>
      <c r="V148" s="11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2.75" customHeight="1">
      <c r="A149" s="10"/>
      <c r="B149" s="11"/>
      <c r="C149" s="10"/>
      <c r="D149" s="11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2.75" customHeight="1">
      <c r="A150" s="10"/>
      <c r="B150" s="11"/>
      <c r="C150" s="10"/>
      <c r="D150" s="11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2.75" customHeight="1">
      <c r="A151" s="10"/>
      <c r="B151" s="11"/>
      <c r="C151" s="10"/>
      <c r="D151" s="11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2.75" customHeight="1">
      <c r="A152" s="10"/>
      <c r="B152" s="11"/>
      <c r="C152" s="10"/>
      <c r="D152" s="11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2.75" customHeight="1">
      <c r="A153" s="10"/>
      <c r="B153" s="11"/>
      <c r="C153" s="10"/>
      <c r="D153" s="11"/>
      <c r="E153" s="10"/>
      <c r="F153" s="1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2.75" customHeight="1">
      <c r="A154" s="10"/>
      <c r="B154" s="11"/>
      <c r="C154" s="10"/>
      <c r="D154" s="11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2.75" customHeight="1">
      <c r="A155" s="10"/>
      <c r="B155" s="11"/>
      <c r="C155" s="10"/>
      <c r="D155" s="11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  <c r="W155" s="10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2.75" customHeight="1">
      <c r="A156" s="10"/>
      <c r="B156" s="11"/>
      <c r="C156" s="10"/>
      <c r="D156" s="11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  <c r="W156" s="10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2.75" customHeight="1">
      <c r="A157" s="10"/>
      <c r="B157" s="11"/>
      <c r="C157" s="10"/>
      <c r="D157" s="11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  <c r="W157" s="10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2.75" customHeight="1">
      <c r="A158" s="10"/>
      <c r="B158" s="11"/>
      <c r="C158" s="10"/>
      <c r="D158" s="11"/>
      <c r="E158" s="10"/>
      <c r="F158" s="1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  <c r="W158" s="10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2.75" customHeight="1">
      <c r="A159" s="10"/>
      <c r="B159" s="11"/>
      <c r="C159" s="10"/>
      <c r="D159" s="11"/>
      <c r="E159" s="10"/>
      <c r="F159" s="1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2.75" customHeight="1">
      <c r="A160" s="10"/>
      <c r="B160" s="11"/>
      <c r="C160" s="10"/>
      <c r="D160" s="11"/>
      <c r="E160" s="10"/>
      <c r="F160" s="1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  <c r="W160" s="10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2.75" customHeight="1">
      <c r="A161" s="10"/>
      <c r="B161" s="11"/>
      <c r="C161" s="10"/>
      <c r="D161" s="11"/>
      <c r="E161" s="10"/>
      <c r="F161" s="1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/>
      <c r="V161" s="11"/>
      <c r="W161" s="10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2.75" customHeight="1">
      <c r="A162" s="10"/>
      <c r="B162" s="11"/>
      <c r="C162" s="10"/>
      <c r="D162" s="11"/>
      <c r="E162" s="10"/>
      <c r="F162" s="1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/>
      <c r="V162" s="11"/>
      <c r="W162" s="10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2.75" customHeight="1">
      <c r="A163" s="10"/>
      <c r="B163" s="11"/>
      <c r="C163" s="10"/>
      <c r="D163" s="11"/>
      <c r="E163" s="10"/>
      <c r="F163" s="1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/>
      <c r="V163" s="11"/>
      <c r="W163" s="10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2.75" customHeight="1">
      <c r="A164" s="10"/>
      <c r="B164" s="11"/>
      <c r="C164" s="10"/>
      <c r="D164" s="11"/>
      <c r="E164" s="10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  <c r="W164" s="10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2.75" customHeight="1">
      <c r="A165" s="10"/>
      <c r="B165" s="11"/>
      <c r="C165" s="10"/>
      <c r="D165" s="11"/>
      <c r="E165" s="10"/>
      <c r="F165" s="1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  <c r="W165" s="10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2.75" customHeight="1">
      <c r="A166" s="10"/>
      <c r="B166" s="11"/>
      <c r="C166" s="10"/>
      <c r="D166" s="11"/>
      <c r="E166" s="10"/>
      <c r="F166" s="1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/>
      <c r="V166" s="11"/>
      <c r="W166" s="10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2.75" customHeight="1">
      <c r="A167" s="10"/>
      <c r="B167" s="11"/>
      <c r="C167" s="10"/>
      <c r="D167" s="11"/>
      <c r="E167" s="10"/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/>
      <c r="V167" s="11"/>
      <c r="W167" s="10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2.75" customHeight="1">
      <c r="A168" s="10"/>
      <c r="B168" s="11"/>
      <c r="C168" s="10"/>
      <c r="D168" s="11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/>
      <c r="V168" s="11"/>
      <c r="W168" s="10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2.75" customHeight="1">
      <c r="A169" s="10"/>
      <c r="B169" s="11"/>
      <c r="C169" s="10"/>
      <c r="D169" s="11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/>
      <c r="V169" s="11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2.75" customHeight="1">
      <c r="A170" s="10"/>
      <c r="B170" s="11"/>
      <c r="C170" s="10"/>
      <c r="D170" s="11"/>
      <c r="E170" s="10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/>
      <c r="V170" s="11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2.75" customHeight="1">
      <c r="A171" s="10"/>
      <c r="B171" s="11"/>
      <c r="C171" s="10"/>
      <c r="D171" s="11"/>
      <c r="E171" s="10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/>
      <c r="V171" s="11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2.75" customHeight="1">
      <c r="A172" s="10"/>
      <c r="B172" s="11"/>
      <c r="C172" s="10"/>
      <c r="D172" s="11"/>
      <c r="E172" s="10"/>
      <c r="F172" s="1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/>
      <c r="V172" s="11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2.75" customHeight="1">
      <c r="A173" s="10"/>
      <c r="B173" s="11"/>
      <c r="C173" s="10"/>
      <c r="D173" s="11"/>
      <c r="E173" s="10"/>
      <c r="F173" s="1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/>
      <c r="V173" s="11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2.75" customHeight="1">
      <c r="A174" s="10"/>
      <c r="B174" s="11"/>
      <c r="C174" s="10"/>
      <c r="D174" s="11"/>
      <c r="E174" s="10"/>
      <c r="F174" s="1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/>
      <c r="V174" s="11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2.75" customHeight="1">
      <c r="A175" s="10"/>
      <c r="B175" s="11"/>
      <c r="C175" s="10"/>
      <c r="D175" s="11"/>
      <c r="E175" s="10"/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/>
      <c r="V175" s="11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2.75" customHeight="1">
      <c r="A176" s="10"/>
      <c r="B176" s="11"/>
      <c r="C176" s="10"/>
      <c r="D176" s="11"/>
      <c r="E176" s="10"/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/>
      <c r="V176" s="11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2.75" customHeight="1">
      <c r="A177" s="10"/>
      <c r="B177" s="11"/>
      <c r="C177" s="10"/>
      <c r="D177" s="11"/>
      <c r="E177" s="10"/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/>
      <c r="V177" s="11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2.75" customHeight="1">
      <c r="A178" s="10"/>
      <c r="B178" s="11"/>
      <c r="C178" s="10"/>
      <c r="D178" s="11"/>
      <c r="E178" s="10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/>
      <c r="V178" s="11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2.75" customHeight="1">
      <c r="A179" s="10"/>
      <c r="B179" s="11"/>
      <c r="C179" s="10"/>
      <c r="D179" s="11"/>
      <c r="E179" s="10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/>
      <c r="V179" s="11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2.75" customHeight="1">
      <c r="A180" s="10"/>
      <c r="B180" s="11"/>
      <c r="C180" s="10"/>
      <c r="D180" s="11"/>
      <c r="E180" s="10"/>
      <c r="F180" s="1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/>
      <c r="V180" s="11"/>
      <c r="W180" s="10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2.75" customHeight="1">
      <c r="A181" s="10"/>
      <c r="B181" s="11"/>
      <c r="C181" s="10"/>
      <c r="D181" s="11"/>
      <c r="E181" s="10"/>
      <c r="F181" s="1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/>
      <c r="V181" s="11"/>
      <c r="W181" s="10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2.75" customHeight="1">
      <c r="A182" s="10"/>
      <c r="B182" s="11"/>
      <c r="C182" s="10"/>
      <c r="D182" s="11"/>
      <c r="E182" s="10"/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/>
      <c r="V182" s="11"/>
      <c r="W182" s="10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2.75" customHeight="1">
      <c r="A183" s="10"/>
      <c r="B183" s="11"/>
      <c r="C183" s="10"/>
      <c r="D183" s="11"/>
      <c r="E183" s="10"/>
      <c r="F183" s="1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/>
      <c r="V183" s="11"/>
      <c r="W183" s="10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2.75" customHeight="1">
      <c r="A184" s="10"/>
      <c r="B184" s="11"/>
      <c r="C184" s="10"/>
      <c r="D184" s="11"/>
      <c r="E184" s="10"/>
      <c r="F184" s="1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/>
      <c r="V184" s="11"/>
      <c r="W184" s="10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2.75" customHeight="1">
      <c r="A185" s="10"/>
      <c r="B185" s="11"/>
      <c r="C185" s="10"/>
      <c r="D185" s="11"/>
      <c r="E185" s="10"/>
      <c r="F185" s="1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/>
      <c r="V185" s="11"/>
      <c r="W185" s="10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2.75" customHeight="1">
      <c r="A186" s="10"/>
      <c r="B186" s="11"/>
      <c r="C186" s="10"/>
      <c r="D186" s="11"/>
      <c r="E186" s="10"/>
      <c r="F186" s="1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/>
      <c r="V186" s="11"/>
      <c r="W186" s="10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2.75" customHeight="1">
      <c r="A187" s="10"/>
      <c r="B187" s="11"/>
      <c r="C187" s="10"/>
      <c r="D187" s="11"/>
      <c r="E187" s="10"/>
      <c r="F187" s="1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/>
      <c r="V187" s="11"/>
      <c r="W187" s="10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2.75" customHeight="1">
      <c r="A188" s="10"/>
      <c r="B188" s="11"/>
      <c r="C188" s="10"/>
      <c r="D188" s="11"/>
      <c r="E188" s="10"/>
      <c r="F188" s="1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/>
      <c r="V188" s="11"/>
      <c r="W188" s="10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2.75" customHeight="1">
      <c r="A189" s="10"/>
      <c r="B189" s="11"/>
      <c r="C189" s="10"/>
      <c r="D189" s="11"/>
      <c r="E189" s="10"/>
      <c r="F189" s="1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/>
      <c r="V189" s="11"/>
      <c r="W189" s="10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2.75" customHeight="1">
      <c r="A190" s="10"/>
      <c r="B190" s="11"/>
      <c r="C190" s="10"/>
      <c r="D190" s="11"/>
      <c r="E190" s="10"/>
      <c r="F190" s="1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/>
      <c r="V190" s="11"/>
      <c r="W190" s="10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2.75" customHeight="1">
      <c r="A191" s="10"/>
      <c r="B191" s="11"/>
      <c r="C191" s="10"/>
      <c r="D191" s="11"/>
      <c r="E191" s="10"/>
      <c r="F191" s="1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/>
      <c r="V191" s="11"/>
      <c r="W191" s="10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2.75" customHeight="1">
      <c r="A192" s="10"/>
      <c r="B192" s="11"/>
      <c r="C192" s="10"/>
      <c r="D192" s="11"/>
      <c r="E192" s="10"/>
      <c r="F192" s="1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/>
      <c r="V192" s="11"/>
      <c r="W192" s="10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2.75" customHeight="1">
      <c r="A193" s="10"/>
      <c r="B193" s="11"/>
      <c r="C193" s="10"/>
      <c r="D193" s="11"/>
      <c r="E193" s="10"/>
      <c r="F193" s="1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/>
      <c r="V193" s="11"/>
      <c r="W193" s="10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2.75" customHeight="1">
      <c r="A194" s="10"/>
      <c r="B194" s="11"/>
      <c r="C194" s="10"/>
      <c r="D194" s="11"/>
      <c r="E194" s="10"/>
      <c r="F194" s="1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/>
      <c r="V194" s="11"/>
      <c r="W194" s="10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2.75" customHeight="1">
      <c r="A195" s="10"/>
      <c r="B195" s="11"/>
      <c r="C195" s="10"/>
      <c r="D195" s="11"/>
      <c r="E195" s="10"/>
      <c r="F195" s="1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/>
      <c r="V195" s="11"/>
      <c r="W195" s="10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2.75" customHeight="1">
      <c r="A196" s="10"/>
      <c r="B196" s="11"/>
      <c r="C196" s="10"/>
      <c r="D196" s="11"/>
      <c r="E196" s="10"/>
      <c r="F196" s="1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/>
      <c r="V196" s="11"/>
      <c r="W196" s="10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2.75" customHeight="1">
      <c r="A197" s="10"/>
      <c r="B197" s="11"/>
      <c r="C197" s="10"/>
      <c r="D197" s="11"/>
      <c r="E197" s="10"/>
      <c r="F197" s="1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/>
      <c r="V197" s="11"/>
      <c r="W197" s="10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2.75" customHeight="1">
      <c r="A198" s="10"/>
      <c r="B198" s="11"/>
      <c r="C198" s="10"/>
      <c r="D198" s="11"/>
      <c r="E198" s="10"/>
      <c r="F198" s="1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/>
      <c r="V198" s="11"/>
      <c r="W198" s="10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2.75" customHeight="1">
      <c r="A199" s="10"/>
      <c r="B199" s="11"/>
      <c r="C199" s="10"/>
      <c r="D199" s="11"/>
      <c r="E199" s="10"/>
      <c r="F199" s="1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/>
      <c r="V199" s="11"/>
      <c r="W199" s="10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2.75" customHeight="1">
      <c r="A200" s="10"/>
      <c r="B200" s="11"/>
      <c r="C200" s="10"/>
      <c r="D200" s="11"/>
      <c r="E200" s="10"/>
      <c r="F200" s="1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/>
      <c r="V200" s="11"/>
      <c r="W200" s="10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2.75" customHeight="1">
      <c r="A201" s="10"/>
      <c r="B201" s="11"/>
      <c r="C201" s="10"/>
      <c r="D201" s="11"/>
      <c r="E201" s="10"/>
      <c r="F201" s="1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/>
      <c r="V201" s="11"/>
      <c r="W201" s="10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2.75" customHeight="1">
      <c r="A202" s="10"/>
      <c r="B202" s="11"/>
      <c r="C202" s="10"/>
      <c r="D202" s="11"/>
      <c r="E202" s="10"/>
      <c r="F202" s="1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/>
      <c r="V202" s="11"/>
      <c r="W202" s="10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2.75" customHeight="1">
      <c r="A203" s="10"/>
      <c r="B203" s="11"/>
      <c r="C203" s="10"/>
      <c r="D203" s="11"/>
      <c r="E203" s="10"/>
      <c r="F203" s="1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0"/>
      <c r="V203" s="11"/>
      <c r="W203" s="10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2.75" customHeight="1">
      <c r="A204" s="10"/>
      <c r="B204" s="11"/>
      <c r="C204" s="10"/>
      <c r="D204" s="11"/>
      <c r="E204" s="10"/>
      <c r="F204" s="1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0"/>
      <c r="V204" s="11"/>
      <c r="W204" s="10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2.75" customHeight="1">
      <c r="A205" s="10"/>
      <c r="B205" s="11"/>
      <c r="C205" s="10"/>
      <c r="D205" s="11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0"/>
      <c r="V205" s="11"/>
      <c r="W205" s="10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2.75" customHeight="1">
      <c r="A206" s="10"/>
      <c r="B206" s="11"/>
      <c r="C206" s="10"/>
      <c r="D206" s="11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0"/>
      <c r="V206" s="11"/>
      <c r="W206" s="10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2.75" customHeight="1">
      <c r="A207" s="10"/>
      <c r="B207" s="11"/>
      <c r="C207" s="10"/>
      <c r="D207" s="11"/>
      <c r="E207" s="10"/>
      <c r="F207" s="1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0"/>
      <c r="V207" s="11"/>
      <c r="W207" s="10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2.75" customHeight="1">
      <c r="A208" s="10"/>
      <c r="B208" s="11"/>
      <c r="C208" s="10"/>
      <c r="D208" s="11"/>
      <c r="E208" s="10"/>
      <c r="F208" s="1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0"/>
      <c r="V208" s="11"/>
      <c r="W208" s="10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2.75" customHeight="1">
      <c r="A209" s="10"/>
      <c r="B209" s="11"/>
      <c r="C209" s="10"/>
      <c r="D209" s="11"/>
      <c r="E209" s="10"/>
      <c r="F209" s="1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0"/>
      <c r="V209" s="11"/>
      <c r="W209" s="10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2.75" customHeight="1">
      <c r="A210" s="10"/>
      <c r="B210" s="11"/>
      <c r="C210" s="10"/>
      <c r="D210" s="11"/>
      <c r="E210" s="10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0"/>
      <c r="V210" s="11"/>
      <c r="W210" s="10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2.75" customHeight="1">
      <c r="A211" s="10"/>
      <c r="B211" s="11"/>
      <c r="C211" s="10"/>
      <c r="D211" s="11"/>
      <c r="E211" s="10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0"/>
      <c r="V211" s="11"/>
      <c r="W211" s="10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2.75" customHeight="1">
      <c r="A212" s="10"/>
      <c r="B212" s="11"/>
      <c r="C212" s="10"/>
      <c r="D212" s="11"/>
      <c r="E212" s="10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0"/>
      <c r="V212" s="11"/>
      <c r="W212" s="10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2.75" customHeight="1">
      <c r="A213" s="10"/>
      <c r="B213" s="11"/>
      <c r="C213" s="10"/>
      <c r="D213" s="11"/>
      <c r="E213" s="10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0"/>
      <c r="V213" s="11"/>
      <c r="W213" s="10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2.75" customHeight="1">
      <c r="A214" s="10"/>
      <c r="B214" s="11"/>
      <c r="C214" s="10"/>
      <c r="D214" s="11"/>
      <c r="E214" s="10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0"/>
      <c r="V214" s="11"/>
      <c r="W214" s="10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2.75" customHeight="1">
      <c r="A215" s="10"/>
      <c r="B215" s="11"/>
      <c r="C215" s="10"/>
      <c r="D215" s="11"/>
      <c r="E215" s="10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0"/>
      <c r="V215" s="11"/>
      <c r="W215" s="10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2.75" customHeight="1">
      <c r="A216" s="10"/>
      <c r="B216" s="11"/>
      <c r="C216" s="10"/>
      <c r="D216" s="11"/>
      <c r="E216" s="10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0"/>
      <c r="V216" s="11"/>
      <c r="W216" s="10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2.75" customHeight="1">
      <c r="A217" s="10"/>
      <c r="B217" s="11"/>
      <c r="C217" s="10"/>
      <c r="D217" s="11"/>
      <c r="E217" s="10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0"/>
      <c r="V217" s="11"/>
      <c r="W217" s="10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2.75" customHeight="1">
      <c r="A218" s="10"/>
      <c r="B218" s="11"/>
      <c r="C218" s="10"/>
      <c r="D218" s="11"/>
      <c r="E218" s="10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0"/>
      <c r="V218" s="11"/>
      <c r="W218" s="10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2.75" customHeight="1">
      <c r="A219" s="10"/>
      <c r="B219" s="11"/>
      <c r="C219" s="10"/>
      <c r="D219" s="11"/>
      <c r="E219" s="10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0"/>
      <c r="V219" s="11"/>
      <c r="W219" s="10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2.75" customHeight="1">
      <c r="A220" s="10"/>
      <c r="B220" s="11"/>
      <c r="C220" s="10"/>
      <c r="D220" s="11"/>
      <c r="E220" s="10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0"/>
      <c r="V220" s="11"/>
      <c r="W220" s="10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2.75" customHeight="1">
      <c r="A221" s="10"/>
      <c r="B221" s="11"/>
      <c r="C221" s="10"/>
      <c r="D221" s="11"/>
      <c r="E221" s="10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0"/>
      <c r="V221" s="11"/>
      <c r="W221" s="10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2.75" customHeight="1">
      <c r="A222" s="10"/>
      <c r="B222" s="11"/>
      <c r="C222" s="10"/>
      <c r="D222" s="11"/>
      <c r="E222" s="10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0"/>
      <c r="V222" s="11"/>
      <c r="W222" s="10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2.75" customHeight="1">
      <c r="A223" s="10"/>
      <c r="B223" s="11"/>
      <c r="C223" s="10"/>
      <c r="D223" s="11"/>
      <c r="E223" s="10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0"/>
      <c r="V223" s="11"/>
      <c r="W223" s="10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2.75" customHeight="1">
      <c r="A224" s="10"/>
      <c r="B224" s="11"/>
      <c r="C224" s="10"/>
      <c r="D224" s="11"/>
      <c r="E224" s="10"/>
      <c r="F224" s="1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0"/>
      <c r="V224" s="11"/>
      <c r="W224" s="10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2.75" customHeight="1">
      <c r="A225" s="10"/>
      <c r="B225" s="11"/>
      <c r="C225" s="10"/>
      <c r="D225" s="11"/>
      <c r="E225" s="10"/>
      <c r="F225" s="1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0"/>
      <c r="V225" s="11"/>
      <c r="W225" s="10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2.75" customHeight="1">
      <c r="A226" s="10"/>
      <c r="B226" s="11"/>
      <c r="C226" s="10"/>
      <c r="D226" s="11"/>
      <c r="E226" s="10"/>
      <c r="F226" s="1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0"/>
      <c r="V226" s="11"/>
      <c r="W226" s="10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2.75" customHeight="1">
      <c r="A227" s="10"/>
      <c r="B227" s="11"/>
      <c r="C227" s="10"/>
      <c r="D227" s="11"/>
      <c r="E227" s="10"/>
      <c r="F227" s="1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0"/>
      <c r="V227" s="11"/>
      <c r="W227" s="10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2.75" customHeight="1">
      <c r="A228" s="10"/>
      <c r="B228" s="11"/>
      <c r="C228" s="10"/>
      <c r="D228" s="11"/>
      <c r="E228" s="10"/>
      <c r="F228" s="1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0"/>
      <c r="V228" s="11"/>
      <c r="W228" s="10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2.75" customHeight="1">
      <c r="A229" s="10"/>
      <c r="B229" s="11"/>
      <c r="C229" s="10"/>
      <c r="D229" s="11"/>
      <c r="E229" s="10"/>
      <c r="F229" s="1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0"/>
      <c r="V229" s="11"/>
      <c r="W229" s="10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2.75" customHeight="1">
      <c r="A230" s="10"/>
      <c r="B230" s="11"/>
      <c r="C230" s="10"/>
      <c r="D230" s="11"/>
      <c r="E230" s="10"/>
      <c r="F230" s="1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0"/>
      <c r="V230" s="11"/>
      <c r="W230" s="10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2.75" customHeight="1">
      <c r="A231" s="10"/>
      <c r="B231" s="11"/>
      <c r="C231" s="10"/>
      <c r="D231" s="11"/>
      <c r="E231" s="10"/>
      <c r="F231" s="1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0"/>
      <c r="V231" s="11"/>
      <c r="W231" s="10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2.75" customHeight="1">
      <c r="A232" s="10"/>
      <c r="B232" s="11"/>
      <c r="C232" s="10"/>
      <c r="D232" s="11"/>
      <c r="E232" s="10"/>
      <c r="F232" s="1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0"/>
      <c r="V232" s="11"/>
      <c r="W232" s="10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2.75" customHeight="1">
      <c r="A233" s="10"/>
      <c r="B233" s="11"/>
      <c r="C233" s="10"/>
      <c r="D233" s="11"/>
      <c r="E233" s="10"/>
      <c r="F233" s="1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0"/>
      <c r="V233" s="11"/>
      <c r="W233" s="10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2.75" customHeight="1">
      <c r="A234" s="10"/>
      <c r="B234" s="11"/>
      <c r="C234" s="10"/>
      <c r="D234" s="11"/>
      <c r="E234" s="10"/>
      <c r="F234" s="1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0"/>
      <c r="V234" s="11"/>
      <c r="W234" s="10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2.75" customHeight="1">
      <c r="A235" s="10"/>
      <c r="B235" s="11"/>
      <c r="C235" s="10"/>
      <c r="D235" s="11"/>
      <c r="E235" s="10"/>
      <c r="F235" s="1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0"/>
      <c r="V235" s="11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2.75" customHeight="1">
      <c r="A236" s="10"/>
      <c r="B236" s="11"/>
      <c r="C236" s="10"/>
      <c r="D236" s="11"/>
      <c r="E236" s="10"/>
      <c r="F236" s="1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0"/>
      <c r="V236" s="11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2.75" customHeight="1">
      <c r="A237" s="10"/>
      <c r="B237" s="11"/>
      <c r="C237" s="10"/>
      <c r="D237" s="11"/>
      <c r="E237" s="10"/>
      <c r="F237" s="1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0"/>
      <c r="V237" s="11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2.75" customHeight="1">
      <c r="A238" s="10"/>
      <c r="B238" s="11"/>
      <c r="C238" s="10"/>
      <c r="D238" s="11"/>
      <c r="E238" s="10"/>
      <c r="F238" s="1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0"/>
      <c r="V238" s="11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2.75" customHeight="1">
      <c r="A239" s="10"/>
      <c r="B239" s="11"/>
      <c r="C239" s="10"/>
      <c r="D239" s="11"/>
      <c r="E239" s="10"/>
      <c r="F239" s="1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0"/>
      <c r="V239" s="11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2.75" customHeight="1">
      <c r="A240" s="10"/>
      <c r="B240" s="11"/>
      <c r="C240" s="10"/>
      <c r="D240" s="11"/>
      <c r="E240" s="10"/>
      <c r="F240" s="1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0"/>
      <c r="V240" s="11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2.75" customHeight="1">
      <c r="A241" s="10"/>
      <c r="B241" s="11"/>
      <c r="C241" s="10"/>
      <c r="D241" s="11"/>
      <c r="E241" s="10"/>
      <c r="F241" s="1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0"/>
      <c r="V241" s="11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2.75" customHeight="1">
      <c r="A242" s="10"/>
      <c r="B242" s="11"/>
      <c r="C242" s="10"/>
      <c r="D242" s="11"/>
      <c r="E242" s="10"/>
      <c r="F242" s="1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0"/>
      <c r="V242" s="11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2.75" customHeight="1">
      <c r="A243" s="10"/>
      <c r="B243" s="11"/>
      <c r="C243" s="10"/>
      <c r="D243" s="11"/>
      <c r="E243" s="10"/>
      <c r="F243" s="1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0"/>
      <c r="V243" s="11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2.75" customHeight="1">
      <c r="A244" s="10"/>
      <c r="B244" s="11"/>
      <c r="C244" s="10"/>
      <c r="D244" s="11"/>
      <c r="E244" s="10"/>
      <c r="F244" s="1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0"/>
      <c r="V244" s="11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2.75" customHeight="1">
      <c r="A245" s="10"/>
      <c r="B245" s="11"/>
      <c r="C245" s="10"/>
      <c r="D245" s="11"/>
      <c r="E245" s="10"/>
      <c r="F245" s="1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0"/>
      <c r="V245" s="11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2.75" customHeight="1">
      <c r="A246" s="10"/>
      <c r="B246" s="11"/>
      <c r="C246" s="10"/>
      <c r="D246" s="11"/>
      <c r="E246" s="10"/>
      <c r="F246" s="1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0"/>
      <c r="V246" s="11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2.75" customHeight="1">
      <c r="A247" s="10"/>
      <c r="B247" s="11"/>
      <c r="C247" s="10"/>
      <c r="D247" s="11"/>
      <c r="E247" s="10"/>
      <c r="F247" s="1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0"/>
      <c r="V247" s="11"/>
      <c r="W247" s="10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2.75" customHeight="1">
      <c r="A248" s="10"/>
      <c r="B248" s="11"/>
      <c r="C248" s="10"/>
      <c r="D248" s="11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0"/>
      <c r="V248" s="11"/>
      <c r="W248" s="10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2.75" customHeight="1">
      <c r="A249" s="10"/>
      <c r="B249" s="11"/>
      <c r="C249" s="10"/>
      <c r="D249" s="11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0"/>
      <c r="V249" s="11"/>
      <c r="W249" s="10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2.75" customHeight="1">
      <c r="A250" s="10"/>
      <c r="B250" s="11"/>
      <c r="C250" s="10"/>
      <c r="D250" s="11"/>
      <c r="E250" s="10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0"/>
      <c r="V250" s="11"/>
      <c r="W250" s="10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2.75" customHeight="1">
      <c r="A251" s="10"/>
      <c r="B251" s="11"/>
      <c r="C251" s="10"/>
      <c r="D251" s="11"/>
      <c r="E251" s="10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0"/>
      <c r="V251" s="11"/>
      <c r="W251" s="10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2.75" customHeight="1">
      <c r="A252" s="10"/>
      <c r="B252" s="11"/>
      <c r="C252" s="10"/>
      <c r="D252" s="11"/>
      <c r="E252" s="10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0"/>
      <c r="V252" s="11"/>
      <c r="W252" s="10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2.75" customHeight="1">
      <c r="A253" s="10"/>
      <c r="B253" s="11"/>
      <c r="C253" s="10"/>
      <c r="D253" s="11"/>
      <c r="E253" s="10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0"/>
      <c r="V253" s="11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2.75" customHeight="1">
      <c r="A254" s="10"/>
      <c r="B254" s="11"/>
      <c r="C254" s="10"/>
      <c r="D254" s="11"/>
      <c r="E254" s="10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0"/>
      <c r="V254" s="11"/>
      <c r="W254" s="10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2.75" customHeight="1">
      <c r="A255" s="10"/>
      <c r="B255" s="11"/>
      <c r="C255" s="10"/>
      <c r="D255" s="11"/>
      <c r="E255" s="10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0"/>
      <c r="V255" s="11"/>
      <c r="W255" s="10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2.75" customHeight="1">
      <c r="A256" s="10"/>
      <c r="B256" s="11"/>
      <c r="C256" s="10"/>
      <c r="D256" s="11"/>
      <c r="E256" s="10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0"/>
      <c r="V256" s="11"/>
      <c r="W256" s="10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2.75" customHeight="1">
      <c r="A257" s="10"/>
      <c r="B257" s="11"/>
      <c r="C257" s="10"/>
      <c r="D257" s="11"/>
      <c r="E257" s="10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0"/>
      <c r="V257" s="11"/>
      <c r="W257" s="10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2.75" customHeight="1">
      <c r="A258" s="10"/>
      <c r="B258" s="11"/>
      <c r="C258" s="10"/>
      <c r="D258" s="11"/>
      <c r="E258" s="10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0"/>
      <c r="V258" s="11"/>
      <c r="W258" s="10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2.75" customHeight="1">
      <c r="A259" s="10"/>
      <c r="B259" s="11"/>
      <c r="C259" s="10"/>
      <c r="D259" s="11"/>
      <c r="E259" s="10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0"/>
      <c r="V259" s="11"/>
      <c r="W259" s="10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2.75" customHeight="1">
      <c r="A260" s="10"/>
      <c r="B260" s="11"/>
      <c r="C260" s="10"/>
      <c r="D260" s="11"/>
      <c r="E260" s="10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0"/>
      <c r="V260" s="11"/>
      <c r="W260" s="10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2.75" customHeight="1">
      <c r="A261" s="10"/>
      <c r="B261" s="11"/>
      <c r="C261" s="10"/>
      <c r="D261" s="11"/>
      <c r="E261" s="10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0"/>
      <c r="V261" s="11"/>
      <c r="W261" s="10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2.75" customHeight="1">
      <c r="A262" s="10"/>
      <c r="B262" s="11"/>
      <c r="C262" s="10"/>
      <c r="D262" s="11"/>
      <c r="E262" s="10"/>
      <c r="F262" s="1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0"/>
      <c r="V262" s="11"/>
      <c r="W262" s="10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2.75" customHeight="1">
      <c r="A263" s="10"/>
      <c r="B263" s="11"/>
      <c r="C263" s="10"/>
      <c r="D263" s="11"/>
      <c r="E263" s="10"/>
      <c r="F263" s="1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0"/>
      <c r="V263" s="11"/>
      <c r="W263" s="10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2.75" customHeight="1">
      <c r="A264" s="10"/>
      <c r="B264" s="11"/>
      <c r="C264" s="10"/>
      <c r="D264" s="11"/>
      <c r="E264" s="10"/>
      <c r="F264" s="1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0"/>
      <c r="V264" s="11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2.75" customHeight="1">
      <c r="A265" s="10"/>
      <c r="B265" s="11"/>
      <c r="C265" s="10"/>
      <c r="D265" s="11"/>
      <c r="E265" s="10"/>
      <c r="F265" s="1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0"/>
      <c r="V265" s="11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2.75" customHeight="1">
      <c r="A266" s="10"/>
      <c r="B266" s="11"/>
      <c r="C266" s="10"/>
      <c r="D266" s="11"/>
      <c r="E266" s="10"/>
      <c r="F266" s="1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0"/>
      <c r="V266" s="11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2.75" customHeight="1">
      <c r="A267" s="10"/>
      <c r="B267" s="11"/>
      <c r="C267" s="10"/>
      <c r="D267" s="11"/>
      <c r="E267" s="10"/>
      <c r="F267" s="1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0"/>
      <c r="V267" s="11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2.75" customHeight="1">
      <c r="A268" s="10"/>
      <c r="B268" s="11"/>
      <c r="C268" s="10"/>
      <c r="D268" s="11"/>
      <c r="E268" s="10"/>
      <c r="F268" s="1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0"/>
      <c r="V268" s="11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2.75" customHeight="1">
      <c r="A269" s="10"/>
      <c r="B269" s="11"/>
      <c r="C269" s="10"/>
      <c r="D269" s="11"/>
      <c r="E269" s="10"/>
      <c r="F269" s="1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0"/>
      <c r="V269" s="11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2.75" customHeight="1">
      <c r="A270" s="10"/>
      <c r="B270" s="11"/>
      <c r="C270" s="10"/>
      <c r="D270" s="11"/>
      <c r="E270" s="10"/>
      <c r="F270" s="1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0"/>
      <c r="V270" s="11"/>
      <c r="W270" s="10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2.75" customHeight="1">
      <c r="A271" s="10"/>
      <c r="B271" s="11"/>
      <c r="C271" s="10"/>
      <c r="D271" s="11"/>
      <c r="E271" s="10"/>
      <c r="F271" s="1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0"/>
      <c r="V271" s="11"/>
      <c r="W271" s="10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2.75" customHeight="1">
      <c r="A272" s="10"/>
      <c r="B272" s="11"/>
      <c r="C272" s="10"/>
      <c r="D272" s="11"/>
      <c r="E272" s="10"/>
      <c r="F272" s="1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0"/>
      <c r="V272" s="11"/>
      <c r="W272" s="10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2.75" customHeight="1">
      <c r="A273" s="10"/>
      <c r="B273" s="11"/>
      <c r="C273" s="10"/>
      <c r="D273" s="11"/>
      <c r="E273" s="10"/>
      <c r="F273" s="1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0"/>
      <c r="V273" s="11"/>
      <c r="W273" s="10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2.75" customHeight="1">
      <c r="A274" s="10"/>
      <c r="B274" s="11"/>
      <c r="C274" s="10"/>
      <c r="D274" s="11"/>
      <c r="E274" s="10"/>
      <c r="F274" s="1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0"/>
      <c r="V274" s="11"/>
      <c r="W274" s="10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2.75" customHeight="1">
      <c r="A275" s="10"/>
      <c r="B275" s="11"/>
      <c r="C275" s="10"/>
      <c r="D275" s="11"/>
      <c r="E275" s="10"/>
      <c r="F275" s="1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0"/>
      <c r="V275" s="11"/>
      <c r="W275" s="10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2.75" customHeight="1">
      <c r="A276" s="10"/>
      <c r="B276" s="11"/>
      <c r="C276" s="10"/>
      <c r="D276" s="11"/>
      <c r="E276" s="10"/>
      <c r="F276" s="1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0"/>
      <c r="V276" s="11"/>
      <c r="W276" s="10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2.75" customHeight="1">
      <c r="A277" s="10"/>
      <c r="B277" s="11"/>
      <c r="C277" s="10"/>
      <c r="D277" s="11"/>
      <c r="E277" s="10"/>
      <c r="F277" s="1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0"/>
      <c r="V277" s="11"/>
      <c r="W277" s="10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2.75" customHeight="1">
      <c r="A278" s="10"/>
      <c r="B278" s="11"/>
      <c r="C278" s="10"/>
      <c r="D278" s="11"/>
      <c r="E278" s="10"/>
      <c r="F278" s="1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0"/>
      <c r="V278" s="11"/>
      <c r="W278" s="10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2.75" customHeight="1">
      <c r="A279" s="10"/>
      <c r="B279" s="11"/>
      <c r="C279" s="10"/>
      <c r="D279" s="11"/>
      <c r="E279" s="10"/>
      <c r="F279" s="1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0"/>
      <c r="V279" s="11"/>
      <c r="W279" s="10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2.75" customHeight="1">
      <c r="A280" s="10"/>
      <c r="B280" s="11"/>
      <c r="C280" s="10"/>
      <c r="D280" s="11"/>
      <c r="E280" s="10"/>
      <c r="F280" s="1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0"/>
      <c r="V280" s="11"/>
      <c r="W280" s="10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2.75" customHeight="1">
      <c r="A281" s="10"/>
      <c r="B281" s="11"/>
      <c r="C281" s="10"/>
      <c r="D281" s="11"/>
      <c r="E281" s="10"/>
      <c r="F281" s="1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0"/>
      <c r="V281" s="11"/>
      <c r="W281" s="10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2.75" customHeight="1">
      <c r="A282" s="10"/>
      <c r="B282" s="11"/>
      <c r="C282" s="10"/>
      <c r="D282" s="11"/>
      <c r="E282" s="10"/>
      <c r="F282" s="1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0"/>
      <c r="V282" s="11"/>
      <c r="W282" s="10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2.75" customHeight="1">
      <c r="A283" s="10"/>
      <c r="B283" s="11"/>
      <c r="C283" s="10"/>
      <c r="D283" s="11"/>
      <c r="E283" s="10"/>
      <c r="F283" s="1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0"/>
      <c r="V283" s="11"/>
      <c r="W283" s="10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2.75" customHeight="1">
      <c r="A284" s="10"/>
      <c r="B284" s="11"/>
      <c r="C284" s="10"/>
      <c r="D284" s="11"/>
      <c r="E284" s="10"/>
      <c r="F284" s="1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0"/>
      <c r="V284" s="11"/>
      <c r="W284" s="10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2.75" customHeight="1">
      <c r="A285" s="10"/>
      <c r="B285" s="11"/>
      <c r="C285" s="10"/>
      <c r="D285" s="11"/>
      <c r="E285" s="10"/>
      <c r="F285" s="1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0"/>
      <c r="V285" s="11"/>
      <c r="W285" s="10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2.75" customHeight="1">
      <c r="A286" s="10"/>
      <c r="B286" s="11"/>
      <c r="C286" s="10"/>
      <c r="D286" s="11"/>
      <c r="E286" s="10"/>
      <c r="F286" s="1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0"/>
      <c r="V286" s="11"/>
      <c r="W286" s="10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2.75" customHeight="1">
      <c r="A287" s="10"/>
      <c r="B287" s="11"/>
      <c r="C287" s="10"/>
      <c r="D287" s="11"/>
      <c r="E287" s="10"/>
      <c r="F287" s="1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0"/>
      <c r="V287" s="11"/>
      <c r="W287" s="10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2.75" customHeight="1">
      <c r="A288" s="10"/>
      <c r="B288" s="11"/>
      <c r="C288" s="10"/>
      <c r="D288" s="11"/>
      <c r="E288" s="10"/>
      <c r="F288" s="1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0"/>
      <c r="V288" s="11"/>
      <c r="W288" s="10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2.75" customHeight="1">
      <c r="A289" s="10"/>
      <c r="B289" s="11"/>
      <c r="C289" s="10"/>
      <c r="D289" s="11"/>
      <c r="E289" s="10"/>
      <c r="F289" s="1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0"/>
      <c r="V289" s="11"/>
      <c r="W289" s="10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2.75" customHeight="1">
      <c r="A290" s="10"/>
      <c r="B290" s="11"/>
      <c r="C290" s="10"/>
      <c r="D290" s="11"/>
      <c r="E290" s="10"/>
      <c r="F290" s="1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0"/>
      <c r="V290" s="11"/>
      <c r="W290" s="10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2.75" customHeight="1">
      <c r="A291" s="10"/>
      <c r="B291" s="11"/>
      <c r="C291" s="10"/>
      <c r="D291" s="11"/>
      <c r="E291" s="10"/>
      <c r="F291" s="1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0"/>
      <c r="V291" s="11"/>
      <c r="W291" s="10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2.75" customHeight="1">
      <c r="A292" s="10"/>
      <c r="B292" s="11"/>
      <c r="C292" s="10"/>
      <c r="D292" s="11"/>
      <c r="E292" s="10"/>
      <c r="F292" s="1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0"/>
      <c r="V292" s="11"/>
      <c r="W292" s="10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2.75" customHeight="1">
      <c r="A293" s="10"/>
      <c r="B293" s="11"/>
      <c r="C293" s="10"/>
      <c r="D293" s="11"/>
      <c r="E293" s="10"/>
      <c r="F293" s="1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0"/>
      <c r="V293" s="11"/>
      <c r="W293" s="10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2.75" customHeight="1">
      <c r="A294" s="10"/>
      <c r="B294" s="11"/>
      <c r="C294" s="10"/>
      <c r="D294" s="11"/>
      <c r="E294" s="10"/>
      <c r="F294" s="1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0"/>
      <c r="V294" s="11"/>
      <c r="W294" s="10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2.75" customHeight="1">
      <c r="A295" s="10"/>
      <c r="B295" s="11"/>
      <c r="C295" s="10"/>
      <c r="D295" s="11"/>
      <c r="E295" s="10"/>
      <c r="F295" s="1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0"/>
      <c r="V295" s="11"/>
      <c r="W295" s="10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2.75" customHeight="1">
      <c r="A296" s="10"/>
      <c r="B296" s="11"/>
      <c r="C296" s="10"/>
      <c r="D296" s="11"/>
      <c r="E296" s="10"/>
      <c r="F296" s="1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0"/>
      <c r="V296" s="11"/>
      <c r="W296" s="10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2.75" customHeight="1">
      <c r="A297" s="10"/>
      <c r="B297" s="11"/>
      <c r="C297" s="10"/>
      <c r="D297" s="11"/>
      <c r="E297" s="10"/>
      <c r="F297" s="1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0"/>
      <c r="V297" s="11"/>
      <c r="W297" s="10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2.75" customHeight="1">
      <c r="A298" s="10"/>
      <c r="B298" s="11"/>
      <c r="C298" s="10"/>
      <c r="D298" s="11"/>
      <c r="E298" s="10"/>
      <c r="F298" s="1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0"/>
      <c r="V298" s="11"/>
      <c r="W298" s="10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2.75" customHeight="1">
      <c r="A299" s="10"/>
      <c r="B299" s="11"/>
      <c r="C299" s="10"/>
      <c r="D299" s="11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0"/>
      <c r="V299" s="11"/>
      <c r="W299" s="10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2.75" customHeight="1">
      <c r="A300" s="10"/>
      <c r="B300" s="11"/>
      <c r="C300" s="10"/>
      <c r="D300" s="11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0"/>
      <c r="V300" s="11"/>
      <c r="W300" s="10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2.75" customHeight="1">
      <c r="A301" s="10"/>
      <c r="B301" s="11"/>
      <c r="C301" s="10"/>
      <c r="D301" s="11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0"/>
      <c r="V301" s="11"/>
      <c r="W301" s="10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2.75" customHeight="1">
      <c r="A302" s="10"/>
      <c r="B302" s="11"/>
      <c r="C302" s="10"/>
      <c r="D302" s="11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0"/>
      <c r="V302" s="11"/>
      <c r="W302" s="10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2.75" customHeight="1">
      <c r="A303" s="10"/>
      <c r="B303" s="11"/>
      <c r="C303" s="10"/>
      <c r="D303" s="11"/>
      <c r="E303" s="10"/>
      <c r="F303" s="1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0"/>
      <c r="V303" s="11"/>
      <c r="W303" s="10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2.75" customHeight="1">
      <c r="A304" s="10"/>
      <c r="B304" s="11"/>
      <c r="C304" s="10"/>
      <c r="D304" s="11"/>
      <c r="E304" s="10"/>
      <c r="F304" s="1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0"/>
      <c r="V304" s="11"/>
      <c r="W304" s="10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2.75" customHeight="1">
      <c r="A305" s="10"/>
      <c r="B305" s="11"/>
      <c r="C305" s="10"/>
      <c r="D305" s="11"/>
      <c r="E305" s="10"/>
      <c r="F305" s="1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0"/>
      <c r="V305" s="11"/>
      <c r="W305" s="10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2.75" customHeight="1">
      <c r="A306" s="10"/>
      <c r="B306" s="11"/>
      <c r="C306" s="10"/>
      <c r="D306" s="11"/>
      <c r="E306" s="10"/>
      <c r="F306" s="1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/>
      <c r="V306" s="11"/>
      <c r="W306" s="10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2.75" customHeight="1">
      <c r="A307" s="10"/>
      <c r="B307" s="11"/>
      <c r="C307" s="10"/>
      <c r="D307" s="11"/>
      <c r="E307" s="10"/>
      <c r="F307" s="1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0"/>
      <c r="V307" s="11"/>
      <c r="W307" s="10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2.75" customHeight="1">
      <c r="A308" s="10"/>
      <c r="B308" s="11"/>
      <c r="C308" s="10"/>
      <c r="D308" s="11"/>
      <c r="E308" s="10"/>
      <c r="F308" s="1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0"/>
      <c r="V308" s="11"/>
      <c r="W308" s="10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2.75" customHeight="1">
      <c r="A309" s="10"/>
      <c r="B309" s="11"/>
      <c r="C309" s="10"/>
      <c r="D309" s="11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0"/>
      <c r="V309" s="11"/>
      <c r="W309" s="10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2.75" customHeight="1">
      <c r="A310" s="10"/>
      <c r="B310" s="11"/>
      <c r="C310" s="10"/>
      <c r="D310" s="11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0"/>
      <c r="V310" s="11"/>
      <c r="W310" s="10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2.75" customHeight="1">
      <c r="A311" s="10"/>
      <c r="B311" s="11"/>
      <c r="C311" s="10"/>
      <c r="D311" s="11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0"/>
      <c r="V311" s="11"/>
      <c r="W311" s="10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2.75" customHeight="1">
      <c r="A312" s="10"/>
      <c r="B312" s="11"/>
      <c r="C312" s="10"/>
      <c r="D312" s="11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0"/>
      <c r="V312" s="11"/>
      <c r="W312" s="10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2.75" customHeight="1">
      <c r="A313" s="10"/>
      <c r="B313" s="11"/>
      <c r="C313" s="10"/>
      <c r="D313" s="11"/>
      <c r="E313" s="10"/>
      <c r="F313" s="1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0"/>
      <c r="V313" s="11"/>
      <c r="W313" s="10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2.75" customHeight="1">
      <c r="A314" s="10"/>
      <c r="B314" s="11"/>
      <c r="C314" s="10"/>
      <c r="D314" s="11"/>
      <c r="E314" s="10"/>
      <c r="F314" s="1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0"/>
      <c r="V314" s="11"/>
      <c r="W314" s="10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2.75" customHeight="1">
      <c r="A315" s="10"/>
      <c r="B315" s="11"/>
      <c r="C315" s="10"/>
      <c r="D315" s="11"/>
      <c r="E315" s="10"/>
      <c r="F315" s="1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0"/>
      <c r="V315" s="11"/>
      <c r="W315" s="10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2.75" customHeight="1">
      <c r="A316" s="10"/>
      <c r="B316" s="11"/>
      <c r="C316" s="10"/>
      <c r="D316" s="11"/>
      <c r="E316" s="10"/>
      <c r="F316" s="1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/>
      <c r="V316" s="11"/>
      <c r="W316" s="10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2.75" customHeight="1">
      <c r="A317" s="10"/>
      <c r="B317" s="11"/>
      <c r="C317" s="10"/>
      <c r="D317" s="11"/>
      <c r="E317" s="10"/>
      <c r="F317" s="1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0"/>
      <c r="V317" s="11"/>
      <c r="W317" s="10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2.75" customHeight="1">
      <c r="A318" s="10"/>
      <c r="B318" s="11"/>
      <c r="C318" s="10"/>
      <c r="D318" s="11"/>
      <c r="E318" s="10"/>
      <c r="F318" s="1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0"/>
      <c r="V318" s="11"/>
      <c r="W318" s="10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2.75" customHeight="1">
      <c r="A319" s="10"/>
      <c r="B319" s="11"/>
      <c r="C319" s="10"/>
      <c r="D319" s="11"/>
      <c r="E319" s="10"/>
      <c r="F319" s="1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0"/>
      <c r="V319" s="11"/>
      <c r="W319" s="10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2.75" customHeight="1">
      <c r="A320" s="10"/>
      <c r="B320" s="11"/>
      <c r="C320" s="10"/>
      <c r="D320" s="11"/>
      <c r="E320" s="10"/>
      <c r="F320" s="1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0"/>
      <c r="V320" s="11"/>
      <c r="W320" s="10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2.75" customHeight="1">
      <c r="A321" s="10"/>
      <c r="B321" s="11"/>
      <c r="C321" s="10"/>
      <c r="D321" s="11"/>
      <c r="E321" s="10"/>
      <c r="F321" s="1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0"/>
      <c r="V321" s="11"/>
      <c r="W321" s="10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2.75" customHeight="1">
      <c r="A322" s="10"/>
      <c r="B322" s="11"/>
      <c r="C322" s="10"/>
      <c r="D322" s="11"/>
      <c r="E322" s="10"/>
      <c r="F322" s="1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0"/>
      <c r="V322" s="11"/>
      <c r="W322" s="10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2.75" customHeight="1">
      <c r="A323" s="10"/>
      <c r="B323" s="11"/>
      <c r="C323" s="10"/>
      <c r="D323" s="11"/>
      <c r="E323" s="10"/>
      <c r="F323" s="1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0"/>
      <c r="V323" s="11"/>
      <c r="W323" s="10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2.75" customHeight="1">
      <c r="A324" s="10"/>
      <c r="B324" s="11"/>
      <c r="C324" s="10"/>
      <c r="D324" s="11"/>
      <c r="E324" s="10"/>
      <c r="F324" s="1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0"/>
      <c r="V324" s="11"/>
      <c r="W324" s="10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2.75" customHeight="1">
      <c r="A325" s="10"/>
      <c r="B325" s="11"/>
      <c r="C325" s="10"/>
      <c r="D325" s="11"/>
      <c r="E325" s="10"/>
      <c r="F325" s="1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0"/>
      <c r="V325" s="11"/>
      <c r="W325" s="10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2.75" customHeight="1">
      <c r="A326" s="10"/>
      <c r="B326" s="11"/>
      <c r="C326" s="10"/>
      <c r="D326" s="11"/>
      <c r="E326" s="10"/>
      <c r="F326" s="1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0"/>
      <c r="V326" s="11"/>
      <c r="W326" s="10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2.75" customHeight="1">
      <c r="A327" s="10"/>
      <c r="B327" s="11"/>
      <c r="C327" s="10"/>
      <c r="D327" s="11"/>
      <c r="E327" s="10"/>
      <c r="F327" s="1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0"/>
      <c r="V327" s="11"/>
      <c r="W327" s="10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2.75" customHeight="1">
      <c r="A328" s="10"/>
      <c r="B328" s="11"/>
      <c r="C328" s="10"/>
      <c r="D328" s="11"/>
      <c r="E328" s="10"/>
      <c r="F328" s="1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0"/>
      <c r="V328" s="11"/>
      <c r="W328" s="10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2.75" customHeight="1">
      <c r="A329" s="10"/>
      <c r="B329" s="11"/>
      <c r="C329" s="10"/>
      <c r="D329" s="11"/>
      <c r="E329" s="10"/>
      <c r="F329" s="1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0"/>
      <c r="V329" s="11"/>
      <c r="W329" s="10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2.75" customHeight="1">
      <c r="A330" s="10"/>
      <c r="B330" s="11"/>
      <c r="C330" s="10"/>
      <c r="D330" s="11"/>
      <c r="E330" s="10"/>
      <c r="F330" s="1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0"/>
      <c r="V330" s="11"/>
      <c r="W330" s="10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2.75" customHeight="1">
      <c r="A331" s="10"/>
      <c r="B331" s="11"/>
      <c r="C331" s="10"/>
      <c r="D331" s="11"/>
      <c r="E331" s="10"/>
      <c r="F331" s="1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0"/>
      <c r="V331" s="11"/>
      <c r="W331" s="10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2.75" customHeight="1">
      <c r="A332" s="10"/>
      <c r="B332" s="11"/>
      <c r="C332" s="10"/>
      <c r="D332" s="11"/>
      <c r="E332" s="10"/>
      <c r="F332" s="1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0"/>
      <c r="V332" s="11"/>
      <c r="W332" s="10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2.75" customHeight="1">
      <c r="A333" s="10"/>
      <c r="B333" s="11"/>
      <c r="C333" s="10"/>
      <c r="D333" s="11"/>
      <c r="E333" s="10"/>
      <c r="F333" s="1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0"/>
      <c r="V333" s="11"/>
      <c r="W333" s="10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2.75" customHeight="1">
      <c r="A334" s="10"/>
      <c r="B334" s="11"/>
      <c r="C334" s="10"/>
      <c r="D334" s="11"/>
      <c r="E334" s="10"/>
      <c r="F334" s="1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0"/>
      <c r="V334" s="11"/>
      <c r="W334" s="10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2.75" customHeight="1">
      <c r="A335" s="10"/>
      <c r="B335" s="11"/>
      <c r="C335" s="10"/>
      <c r="D335" s="11"/>
      <c r="E335" s="10"/>
      <c r="F335" s="1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0"/>
      <c r="V335" s="11"/>
      <c r="W335" s="10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2.75" customHeight="1">
      <c r="A336" s="10"/>
      <c r="B336" s="11"/>
      <c r="C336" s="10"/>
      <c r="D336" s="11"/>
      <c r="E336" s="10"/>
      <c r="F336" s="1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0"/>
      <c r="V336" s="11"/>
      <c r="W336" s="10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2.75" customHeight="1">
      <c r="A337" s="10"/>
      <c r="B337" s="11"/>
      <c r="C337" s="10"/>
      <c r="D337" s="11"/>
      <c r="E337" s="10"/>
      <c r="F337" s="1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0"/>
      <c r="V337" s="11"/>
      <c r="W337" s="10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2.75" customHeight="1">
      <c r="A338" s="10"/>
      <c r="B338" s="11"/>
      <c r="C338" s="10"/>
      <c r="D338" s="11"/>
      <c r="E338" s="10"/>
      <c r="F338" s="1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0"/>
      <c r="V338" s="11"/>
      <c r="W338" s="10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2.75" customHeight="1">
      <c r="A339" s="10"/>
      <c r="B339" s="11"/>
      <c r="C339" s="10"/>
      <c r="D339" s="11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0"/>
      <c r="V339" s="11"/>
      <c r="W339" s="10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2.75" customHeight="1">
      <c r="A340" s="10"/>
      <c r="B340" s="11"/>
      <c r="C340" s="10"/>
      <c r="D340" s="11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0"/>
      <c r="V340" s="11"/>
      <c r="W340" s="10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2.75" customHeight="1">
      <c r="A341" s="10"/>
      <c r="B341" s="11"/>
      <c r="C341" s="10"/>
      <c r="D341" s="11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0"/>
      <c r="V341" s="11"/>
      <c r="W341" s="10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2.75" customHeight="1">
      <c r="A342" s="10"/>
      <c r="B342" s="11"/>
      <c r="C342" s="10"/>
      <c r="D342" s="11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0"/>
      <c r="V342" s="11"/>
      <c r="W342" s="10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2.75" customHeight="1">
      <c r="A343" s="10"/>
      <c r="B343" s="11"/>
      <c r="C343" s="10"/>
      <c r="D343" s="11"/>
      <c r="E343" s="10"/>
      <c r="F343" s="1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0"/>
      <c r="V343" s="11"/>
      <c r="W343" s="10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2.75" customHeight="1">
      <c r="A344" s="10"/>
      <c r="B344" s="11"/>
      <c r="C344" s="10"/>
      <c r="D344" s="11"/>
      <c r="E344" s="10"/>
      <c r="F344" s="1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0"/>
      <c r="V344" s="11"/>
      <c r="W344" s="10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2.75" customHeight="1">
      <c r="A345" s="10"/>
      <c r="B345" s="11"/>
      <c r="C345" s="10"/>
      <c r="D345" s="11"/>
      <c r="E345" s="10"/>
      <c r="F345" s="1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0"/>
      <c r="V345" s="11"/>
      <c r="W345" s="10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2.75" customHeight="1">
      <c r="A346" s="10"/>
      <c r="B346" s="11"/>
      <c r="C346" s="10"/>
      <c r="D346" s="11"/>
      <c r="E346" s="10"/>
      <c r="F346" s="1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0"/>
      <c r="V346" s="11"/>
      <c r="W346" s="10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2.75" customHeight="1">
      <c r="A347" s="10"/>
      <c r="B347" s="11"/>
      <c r="C347" s="10"/>
      <c r="D347" s="11"/>
      <c r="E347" s="10"/>
      <c r="F347" s="1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0"/>
      <c r="V347" s="11"/>
      <c r="W347" s="10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2.75" customHeight="1">
      <c r="A348" s="10"/>
      <c r="B348" s="11"/>
      <c r="C348" s="10"/>
      <c r="D348" s="11"/>
      <c r="E348" s="10"/>
      <c r="F348" s="1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0"/>
      <c r="V348" s="11"/>
      <c r="W348" s="10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2.75" customHeight="1">
      <c r="A349" s="10"/>
      <c r="B349" s="11"/>
      <c r="C349" s="10"/>
      <c r="D349" s="11"/>
      <c r="E349" s="10"/>
      <c r="F349" s="1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0"/>
      <c r="V349" s="11"/>
      <c r="W349" s="10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2.75" customHeight="1">
      <c r="A350" s="10"/>
      <c r="B350" s="11"/>
      <c r="C350" s="10"/>
      <c r="D350" s="11"/>
      <c r="E350" s="10"/>
      <c r="F350" s="1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0"/>
      <c r="V350" s="11"/>
      <c r="W350" s="10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2.75" customHeight="1">
      <c r="A351" s="10"/>
      <c r="B351" s="11"/>
      <c r="C351" s="10"/>
      <c r="D351" s="11"/>
      <c r="E351" s="10"/>
      <c r="F351" s="1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0"/>
      <c r="V351" s="11"/>
      <c r="W351" s="10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2.75" customHeight="1">
      <c r="A352" s="10"/>
      <c r="B352" s="11"/>
      <c r="C352" s="10"/>
      <c r="D352" s="11"/>
      <c r="E352" s="10"/>
      <c r="F352" s="1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0"/>
      <c r="V352" s="11"/>
      <c r="W352" s="10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2.75" customHeight="1">
      <c r="A353" s="10"/>
      <c r="B353" s="11"/>
      <c r="C353" s="10"/>
      <c r="D353" s="11"/>
      <c r="E353" s="10"/>
      <c r="F353" s="1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0"/>
      <c r="V353" s="11"/>
      <c r="W353" s="10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2.75" customHeight="1">
      <c r="A354" s="10"/>
      <c r="B354" s="11"/>
      <c r="C354" s="10"/>
      <c r="D354" s="11"/>
      <c r="E354" s="10"/>
      <c r="F354" s="1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0"/>
      <c r="V354" s="11"/>
      <c r="W354" s="10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2.75" customHeight="1">
      <c r="A355" s="10"/>
      <c r="B355" s="11"/>
      <c r="C355" s="10"/>
      <c r="D355" s="11"/>
      <c r="E355" s="10"/>
      <c r="F355" s="1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0"/>
      <c r="V355" s="11"/>
      <c r="W355" s="10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2.75" customHeight="1">
      <c r="A356" s="10"/>
      <c r="B356" s="11"/>
      <c r="C356" s="10"/>
      <c r="D356" s="11"/>
      <c r="E356" s="10"/>
      <c r="F356" s="1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0"/>
      <c r="V356" s="11"/>
      <c r="W356" s="10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2.75" customHeight="1">
      <c r="A357" s="10"/>
      <c r="B357" s="11"/>
      <c r="C357" s="10"/>
      <c r="D357" s="11"/>
      <c r="E357" s="10"/>
      <c r="F357" s="1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0"/>
      <c r="V357" s="11"/>
      <c r="W357" s="10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2.75" customHeight="1">
      <c r="A358" s="10"/>
      <c r="B358" s="11"/>
      <c r="C358" s="10"/>
      <c r="D358" s="11"/>
      <c r="E358" s="10"/>
      <c r="F358" s="1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0"/>
      <c r="V358" s="11"/>
      <c r="W358" s="10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2.75" customHeight="1">
      <c r="A359" s="10"/>
      <c r="B359" s="11"/>
      <c r="C359" s="10"/>
      <c r="D359" s="11"/>
      <c r="E359" s="10"/>
      <c r="F359" s="1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0"/>
      <c r="V359" s="11"/>
      <c r="W359" s="10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2.75" customHeight="1">
      <c r="A360" s="10"/>
      <c r="B360" s="11"/>
      <c r="C360" s="10"/>
      <c r="D360" s="11"/>
      <c r="E360" s="10"/>
      <c r="F360" s="1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0"/>
      <c r="V360" s="11"/>
      <c r="W360" s="10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2.75" customHeight="1">
      <c r="A361" s="10"/>
      <c r="B361" s="11"/>
      <c r="C361" s="10"/>
      <c r="D361" s="11"/>
      <c r="E361" s="10"/>
      <c r="F361" s="1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0"/>
      <c r="V361" s="11"/>
      <c r="W361" s="10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2.75" customHeight="1">
      <c r="A362" s="10"/>
      <c r="B362" s="11"/>
      <c r="C362" s="10"/>
      <c r="D362" s="11"/>
      <c r="E362" s="10"/>
      <c r="F362" s="1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0"/>
      <c r="V362" s="11"/>
      <c r="W362" s="10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2.75" customHeight="1">
      <c r="A363" s="10"/>
      <c r="B363" s="11"/>
      <c r="C363" s="10"/>
      <c r="D363" s="11"/>
      <c r="E363" s="10"/>
      <c r="F363" s="1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0"/>
      <c r="V363" s="11"/>
      <c r="W363" s="10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2.75" customHeight="1">
      <c r="A364" s="10"/>
      <c r="B364" s="11"/>
      <c r="C364" s="10"/>
      <c r="D364" s="11"/>
      <c r="E364" s="10"/>
      <c r="F364" s="1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0"/>
      <c r="V364" s="11"/>
      <c r="W364" s="10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2.75" customHeight="1">
      <c r="A365" s="10"/>
      <c r="B365" s="11"/>
      <c r="C365" s="10"/>
      <c r="D365" s="11"/>
      <c r="E365" s="10"/>
      <c r="F365" s="1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0"/>
      <c r="V365" s="11"/>
      <c r="W365" s="10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2.75" customHeight="1">
      <c r="A366" s="10"/>
      <c r="B366" s="11"/>
      <c r="C366" s="10"/>
      <c r="D366" s="11"/>
      <c r="E366" s="10"/>
      <c r="F366" s="1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0"/>
      <c r="V366" s="11"/>
      <c r="W366" s="10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2.75" customHeight="1">
      <c r="A367" s="10"/>
      <c r="B367" s="11"/>
      <c r="C367" s="10"/>
      <c r="D367" s="11"/>
      <c r="E367" s="10"/>
      <c r="F367" s="1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0"/>
      <c r="V367" s="11"/>
      <c r="W367" s="10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2.75" customHeight="1">
      <c r="A368" s="10"/>
      <c r="B368" s="11"/>
      <c r="C368" s="10"/>
      <c r="D368" s="11"/>
      <c r="E368" s="10"/>
      <c r="F368" s="1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0"/>
      <c r="V368" s="11"/>
      <c r="W368" s="10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2.75" customHeight="1">
      <c r="A369" s="10"/>
      <c r="B369" s="11"/>
      <c r="C369" s="10"/>
      <c r="D369" s="11"/>
      <c r="E369" s="10"/>
      <c r="F369" s="1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0"/>
      <c r="V369" s="11"/>
      <c r="W369" s="10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2.75" customHeight="1">
      <c r="A370" s="10"/>
      <c r="B370" s="11"/>
      <c r="C370" s="10"/>
      <c r="D370" s="11"/>
      <c r="E370" s="10"/>
      <c r="F370" s="1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0"/>
      <c r="V370" s="11"/>
      <c r="W370" s="10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2.75" customHeight="1">
      <c r="A371" s="10"/>
      <c r="B371" s="11"/>
      <c r="C371" s="10"/>
      <c r="D371" s="11"/>
      <c r="E371" s="10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0"/>
      <c r="V371" s="11"/>
      <c r="W371" s="10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2.75" customHeight="1">
      <c r="A372" s="10"/>
      <c r="B372" s="11"/>
      <c r="C372" s="10"/>
      <c r="D372" s="11"/>
      <c r="E372" s="10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0"/>
      <c r="V372" s="11"/>
      <c r="W372" s="10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2.75" customHeight="1">
      <c r="A373" s="10"/>
      <c r="B373" s="11"/>
      <c r="C373" s="10"/>
      <c r="D373" s="11"/>
      <c r="E373" s="10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0"/>
      <c r="V373" s="11"/>
      <c r="W373" s="10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2.75" customHeight="1">
      <c r="A374" s="10"/>
      <c r="B374" s="11"/>
      <c r="C374" s="10"/>
      <c r="D374" s="11"/>
      <c r="E374" s="10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0"/>
      <c r="V374" s="11"/>
      <c r="W374" s="10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2.75" customHeight="1">
      <c r="A375" s="10"/>
      <c r="B375" s="11"/>
      <c r="C375" s="10"/>
      <c r="D375" s="11"/>
      <c r="E375" s="10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0"/>
      <c r="V375" s="11"/>
      <c r="W375" s="10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2.75" customHeight="1">
      <c r="A376" s="10"/>
      <c r="B376" s="11"/>
      <c r="C376" s="10"/>
      <c r="D376" s="11"/>
      <c r="E376" s="10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0"/>
      <c r="V376" s="11"/>
      <c r="W376" s="10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2.75" customHeight="1">
      <c r="A377" s="10"/>
      <c r="B377" s="11"/>
      <c r="C377" s="10"/>
      <c r="D377" s="11"/>
      <c r="E377" s="10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0"/>
      <c r="V377" s="11"/>
      <c r="W377" s="10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2.75" customHeight="1">
      <c r="A378" s="10"/>
      <c r="B378" s="11"/>
      <c r="C378" s="10"/>
      <c r="D378" s="11"/>
      <c r="E378" s="10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0"/>
      <c r="V378" s="11"/>
      <c r="W378" s="10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2.75" customHeight="1">
      <c r="A379" s="10"/>
      <c r="B379" s="11"/>
      <c r="C379" s="10"/>
      <c r="D379" s="11"/>
      <c r="E379" s="10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0"/>
      <c r="V379" s="11"/>
      <c r="W379" s="10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2.75" customHeight="1">
      <c r="A380" s="10"/>
      <c r="B380" s="11"/>
      <c r="C380" s="10"/>
      <c r="D380" s="11"/>
      <c r="E380" s="10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0"/>
      <c r="V380" s="11"/>
      <c r="W380" s="10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2.75" customHeight="1">
      <c r="A381" s="10"/>
      <c r="B381" s="11"/>
      <c r="C381" s="10"/>
      <c r="D381" s="11"/>
      <c r="E381" s="10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0"/>
      <c r="V381" s="11"/>
      <c r="W381" s="10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2.75" customHeight="1">
      <c r="A382" s="10"/>
      <c r="B382" s="11"/>
      <c r="C382" s="10"/>
      <c r="D382" s="11"/>
      <c r="E382" s="10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0"/>
      <c r="V382" s="11"/>
      <c r="W382" s="10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2.75" customHeight="1">
      <c r="A383" s="10"/>
      <c r="B383" s="11"/>
      <c r="C383" s="10"/>
      <c r="D383" s="11"/>
      <c r="E383" s="10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0"/>
      <c r="V383" s="11"/>
      <c r="W383" s="10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2.75" customHeight="1">
      <c r="A384" s="10"/>
      <c r="B384" s="11"/>
      <c r="C384" s="10"/>
      <c r="D384" s="11"/>
      <c r="E384" s="10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0"/>
      <c r="V384" s="11"/>
      <c r="W384" s="10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2.75" customHeight="1">
      <c r="A385" s="10"/>
      <c r="B385" s="11"/>
      <c r="C385" s="10"/>
      <c r="D385" s="11"/>
      <c r="E385" s="10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0"/>
      <c r="V385" s="11"/>
      <c r="W385" s="10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2.75" customHeight="1">
      <c r="A386" s="10"/>
      <c r="B386" s="11"/>
      <c r="C386" s="10"/>
      <c r="D386" s="11"/>
      <c r="E386" s="10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0"/>
      <c r="V386" s="11"/>
      <c r="W386" s="10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2.75" customHeight="1">
      <c r="A387" s="10"/>
      <c r="B387" s="11"/>
      <c r="C387" s="10"/>
      <c r="D387" s="11"/>
      <c r="E387" s="10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0"/>
      <c r="V387" s="11"/>
      <c r="W387" s="10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2.75" customHeight="1">
      <c r="A388" s="10"/>
      <c r="B388" s="11"/>
      <c r="C388" s="10"/>
      <c r="D388" s="11"/>
      <c r="E388" s="10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0"/>
      <c r="V388" s="11"/>
      <c r="W388" s="10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2.75" customHeight="1">
      <c r="A389" s="10"/>
      <c r="B389" s="11"/>
      <c r="C389" s="10"/>
      <c r="D389" s="11"/>
      <c r="E389" s="10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0"/>
      <c r="V389" s="11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2.75" customHeight="1">
      <c r="A390" s="10"/>
      <c r="B390" s="11"/>
      <c r="C390" s="10"/>
      <c r="D390" s="11"/>
      <c r="E390" s="10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0"/>
      <c r="V390" s="11"/>
      <c r="W390" s="10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2.75" customHeight="1">
      <c r="A391" s="10"/>
      <c r="B391" s="11"/>
      <c r="C391" s="10"/>
      <c r="D391" s="11"/>
      <c r="E391" s="10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0"/>
      <c r="V391" s="11"/>
      <c r="W391" s="10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2.75" customHeight="1">
      <c r="A392" s="10"/>
      <c r="B392" s="11"/>
      <c r="C392" s="10"/>
      <c r="D392" s="11"/>
      <c r="E392" s="10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0"/>
      <c r="V392" s="11"/>
      <c r="W392" s="10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2.75" customHeight="1">
      <c r="A393" s="10"/>
      <c r="B393" s="11"/>
      <c r="C393" s="10"/>
      <c r="D393" s="11"/>
      <c r="E393" s="10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0"/>
      <c r="V393" s="11"/>
      <c r="W393" s="10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2.75" customHeight="1">
      <c r="A394" s="10"/>
      <c r="B394" s="11"/>
      <c r="C394" s="10"/>
      <c r="D394" s="11"/>
      <c r="E394" s="10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0"/>
      <c r="V394" s="11"/>
      <c r="W394" s="10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2.75" customHeight="1">
      <c r="A395" s="10"/>
      <c r="B395" s="11"/>
      <c r="C395" s="10"/>
      <c r="D395" s="11"/>
      <c r="E395" s="10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0"/>
      <c r="V395" s="11"/>
      <c r="W395" s="10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2.75" customHeight="1">
      <c r="A396" s="10"/>
      <c r="B396" s="11"/>
      <c r="C396" s="10"/>
      <c r="D396" s="11"/>
      <c r="E396" s="10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0"/>
      <c r="V396" s="11"/>
      <c r="W396" s="10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2.75" customHeight="1">
      <c r="A397" s="10"/>
      <c r="B397" s="11"/>
      <c r="C397" s="10"/>
      <c r="D397" s="11"/>
      <c r="E397" s="10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0"/>
      <c r="V397" s="11"/>
      <c r="W397" s="10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2.75" customHeight="1">
      <c r="A398" s="10"/>
      <c r="B398" s="11"/>
      <c r="C398" s="10"/>
      <c r="D398" s="11"/>
      <c r="E398" s="10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0"/>
      <c r="V398" s="11"/>
      <c r="W398" s="10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2.75" customHeight="1">
      <c r="A399" s="10"/>
      <c r="B399" s="11"/>
      <c r="C399" s="10"/>
      <c r="D399" s="11"/>
      <c r="E399" s="10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0"/>
      <c r="V399" s="11"/>
      <c r="W399" s="10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2.75" customHeight="1">
      <c r="A400" s="10"/>
      <c r="B400" s="11"/>
      <c r="C400" s="10"/>
      <c r="D400" s="11"/>
      <c r="E400" s="10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0"/>
      <c r="V400" s="11"/>
      <c r="W400" s="10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2.75" customHeight="1">
      <c r="A401" s="10"/>
      <c r="B401" s="11"/>
      <c r="C401" s="10"/>
      <c r="D401" s="11"/>
      <c r="E401" s="10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0"/>
      <c r="V401" s="11"/>
      <c r="W401" s="10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2.75" customHeight="1">
      <c r="A402" s="10"/>
      <c r="B402" s="11"/>
      <c r="C402" s="10"/>
      <c r="D402" s="11"/>
      <c r="E402" s="10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0"/>
      <c r="V402" s="11"/>
      <c r="W402" s="10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2.75" customHeight="1">
      <c r="A403" s="10"/>
      <c r="B403" s="11"/>
      <c r="C403" s="10"/>
      <c r="D403" s="11"/>
      <c r="E403" s="10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0"/>
      <c r="V403" s="11"/>
      <c r="W403" s="10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2.75" customHeight="1">
      <c r="A404" s="10"/>
      <c r="B404" s="11"/>
      <c r="C404" s="10"/>
      <c r="D404" s="11"/>
      <c r="E404" s="10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0"/>
      <c r="V404" s="11"/>
      <c r="W404" s="10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2.75" customHeight="1">
      <c r="A405" s="10"/>
      <c r="B405" s="11"/>
      <c r="C405" s="10"/>
      <c r="D405" s="11"/>
      <c r="E405" s="10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0"/>
      <c r="V405" s="11"/>
      <c r="W405" s="10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2.75" customHeight="1">
      <c r="A406" s="10"/>
      <c r="B406" s="11"/>
      <c r="C406" s="10"/>
      <c r="D406" s="11"/>
      <c r="E406" s="10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0"/>
      <c r="V406" s="11"/>
      <c r="W406" s="10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2.75" customHeight="1">
      <c r="A407" s="10"/>
      <c r="B407" s="11"/>
      <c r="C407" s="10"/>
      <c r="D407" s="11"/>
      <c r="E407" s="10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0"/>
      <c r="V407" s="11"/>
      <c r="W407" s="10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2.75" customHeight="1">
      <c r="A408" s="10"/>
      <c r="B408" s="11"/>
      <c r="C408" s="10"/>
      <c r="D408" s="11"/>
      <c r="E408" s="10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0"/>
      <c r="V408" s="11"/>
      <c r="W408" s="10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2.75" customHeight="1">
      <c r="A409" s="10"/>
      <c r="B409" s="11"/>
      <c r="C409" s="10"/>
      <c r="D409" s="11"/>
      <c r="E409" s="10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0"/>
      <c r="V409" s="11"/>
      <c r="W409" s="10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2.75" customHeight="1">
      <c r="A410" s="10"/>
      <c r="B410" s="11"/>
      <c r="C410" s="10"/>
      <c r="D410" s="11"/>
      <c r="E410" s="10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0"/>
      <c r="V410" s="11"/>
      <c r="W410" s="10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2.75" customHeight="1">
      <c r="A411" s="10"/>
      <c r="B411" s="11"/>
      <c r="C411" s="10"/>
      <c r="D411" s="11"/>
      <c r="E411" s="10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0"/>
      <c r="V411" s="11"/>
      <c r="W411" s="10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2.75" customHeight="1">
      <c r="A412" s="10"/>
      <c r="B412" s="11"/>
      <c r="C412" s="10"/>
      <c r="D412" s="11"/>
      <c r="E412" s="10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0"/>
      <c r="V412" s="11"/>
      <c r="W412" s="10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2.75" customHeight="1">
      <c r="A413" s="10"/>
      <c r="B413" s="11"/>
      <c r="C413" s="10"/>
      <c r="D413" s="11"/>
      <c r="E413" s="10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0"/>
      <c r="V413" s="11"/>
      <c r="W413" s="10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2.75" customHeight="1">
      <c r="A414" s="10"/>
      <c r="B414" s="11"/>
      <c r="C414" s="10"/>
      <c r="D414" s="11"/>
      <c r="E414" s="10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0"/>
      <c r="V414" s="11"/>
      <c r="W414" s="10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2.75" customHeight="1">
      <c r="A415" s="10"/>
      <c r="B415" s="11"/>
      <c r="C415" s="10"/>
      <c r="D415" s="11"/>
      <c r="E415" s="10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0"/>
      <c r="V415" s="11"/>
      <c r="W415" s="10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2.75" customHeight="1">
      <c r="A416" s="10"/>
      <c r="B416" s="11"/>
      <c r="C416" s="10"/>
      <c r="D416" s="11"/>
      <c r="E416" s="10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0"/>
      <c r="V416" s="11"/>
      <c r="W416" s="10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2.75" customHeight="1">
      <c r="A417" s="10"/>
      <c r="B417" s="11"/>
      <c r="C417" s="10"/>
      <c r="D417" s="11"/>
      <c r="E417" s="10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0"/>
      <c r="V417" s="11"/>
      <c r="W417" s="10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2.75" customHeight="1">
      <c r="A418" s="10"/>
      <c r="B418" s="11"/>
      <c r="C418" s="10"/>
      <c r="D418" s="11"/>
      <c r="E418" s="10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0"/>
      <c r="V418" s="11"/>
      <c r="W418" s="10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2.75" customHeight="1">
      <c r="A419" s="10"/>
      <c r="B419" s="11"/>
      <c r="C419" s="10"/>
      <c r="D419" s="11"/>
      <c r="E419" s="10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0"/>
      <c r="V419" s="11"/>
      <c r="W419" s="10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2.75" customHeight="1">
      <c r="A420" s="10"/>
      <c r="B420" s="11"/>
      <c r="C420" s="10"/>
      <c r="D420" s="11"/>
      <c r="E420" s="10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0"/>
      <c r="V420" s="11"/>
      <c r="W420" s="10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2.75" customHeight="1">
      <c r="A421" s="10"/>
      <c r="B421" s="11"/>
      <c r="C421" s="10"/>
      <c r="D421" s="11"/>
      <c r="E421" s="10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0"/>
      <c r="V421" s="11"/>
      <c r="W421" s="10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2.75" customHeight="1">
      <c r="A422" s="10"/>
      <c r="B422" s="11"/>
      <c r="C422" s="10"/>
      <c r="D422" s="11"/>
      <c r="E422" s="10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0"/>
      <c r="V422" s="11"/>
      <c r="W422" s="10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2.75" customHeight="1">
      <c r="A423" s="10"/>
      <c r="B423" s="11"/>
      <c r="C423" s="10"/>
      <c r="D423" s="11"/>
      <c r="E423" s="10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0"/>
      <c r="V423" s="11"/>
      <c r="W423" s="10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2.75" customHeight="1">
      <c r="A424" s="10"/>
      <c r="B424" s="11"/>
      <c r="C424" s="10"/>
      <c r="D424" s="11"/>
      <c r="E424" s="10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0"/>
      <c r="V424" s="11"/>
      <c r="W424" s="10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2.75" customHeight="1">
      <c r="A425" s="10"/>
      <c r="B425" s="11"/>
      <c r="C425" s="10"/>
      <c r="D425" s="11"/>
      <c r="E425" s="10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0"/>
      <c r="V425" s="11"/>
      <c r="W425" s="10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2.75" customHeight="1">
      <c r="A426" s="10"/>
      <c r="B426" s="11"/>
      <c r="C426" s="10"/>
      <c r="D426" s="11"/>
      <c r="E426" s="10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0"/>
      <c r="V426" s="11"/>
      <c r="W426" s="10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2.75" customHeight="1">
      <c r="A427" s="10"/>
      <c r="B427" s="11"/>
      <c r="C427" s="10"/>
      <c r="D427" s="11"/>
      <c r="E427" s="10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0"/>
      <c r="V427" s="11"/>
      <c r="W427" s="10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2.75" customHeight="1">
      <c r="A428" s="10"/>
      <c r="B428" s="11"/>
      <c r="C428" s="10"/>
      <c r="D428" s="11"/>
      <c r="E428" s="10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0"/>
      <c r="V428" s="11"/>
      <c r="W428" s="10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2.75" customHeight="1">
      <c r="A429" s="10"/>
      <c r="B429" s="11"/>
      <c r="C429" s="10"/>
      <c r="D429" s="11"/>
      <c r="E429" s="10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0"/>
      <c r="V429" s="11"/>
      <c r="W429" s="10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2.75" customHeight="1">
      <c r="A430" s="10"/>
      <c r="B430" s="11"/>
      <c r="C430" s="10"/>
      <c r="D430" s="11"/>
      <c r="E430" s="10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0"/>
      <c r="V430" s="11"/>
      <c r="W430" s="10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2.75" customHeight="1">
      <c r="A431" s="10"/>
      <c r="B431" s="11"/>
      <c r="C431" s="10"/>
      <c r="D431" s="11"/>
      <c r="E431" s="10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0"/>
      <c r="V431" s="11"/>
      <c r="W431" s="10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2.75" customHeight="1">
      <c r="A432" s="10"/>
      <c r="B432" s="11"/>
      <c r="C432" s="10"/>
      <c r="D432" s="11"/>
      <c r="E432" s="10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0"/>
      <c r="V432" s="11"/>
      <c r="W432" s="10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2.75" customHeight="1">
      <c r="A433" s="10"/>
      <c r="B433" s="11"/>
      <c r="C433" s="10"/>
      <c r="D433" s="11"/>
      <c r="E433" s="10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0"/>
      <c r="V433" s="11"/>
      <c r="W433" s="10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2.75" customHeight="1">
      <c r="A434" s="10"/>
      <c r="B434" s="11"/>
      <c r="C434" s="10"/>
      <c r="D434" s="11"/>
      <c r="E434" s="10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0"/>
      <c r="V434" s="11"/>
      <c r="W434" s="10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2.75" customHeight="1">
      <c r="A435" s="10"/>
      <c r="B435" s="11"/>
      <c r="C435" s="10"/>
      <c r="D435" s="11"/>
      <c r="E435" s="10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0"/>
      <c r="V435" s="11"/>
      <c r="W435" s="10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2.75" customHeight="1">
      <c r="A436" s="10"/>
      <c r="B436" s="11"/>
      <c r="C436" s="10"/>
      <c r="D436" s="11"/>
      <c r="E436" s="10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0"/>
      <c r="V436" s="11"/>
      <c r="W436" s="10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2.75" customHeight="1">
      <c r="A437" s="10"/>
      <c r="B437" s="11"/>
      <c r="C437" s="10"/>
      <c r="D437" s="11"/>
      <c r="E437" s="10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0"/>
      <c r="V437" s="11"/>
      <c r="W437" s="10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2.75" customHeight="1">
      <c r="A438" s="10"/>
      <c r="B438" s="11"/>
      <c r="C438" s="10"/>
      <c r="D438" s="11"/>
      <c r="E438" s="10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0"/>
      <c r="V438" s="11"/>
      <c r="W438" s="10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2.75" customHeight="1">
      <c r="A439" s="10"/>
      <c r="B439" s="11"/>
      <c r="C439" s="10"/>
      <c r="D439" s="11"/>
      <c r="E439" s="10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0"/>
      <c r="V439" s="11"/>
      <c r="W439" s="10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2.75" customHeight="1">
      <c r="A440" s="10"/>
      <c r="B440" s="11"/>
      <c r="C440" s="10"/>
      <c r="D440" s="11"/>
      <c r="E440" s="10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0"/>
      <c r="V440" s="11"/>
      <c r="W440" s="10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2.75" customHeight="1">
      <c r="A441" s="10"/>
      <c r="B441" s="11"/>
      <c r="C441" s="10"/>
      <c r="D441" s="11"/>
      <c r="E441" s="10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0"/>
      <c r="V441" s="11"/>
      <c r="W441" s="10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2.75" customHeight="1">
      <c r="A442" s="10"/>
      <c r="B442" s="11"/>
      <c r="C442" s="10"/>
      <c r="D442" s="11"/>
      <c r="E442" s="10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0"/>
      <c r="V442" s="11"/>
      <c r="W442" s="10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2.75" customHeight="1">
      <c r="A443" s="10"/>
      <c r="B443" s="11"/>
      <c r="C443" s="10"/>
      <c r="D443" s="11"/>
      <c r="E443" s="10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0"/>
      <c r="V443" s="11"/>
      <c r="W443" s="10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2.75" customHeight="1">
      <c r="A444" s="10"/>
      <c r="B444" s="11"/>
      <c r="C444" s="10"/>
      <c r="D444" s="11"/>
      <c r="E444" s="10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0"/>
      <c r="V444" s="11"/>
      <c r="W444" s="10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2.75" customHeight="1">
      <c r="A445" s="10"/>
      <c r="B445" s="11"/>
      <c r="C445" s="10"/>
      <c r="D445" s="11"/>
      <c r="E445" s="10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0"/>
      <c r="V445" s="11"/>
      <c r="W445" s="10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2.75" customHeight="1">
      <c r="A446" s="10"/>
      <c r="B446" s="11"/>
      <c r="C446" s="10"/>
      <c r="D446" s="11"/>
      <c r="E446" s="10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0"/>
      <c r="V446" s="11"/>
      <c r="W446" s="10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2.75" customHeight="1">
      <c r="A447" s="10"/>
      <c r="B447" s="11"/>
      <c r="C447" s="10"/>
      <c r="D447" s="11"/>
      <c r="E447" s="10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0"/>
      <c r="V447" s="11"/>
      <c r="W447" s="10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2.75" customHeight="1">
      <c r="A448" s="10"/>
      <c r="B448" s="11"/>
      <c r="C448" s="10"/>
      <c r="D448" s="11"/>
      <c r="E448" s="10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0"/>
      <c r="V448" s="11"/>
      <c r="W448" s="10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2.75" customHeight="1">
      <c r="A449" s="10"/>
      <c r="B449" s="11"/>
      <c r="C449" s="10"/>
      <c r="D449" s="11"/>
      <c r="E449" s="10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0"/>
      <c r="V449" s="11"/>
      <c r="W449" s="10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2.75" customHeight="1">
      <c r="A450" s="10"/>
      <c r="B450" s="11"/>
      <c r="C450" s="10"/>
      <c r="D450" s="11"/>
      <c r="E450" s="10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0"/>
      <c r="V450" s="11"/>
      <c r="W450" s="10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2.75" customHeight="1">
      <c r="A451" s="10"/>
      <c r="B451" s="11"/>
      <c r="C451" s="10"/>
      <c r="D451" s="11"/>
      <c r="E451" s="10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0"/>
      <c r="V451" s="11"/>
      <c r="W451" s="10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2.75" customHeight="1">
      <c r="A452" s="10"/>
      <c r="B452" s="11"/>
      <c r="C452" s="10"/>
      <c r="D452" s="11"/>
      <c r="E452" s="10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0"/>
      <c r="V452" s="11"/>
      <c r="W452" s="10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2.75" customHeight="1">
      <c r="A453" s="10"/>
      <c r="B453" s="11"/>
      <c r="C453" s="10"/>
      <c r="D453" s="11"/>
      <c r="E453" s="10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0"/>
      <c r="V453" s="11"/>
      <c r="W453" s="10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2.75" customHeight="1">
      <c r="A454" s="10"/>
      <c r="B454" s="11"/>
      <c r="C454" s="10"/>
      <c r="D454" s="11"/>
      <c r="E454" s="10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0"/>
      <c r="V454" s="11"/>
      <c r="W454" s="10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2.75" customHeight="1">
      <c r="A455" s="10"/>
      <c r="B455" s="11"/>
      <c r="C455" s="10"/>
      <c r="D455" s="11"/>
      <c r="E455" s="10"/>
      <c r="F455" s="1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0"/>
      <c r="V455" s="11"/>
      <c r="W455" s="10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2.75" customHeight="1">
      <c r="A456" s="10"/>
      <c r="B456" s="11"/>
      <c r="C456" s="10"/>
      <c r="D456" s="11"/>
      <c r="E456" s="10"/>
      <c r="F456" s="1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0"/>
      <c r="V456" s="11"/>
      <c r="W456" s="10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2.75" customHeight="1">
      <c r="A457" s="10"/>
      <c r="B457" s="11"/>
      <c r="C457" s="10"/>
      <c r="D457" s="11"/>
      <c r="E457" s="10"/>
      <c r="F457" s="1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0"/>
      <c r="V457" s="11"/>
      <c r="W457" s="10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2.75" customHeight="1">
      <c r="A458" s="10"/>
      <c r="B458" s="11"/>
      <c r="C458" s="10"/>
      <c r="D458" s="11"/>
      <c r="E458" s="10"/>
      <c r="F458" s="1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0"/>
      <c r="V458" s="11"/>
      <c r="W458" s="10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2.75" customHeight="1">
      <c r="A459" s="10"/>
      <c r="B459" s="11"/>
      <c r="C459" s="10"/>
      <c r="D459" s="11"/>
      <c r="E459" s="10"/>
      <c r="F459" s="1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0"/>
      <c r="V459" s="11"/>
      <c r="W459" s="10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2.75" customHeight="1">
      <c r="A460" s="10"/>
      <c r="B460" s="11"/>
      <c r="C460" s="10"/>
      <c r="D460" s="11"/>
      <c r="E460" s="10"/>
      <c r="F460" s="1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0"/>
      <c r="V460" s="11"/>
      <c r="W460" s="10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2.75" customHeight="1">
      <c r="A461" s="10"/>
      <c r="B461" s="11"/>
      <c r="C461" s="10"/>
      <c r="D461" s="11"/>
      <c r="E461" s="10"/>
      <c r="F461" s="1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0"/>
      <c r="V461" s="11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2.75" customHeight="1">
      <c r="A462" s="10"/>
      <c r="B462" s="11"/>
      <c r="C462" s="10"/>
      <c r="D462" s="11"/>
      <c r="E462" s="10"/>
      <c r="F462" s="1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0"/>
      <c r="V462" s="11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2.75" customHeight="1">
      <c r="A463" s="10"/>
      <c r="B463" s="11"/>
      <c r="C463" s="10"/>
      <c r="D463" s="11"/>
      <c r="E463" s="10"/>
      <c r="F463" s="1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0"/>
      <c r="V463" s="11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2.75" customHeight="1">
      <c r="A464" s="10"/>
      <c r="B464" s="11"/>
      <c r="C464" s="10"/>
      <c r="D464" s="11"/>
      <c r="E464" s="10"/>
      <c r="F464" s="1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0"/>
      <c r="V464" s="11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2.75" customHeight="1">
      <c r="A465" s="10"/>
      <c r="B465" s="11"/>
      <c r="C465" s="10"/>
      <c r="D465" s="11"/>
      <c r="E465" s="10"/>
      <c r="F465" s="1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0"/>
      <c r="V465" s="11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2.75" customHeight="1">
      <c r="A466" s="10"/>
      <c r="B466" s="11"/>
      <c r="C466" s="10"/>
      <c r="D466" s="11"/>
      <c r="E466" s="10"/>
      <c r="F466" s="1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0"/>
      <c r="V466" s="11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2.75" customHeight="1">
      <c r="A467" s="10"/>
      <c r="B467" s="11"/>
      <c r="C467" s="10"/>
      <c r="D467" s="11"/>
      <c r="E467" s="10"/>
      <c r="F467" s="1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0"/>
      <c r="V467" s="11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2.75" customHeight="1">
      <c r="A468" s="10"/>
      <c r="B468" s="11"/>
      <c r="C468" s="10"/>
      <c r="D468" s="11"/>
      <c r="E468" s="10"/>
      <c r="F468" s="1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0"/>
      <c r="V468" s="11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2.75" customHeight="1">
      <c r="A469" s="10"/>
      <c r="B469" s="11"/>
      <c r="C469" s="10"/>
      <c r="D469" s="11"/>
      <c r="E469" s="10"/>
      <c r="F469" s="1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0"/>
      <c r="V469" s="11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2.75" customHeight="1">
      <c r="A470" s="10"/>
      <c r="B470" s="11"/>
      <c r="C470" s="10"/>
      <c r="D470" s="11"/>
      <c r="E470" s="10"/>
      <c r="F470" s="1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0"/>
      <c r="V470" s="11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2.75" customHeight="1">
      <c r="A471" s="10"/>
      <c r="B471" s="11"/>
      <c r="C471" s="10"/>
      <c r="D471" s="11"/>
      <c r="E471" s="10"/>
      <c r="F471" s="1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0"/>
      <c r="V471" s="11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2.75" customHeight="1">
      <c r="A472" s="10"/>
      <c r="B472" s="11"/>
      <c r="C472" s="10"/>
      <c r="D472" s="11"/>
      <c r="E472" s="10"/>
      <c r="F472" s="1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0"/>
      <c r="V472" s="11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2.75" customHeight="1">
      <c r="A473" s="10"/>
      <c r="B473" s="11"/>
      <c r="C473" s="10"/>
      <c r="D473" s="11"/>
      <c r="E473" s="10"/>
      <c r="F473" s="1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0"/>
      <c r="V473" s="11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2.75" customHeight="1">
      <c r="A474" s="10"/>
      <c r="B474" s="11"/>
      <c r="C474" s="10"/>
      <c r="D474" s="11"/>
      <c r="E474" s="10"/>
      <c r="F474" s="1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0"/>
      <c r="V474" s="11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2.75" customHeight="1">
      <c r="A475" s="10"/>
      <c r="B475" s="11"/>
      <c r="C475" s="10"/>
      <c r="D475" s="11"/>
      <c r="E475" s="10"/>
      <c r="F475" s="1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0"/>
      <c r="V475" s="11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2.75" customHeight="1">
      <c r="A476" s="10"/>
      <c r="B476" s="11"/>
      <c r="C476" s="10"/>
      <c r="D476" s="11"/>
      <c r="E476" s="10"/>
      <c r="F476" s="1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0"/>
      <c r="V476" s="11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2.75" customHeight="1">
      <c r="A477" s="10"/>
      <c r="B477" s="11"/>
      <c r="C477" s="10"/>
      <c r="D477" s="11"/>
      <c r="E477" s="10"/>
      <c r="F477" s="1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0"/>
      <c r="V477" s="11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2.75" customHeight="1">
      <c r="A478" s="10"/>
      <c r="B478" s="11"/>
      <c r="C478" s="10"/>
      <c r="D478" s="11"/>
      <c r="E478" s="10"/>
      <c r="F478" s="1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0"/>
      <c r="V478" s="11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2.75" customHeight="1">
      <c r="A479" s="10"/>
      <c r="B479" s="11"/>
      <c r="C479" s="10"/>
      <c r="D479" s="11"/>
      <c r="E479" s="10"/>
      <c r="F479" s="1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0"/>
      <c r="V479" s="11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2.75" customHeight="1">
      <c r="A480" s="10"/>
      <c r="B480" s="11"/>
      <c r="C480" s="10"/>
      <c r="D480" s="11"/>
      <c r="E480" s="10"/>
      <c r="F480" s="1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0"/>
      <c r="V480" s="11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2.75" customHeight="1">
      <c r="A481" s="10"/>
      <c r="B481" s="11"/>
      <c r="C481" s="10"/>
      <c r="D481" s="11"/>
      <c r="E481" s="10"/>
      <c r="F481" s="1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0"/>
      <c r="V481" s="11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2.75" customHeight="1">
      <c r="A482" s="10"/>
      <c r="B482" s="11"/>
      <c r="C482" s="10"/>
      <c r="D482" s="11"/>
      <c r="E482" s="10"/>
      <c r="F482" s="1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0"/>
      <c r="V482" s="11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2.75" customHeight="1">
      <c r="A483" s="10"/>
      <c r="B483" s="11"/>
      <c r="C483" s="10"/>
      <c r="D483" s="11"/>
      <c r="E483" s="10"/>
      <c r="F483" s="1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0"/>
      <c r="V483" s="11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2.75" customHeight="1">
      <c r="A484" s="10"/>
      <c r="B484" s="11"/>
      <c r="C484" s="10"/>
      <c r="D484" s="11"/>
      <c r="E484" s="10"/>
      <c r="F484" s="1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0"/>
      <c r="V484" s="11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2.75" customHeight="1">
      <c r="A485" s="10"/>
      <c r="B485" s="11"/>
      <c r="C485" s="10"/>
      <c r="D485" s="11"/>
      <c r="E485" s="10"/>
      <c r="F485" s="1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0"/>
      <c r="V485" s="11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2.75" customHeight="1">
      <c r="A486" s="10"/>
      <c r="B486" s="11"/>
      <c r="C486" s="10"/>
      <c r="D486" s="11"/>
      <c r="E486" s="10"/>
      <c r="F486" s="1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0"/>
      <c r="V486" s="11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2.75" customHeight="1">
      <c r="A487" s="10"/>
      <c r="B487" s="11"/>
      <c r="C487" s="10"/>
      <c r="D487" s="11"/>
      <c r="E487" s="10"/>
      <c r="F487" s="1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0"/>
      <c r="V487" s="11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2.75" customHeight="1">
      <c r="A488" s="10"/>
      <c r="B488" s="11"/>
      <c r="C488" s="10"/>
      <c r="D488" s="11"/>
      <c r="E488" s="10"/>
      <c r="F488" s="1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0"/>
      <c r="V488" s="11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2.75" customHeight="1">
      <c r="A489" s="10"/>
      <c r="B489" s="11"/>
      <c r="C489" s="10"/>
      <c r="D489" s="11"/>
      <c r="E489" s="10"/>
      <c r="F489" s="1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0"/>
      <c r="V489" s="11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2.75" customHeight="1">
      <c r="A490" s="10"/>
      <c r="B490" s="11"/>
      <c r="C490" s="10"/>
      <c r="D490" s="11"/>
      <c r="E490" s="10"/>
      <c r="F490" s="1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0"/>
      <c r="V490" s="11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2.75" customHeight="1">
      <c r="A491" s="10"/>
      <c r="B491" s="11"/>
      <c r="C491" s="10"/>
      <c r="D491" s="11"/>
      <c r="E491" s="10"/>
      <c r="F491" s="1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0"/>
      <c r="V491" s="11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2.75" customHeight="1">
      <c r="A492" s="10"/>
      <c r="B492" s="11"/>
      <c r="C492" s="10"/>
      <c r="D492" s="11"/>
      <c r="E492" s="10"/>
      <c r="F492" s="1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0"/>
      <c r="V492" s="11"/>
      <c r="W492" s="10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2.75" customHeight="1">
      <c r="A493" s="10"/>
      <c r="B493" s="11"/>
      <c r="C493" s="10"/>
      <c r="D493" s="11"/>
      <c r="E493" s="10"/>
      <c r="F493" s="1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0"/>
      <c r="V493" s="11"/>
      <c r="W493" s="10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2.75" customHeight="1">
      <c r="A494" s="10"/>
      <c r="B494" s="11"/>
      <c r="C494" s="10"/>
      <c r="D494" s="11"/>
      <c r="E494" s="10"/>
      <c r="F494" s="1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0"/>
      <c r="V494" s="11"/>
      <c r="W494" s="10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2.75" customHeight="1">
      <c r="A495" s="10"/>
      <c r="B495" s="11"/>
      <c r="C495" s="10"/>
      <c r="D495" s="11"/>
      <c r="E495" s="10"/>
      <c r="F495" s="1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0"/>
      <c r="V495" s="11"/>
      <c r="W495" s="10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2.75" customHeight="1">
      <c r="A496" s="10"/>
      <c r="B496" s="11"/>
      <c r="C496" s="10"/>
      <c r="D496" s="11"/>
      <c r="E496" s="10"/>
      <c r="F496" s="1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0"/>
      <c r="V496" s="11"/>
      <c r="W496" s="10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2.75" customHeight="1">
      <c r="A497" s="10"/>
      <c r="B497" s="11"/>
      <c r="C497" s="10"/>
      <c r="D497" s="11"/>
      <c r="E497" s="10"/>
      <c r="F497" s="1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0"/>
      <c r="V497" s="11"/>
      <c r="W497" s="10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2.75" customHeight="1">
      <c r="A498" s="10"/>
      <c r="B498" s="11"/>
      <c r="C498" s="10"/>
      <c r="D498" s="11"/>
      <c r="E498" s="10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0"/>
      <c r="V498" s="11"/>
      <c r="W498" s="10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2.75" customHeight="1">
      <c r="A499" s="10"/>
      <c r="B499" s="11"/>
      <c r="C499" s="10"/>
      <c r="D499" s="11"/>
      <c r="E499" s="10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0"/>
      <c r="V499" s="11"/>
      <c r="W499" s="10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2.75" customHeight="1">
      <c r="A500" s="10"/>
      <c r="B500" s="11"/>
      <c r="C500" s="10"/>
      <c r="D500" s="11"/>
      <c r="E500" s="10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0"/>
      <c r="V500" s="11"/>
      <c r="W500" s="10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2.75" customHeight="1">
      <c r="A501" s="10"/>
      <c r="B501" s="11"/>
      <c r="C501" s="10"/>
      <c r="D501" s="11"/>
      <c r="E501" s="10"/>
      <c r="F501" s="1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0"/>
      <c r="V501" s="11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2.75" customHeight="1">
      <c r="A502" s="10"/>
      <c r="B502" s="11"/>
      <c r="C502" s="10"/>
      <c r="D502" s="11"/>
      <c r="E502" s="10"/>
      <c r="F502" s="1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0"/>
      <c r="V502" s="11"/>
      <c r="W502" s="10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2.75" customHeight="1">
      <c r="A503" s="10"/>
      <c r="B503" s="11"/>
      <c r="C503" s="10"/>
      <c r="D503" s="11"/>
      <c r="E503" s="10"/>
      <c r="F503" s="1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0"/>
      <c r="V503" s="11"/>
      <c r="W503" s="10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2.75" customHeight="1">
      <c r="A504" s="10"/>
      <c r="B504" s="11"/>
      <c r="C504" s="10"/>
      <c r="D504" s="11"/>
      <c r="E504" s="10"/>
      <c r="F504" s="1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0"/>
      <c r="V504" s="11"/>
      <c r="W504" s="10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2.75" customHeight="1">
      <c r="A505" s="10"/>
      <c r="B505" s="11"/>
      <c r="C505" s="10"/>
      <c r="D505" s="11"/>
      <c r="E505" s="10"/>
      <c r="F505" s="1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0"/>
      <c r="V505" s="11"/>
      <c r="W505" s="10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2.75" customHeight="1">
      <c r="A506" s="10"/>
      <c r="B506" s="11"/>
      <c r="C506" s="10"/>
      <c r="D506" s="11"/>
      <c r="E506" s="10"/>
      <c r="F506" s="1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0"/>
      <c r="V506" s="11"/>
      <c r="W506" s="10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2.75" customHeight="1">
      <c r="A507" s="10"/>
      <c r="B507" s="11"/>
      <c r="C507" s="10"/>
      <c r="D507" s="11"/>
      <c r="E507" s="10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0"/>
      <c r="V507" s="11"/>
      <c r="W507" s="10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2.75" customHeight="1">
      <c r="A508" s="10"/>
      <c r="B508" s="11"/>
      <c r="C508" s="10"/>
      <c r="D508" s="11"/>
      <c r="E508" s="10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0"/>
      <c r="V508" s="11"/>
      <c r="W508" s="10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2.75" customHeight="1">
      <c r="A509" s="10"/>
      <c r="B509" s="11"/>
      <c r="C509" s="10"/>
      <c r="D509" s="11"/>
      <c r="E509" s="10"/>
      <c r="F509" s="1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0"/>
      <c r="V509" s="11"/>
      <c r="W509" s="10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2.75" customHeight="1">
      <c r="A510" s="10"/>
      <c r="B510" s="11"/>
      <c r="C510" s="10"/>
      <c r="D510" s="11"/>
      <c r="E510" s="10"/>
      <c r="F510" s="1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0"/>
      <c r="V510" s="11"/>
      <c r="W510" s="10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2.75" customHeight="1">
      <c r="A511" s="10"/>
      <c r="B511" s="11"/>
      <c r="C511" s="10"/>
      <c r="D511" s="11"/>
      <c r="E511" s="10"/>
      <c r="F511" s="1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0"/>
      <c r="V511" s="11"/>
      <c r="W511" s="10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2.75" customHeight="1">
      <c r="A512" s="10"/>
      <c r="B512" s="11"/>
      <c r="C512" s="10"/>
      <c r="D512" s="11"/>
      <c r="E512" s="10"/>
      <c r="F512" s="1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0"/>
      <c r="V512" s="11"/>
      <c r="W512" s="10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2.75" customHeight="1">
      <c r="A513" s="10"/>
      <c r="B513" s="11"/>
      <c r="C513" s="10"/>
      <c r="D513" s="11"/>
      <c r="E513" s="10"/>
      <c r="F513" s="1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0"/>
      <c r="V513" s="11"/>
      <c r="W513" s="10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2.75" customHeight="1">
      <c r="A514" s="10"/>
      <c r="B514" s="11"/>
      <c r="C514" s="10"/>
      <c r="D514" s="11"/>
      <c r="E514" s="10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0"/>
      <c r="V514" s="11"/>
      <c r="W514" s="10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2.75" customHeight="1">
      <c r="A515" s="10"/>
      <c r="B515" s="11"/>
      <c r="C515" s="10"/>
      <c r="D515" s="11"/>
      <c r="E515" s="10"/>
      <c r="F515" s="1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0"/>
      <c r="V515" s="11"/>
      <c r="W515" s="10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2.75" customHeight="1">
      <c r="A516" s="10"/>
      <c r="B516" s="11"/>
      <c r="C516" s="10"/>
      <c r="D516" s="11"/>
      <c r="E516" s="10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0"/>
      <c r="V516" s="11"/>
      <c r="W516" s="10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2.75" customHeight="1">
      <c r="A517" s="10"/>
      <c r="B517" s="11"/>
      <c r="C517" s="10"/>
      <c r="D517" s="11"/>
      <c r="E517" s="10"/>
      <c r="F517" s="1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0"/>
      <c r="V517" s="11"/>
      <c r="W517" s="10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2.75" customHeight="1">
      <c r="A518" s="10"/>
      <c r="B518" s="11"/>
      <c r="C518" s="10"/>
      <c r="D518" s="11"/>
      <c r="E518" s="10"/>
      <c r="F518" s="1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0"/>
      <c r="V518" s="11"/>
      <c r="W518" s="10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2.75" customHeight="1">
      <c r="A519" s="10"/>
      <c r="B519" s="11"/>
      <c r="C519" s="10"/>
      <c r="D519" s="11"/>
      <c r="E519" s="10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0"/>
      <c r="V519" s="11"/>
      <c r="W519" s="10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2.75" customHeight="1">
      <c r="A520" s="10"/>
      <c r="B520" s="11"/>
      <c r="C520" s="10"/>
      <c r="D520" s="11"/>
      <c r="E520" s="10"/>
      <c r="F520" s="1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0"/>
      <c r="V520" s="11"/>
      <c r="W520" s="10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2.75" customHeight="1">
      <c r="A521" s="10"/>
      <c r="B521" s="11"/>
      <c r="C521" s="10"/>
      <c r="D521" s="11"/>
      <c r="E521" s="10"/>
      <c r="F521" s="1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0"/>
      <c r="V521" s="11"/>
      <c r="W521" s="10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2.75" customHeight="1">
      <c r="A522" s="10"/>
      <c r="B522" s="11"/>
      <c r="C522" s="10"/>
      <c r="D522" s="11"/>
      <c r="E522" s="10"/>
      <c r="F522" s="1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0"/>
      <c r="V522" s="11"/>
      <c r="W522" s="10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2.75" customHeight="1">
      <c r="A523" s="10"/>
      <c r="B523" s="11"/>
      <c r="C523" s="10"/>
      <c r="D523" s="11"/>
      <c r="E523" s="10"/>
      <c r="F523" s="1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0"/>
      <c r="V523" s="11"/>
      <c r="W523" s="10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2.75" customHeight="1">
      <c r="A524" s="10"/>
      <c r="B524" s="11"/>
      <c r="C524" s="10"/>
      <c r="D524" s="11"/>
      <c r="E524" s="10"/>
      <c r="F524" s="1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0"/>
      <c r="V524" s="11"/>
      <c r="W524" s="10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2.75" customHeight="1">
      <c r="A525" s="10"/>
      <c r="B525" s="11"/>
      <c r="C525" s="10"/>
      <c r="D525" s="11"/>
      <c r="E525" s="10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0"/>
      <c r="V525" s="11"/>
      <c r="W525" s="10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2.75" customHeight="1">
      <c r="A526" s="10"/>
      <c r="B526" s="11"/>
      <c r="C526" s="10"/>
      <c r="D526" s="11"/>
      <c r="E526" s="10"/>
      <c r="F526" s="1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0"/>
      <c r="V526" s="11"/>
      <c r="W526" s="10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2.75" customHeight="1">
      <c r="A527" s="10"/>
      <c r="B527" s="11"/>
      <c r="C527" s="10"/>
      <c r="D527" s="11"/>
      <c r="E527" s="10"/>
      <c r="F527" s="1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0"/>
      <c r="V527" s="11"/>
      <c r="W527" s="10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2.75" customHeight="1">
      <c r="A528" s="10"/>
      <c r="B528" s="11"/>
      <c r="C528" s="10"/>
      <c r="D528" s="11"/>
      <c r="E528" s="10"/>
      <c r="F528" s="1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0"/>
      <c r="V528" s="11"/>
      <c r="W528" s="10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2.75" customHeight="1">
      <c r="A529" s="10"/>
      <c r="B529" s="11"/>
      <c r="C529" s="10"/>
      <c r="D529" s="11"/>
      <c r="E529" s="10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0"/>
      <c r="V529" s="11"/>
      <c r="W529" s="10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2.75" customHeight="1">
      <c r="A530" s="10"/>
      <c r="B530" s="11"/>
      <c r="C530" s="10"/>
      <c r="D530" s="11"/>
      <c r="E530" s="10"/>
      <c r="F530" s="1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0"/>
      <c r="V530" s="11"/>
      <c r="W530" s="10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2.75" customHeight="1">
      <c r="A531" s="10"/>
      <c r="B531" s="11"/>
      <c r="C531" s="10"/>
      <c r="D531" s="11"/>
      <c r="E531" s="10"/>
      <c r="F531" s="1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0"/>
      <c r="V531" s="11"/>
      <c r="W531" s="10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2.75" customHeight="1">
      <c r="A532" s="10"/>
      <c r="B532" s="11"/>
      <c r="C532" s="10"/>
      <c r="D532" s="11"/>
      <c r="E532" s="10"/>
      <c r="F532" s="1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0"/>
      <c r="V532" s="11"/>
      <c r="W532" s="10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2.75" customHeight="1">
      <c r="A533" s="10"/>
      <c r="B533" s="11"/>
      <c r="C533" s="10"/>
      <c r="D533" s="11"/>
      <c r="E533" s="10"/>
      <c r="F533" s="1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0"/>
      <c r="V533" s="11"/>
      <c r="W533" s="10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2.75" customHeight="1">
      <c r="A534" s="10"/>
      <c r="B534" s="11"/>
      <c r="C534" s="10"/>
      <c r="D534" s="11"/>
      <c r="E534" s="10"/>
      <c r="F534" s="1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0"/>
      <c r="V534" s="11"/>
      <c r="W534" s="10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2.75" customHeight="1">
      <c r="A535" s="10"/>
      <c r="B535" s="11"/>
      <c r="C535" s="10"/>
      <c r="D535" s="11"/>
      <c r="E535" s="10"/>
      <c r="F535" s="1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0"/>
      <c r="V535" s="11"/>
      <c r="W535" s="10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2.75" customHeight="1">
      <c r="A536" s="10"/>
      <c r="B536" s="11"/>
      <c r="C536" s="10"/>
      <c r="D536" s="11"/>
      <c r="E536" s="10"/>
      <c r="F536" s="1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0"/>
      <c r="V536" s="11"/>
      <c r="W536" s="10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2.75" customHeight="1">
      <c r="A537" s="10"/>
      <c r="B537" s="11"/>
      <c r="C537" s="10"/>
      <c r="D537" s="11"/>
      <c r="E537" s="10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0"/>
      <c r="V537" s="11"/>
      <c r="W537" s="10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2.75" customHeight="1">
      <c r="A538" s="10"/>
      <c r="B538" s="11"/>
      <c r="C538" s="10"/>
      <c r="D538" s="11"/>
      <c r="E538" s="10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0"/>
      <c r="V538" s="11"/>
      <c r="W538" s="10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2.75" customHeight="1">
      <c r="A539" s="10"/>
      <c r="B539" s="11"/>
      <c r="C539" s="10"/>
      <c r="D539" s="11"/>
      <c r="E539" s="10"/>
      <c r="F539" s="1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0"/>
      <c r="V539" s="11"/>
      <c r="W539" s="10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2.75" customHeight="1">
      <c r="A540" s="10"/>
      <c r="B540" s="11"/>
      <c r="C540" s="10"/>
      <c r="D540" s="11"/>
      <c r="E540" s="10"/>
      <c r="F540" s="1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0"/>
      <c r="V540" s="11"/>
      <c r="W540" s="10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2.75" customHeight="1">
      <c r="A541" s="10"/>
      <c r="B541" s="11"/>
      <c r="C541" s="10"/>
      <c r="D541" s="11"/>
      <c r="E541" s="10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0"/>
      <c r="V541" s="11"/>
      <c r="W541" s="10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2.75" customHeight="1">
      <c r="A542" s="10"/>
      <c r="B542" s="11"/>
      <c r="C542" s="10"/>
      <c r="D542" s="11"/>
      <c r="E542" s="10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0"/>
      <c r="V542" s="11"/>
      <c r="W542" s="10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2.75" customHeight="1">
      <c r="A543" s="10"/>
      <c r="B543" s="11"/>
      <c r="C543" s="10"/>
      <c r="D543" s="11"/>
      <c r="E543" s="10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0"/>
      <c r="V543" s="11"/>
      <c r="W543" s="10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2.75" customHeight="1">
      <c r="A544" s="10"/>
      <c r="B544" s="11"/>
      <c r="C544" s="10"/>
      <c r="D544" s="11"/>
      <c r="E544" s="10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0"/>
      <c r="V544" s="11"/>
      <c r="W544" s="10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2.75" customHeight="1">
      <c r="A545" s="10"/>
      <c r="B545" s="11"/>
      <c r="C545" s="10"/>
      <c r="D545" s="11"/>
      <c r="E545" s="10"/>
      <c r="F545" s="1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0"/>
      <c r="V545" s="11"/>
      <c r="W545" s="10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2.75" customHeight="1">
      <c r="A546" s="10"/>
      <c r="B546" s="11"/>
      <c r="C546" s="10"/>
      <c r="D546" s="11"/>
      <c r="E546" s="10"/>
      <c r="F546" s="1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0"/>
      <c r="V546" s="11"/>
      <c r="W546" s="10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2.75" customHeight="1">
      <c r="A547" s="10"/>
      <c r="B547" s="11"/>
      <c r="C547" s="10"/>
      <c r="D547" s="11"/>
      <c r="E547" s="10"/>
      <c r="F547" s="1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0"/>
      <c r="V547" s="11"/>
      <c r="W547" s="10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2.75" customHeight="1">
      <c r="A548" s="10"/>
      <c r="B548" s="11"/>
      <c r="C548" s="10"/>
      <c r="D548" s="11"/>
      <c r="E548" s="10"/>
      <c r="F548" s="1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0"/>
      <c r="V548" s="11"/>
      <c r="W548" s="10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2.75" customHeight="1">
      <c r="A549" s="10"/>
      <c r="B549" s="11"/>
      <c r="C549" s="10"/>
      <c r="D549" s="11"/>
      <c r="E549" s="10"/>
      <c r="F549" s="1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0"/>
      <c r="V549" s="11"/>
      <c r="W549" s="10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2.75" customHeight="1">
      <c r="A550" s="10"/>
      <c r="B550" s="11"/>
      <c r="C550" s="10"/>
      <c r="D550" s="11"/>
      <c r="E550" s="10"/>
      <c r="F550" s="1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0"/>
      <c r="V550" s="11"/>
      <c r="W550" s="10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2.75" customHeight="1">
      <c r="A551" s="10"/>
      <c r="B551" s="11"/>
      <c r="C551" s="10"/>
      <c r="D551" s="11"/>
      <c r="E551" s="10"/>
      <c r="F551" s="1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0"/>
      <c r="V551" s="11"/>
      <c r="W551" s="10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2.75" customHeight="1">
      <c r="A552" s="10"/>
      <c r="B552" s="11"/>
      <c r="C552" s="10"/>
      <c r="D552" s="11"/>
      <c r="E552" s="10"/>
      <c r="F552" s="1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0"/>
      <c r="V552" s="11"/>
      <c r="W552" s="10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2.75" customHeight="1">
      <c r="A553" s="10"/>
      <c r="B553" s="11"/>
      <c r="C553" s="10"/>
      <c r="D553" s="11"/>
      <c r="E553" s="10"/>
      <c r="F553" s="1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0"/>
      <c r="V553" s="11"/>
      <c r="W553" s="10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2.75" customHeight="1">
      <c r="A554" s="10"/>
      <c r="B554" s="11"/>
      <c r="C554" s="10"/>
      <c r="D554" s="11"/>
      <c r="E554" s="10"/>
      <c r="F554" s="1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0"/>
      <c r="V554" s="11"/>
      <c r="W554" s="10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2.75" customHeight="1">
      <c r="A555" s="10"/>
      <c r="B555" s="11"/>
      <c r="C555" s="10"/>
      <c r="D555" s="11"/>
      <c r="E555" s="10"/>
      <c r="F555" s="1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0"/>
      <c r="V555" s="11"/>
      <c r="W555" s="10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2.75" customHeight="1">
      <c r="A556" s="10"/>
      <c r="B556" s="11"/>
      <c r="C556" s="10"/>
      <c r="D556" s="11"/>
      <c r="E556" s="10"/>
      <c r="F556" s="1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0"/>
      <c r="V556" s="11"/>
      <c r="W556" s="10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2.75" customHeight="1">
      <c r="A557" s="10"/>
      <c r="B557" s="11"/>
      <c r="C557" s="10"/>
      <c r="D557" s="11"/>
      <c r="E557" s="10"/>
      <c r="F557" s="1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0"/>
      <c r="V557" s="11"/>
      <c r="W557" s="10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2.75" customHeight="1">
      <c r="A558" s="10"/>
      <c r="B558" s="11"/>
      <c r="C558" s="10"/>
      <c r="D558" s="11"/>
      <c r="E558" s="10"/>
      <c r="F558" s="1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0"/>
      <c r="V558" s="11"/>
      <c r="W558" s="10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2.75" customHeight="1">
      <c r="A559" s="10"/>
      <c r="B559" s="11"/>
      <c r="C559" s="10"/>
      <c r="D559" s="11"/>
      <c r="E559" s="10"/>
      <c r="F559" s="1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0"/>
      <c r="V559" s="11"/>
      <c r="W559" s="10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2.75" customHeight="1">
      <c r="A560" s="10"/>
      <c r="B560" s="11"/>
      <c r="C560" s="10"/>
      <c r="D560" s="11"/>
      <c r="E560" s="10"/>
      <c r="F560" s="1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0"/>
      <c r="V560" s="11"/>
      <c r="W560" s="10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2.75" customHeight="1">
      <c r="A561" s="10"/>
      <c r="B561" s="11"/>
      <c r="C561" s="10"/>
      <c r="D561" s="11"/>
      <c r="E561" s="10"/>
      <c r="F561" s="1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0"/>
      <c r="V561" s="11"/>
      <c r="W561" s="10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2.75" customHeight="1">
      <c r="A562" s="10"/>
      <c r="B562" s="11"/>
      <c r="C562" s="10"/>
      <c r="D562" s="11"/>
      <c r="E562" s="10"/>
      <c r="F562" s="1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0"/>
      <c r="V562" s="11"/>
      <c r="W562" s="10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2.75" customHeight="1">
      <c r="A563" s="10"/>
      <c r="B563" s="11"/>
      <c r="C563" s="10"/>
      <c r="D563" s="11"/>
      <c r="E563" s="10"/>
      <c r="F563" s="1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0"/>
      <c r="V563" s="11"/>
      <c r="W563" s="10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2.75" customHeight="1">
      <c r="A564" s="10"/>
      <c r="B564" s="11"/>
      <c r="C564" s="10"/>
      <c r="D564" s="11"/>
      <c r="E564" s="10"/>
      <c r="F564" s="1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0"/>
      <c r="V564" s="11"/>
      <c r="W564" s="10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2.75" customHeight="1">
      <c r="A565" s="10"/>
      <c r="B565" s="11"/>
      <c r="C565" s="10"/>
      <c r="D565" s="11"/>
      <c r="E565" s="10"/>
      <c r="F565" s="1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0"/>
      <c r="V565" s="11"/>
      <c r="W565" s="10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2.75" customHeight="1">
      <c r="A566" s="10"/>
      <c r="B566" s="11"/>
      <c r="C566" s="10"/>
      <c r="D566" s="11"/>
      <c r="E566" s="10"/>
      <c r="F566" s="1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0"/>
      <c r="V566" s="11"/>
      <c r="W566" s="10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2.75" customHeight="1">
      <c r="A567" s="10"/>
      <c r="B567" s="11"/>
      <c r="C567" s="10"/>
      <c r="D567" s="11"/>
      <c r="E567" s="10"/>
      <c r="F567" s="1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0"/>
      <c r="V567" s="11"/>
      <c r="W567" s="10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2.75" customHeight="1">
      <c r="A568" s="10"/>
      <c r="B568" s="11"/>
      <c r="C568" s="10"/>
      <c r="D568" s="11"/>
      <c r="E568" s="10"/>
      <c r="F568" s="1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0"/>
      <c r="V568" s="11"/>
      <c r="W568" s="10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2.75" customHeight="1">
      <c r="A569" s="10"/>
      <c r="B569" s="11"/>
      <c r="C569" s="10"/>
      <c r="D569" s="11"/>
      <c r="E569" s="10"/>
      <c r="F569" s="1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0"/>
      <c r="V569" s="11"/>
      <c r="W569" s="10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2.75" customHeight="1">
      <c r="A570" s="10"/>
      <c r="B570" s="11"/>
      <c r="C570" s="10"/>
      <c r="D570" s="11"/>
      <c r="E570" s="10"/>
      <c r="F570" s="1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0"/>
      <c r="V570" s="11"/>
      <c r="W570" s="10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2.75" customHeight="1">
      <c r="A571" s="10"/>
      <c r="B571" s="11"/>
      <c r="C571" s="10"/>
      <c r="D571" s="11"/>
      <c r="E571" s="10"/>
      <c r="F571" s="1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0"/>
      <c r="V571" s="11"/>
      <c r="W571" s="10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2.75" customHeight="1">
      <c r="A572" s="10"/>
      <c r="B572" s="11"/>
      <c r="C572" s="10"/>
      <c r="D572" s="11"/>
      <c r="E572" s="10"/>
      <c r="F572" s="1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0"/>
      <c r="V572" s="11"/>
      <c r="W572" s="10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2.75" customHeight="1">
      <c r="A573" s="10"/>
      <c r="B573" s="11"/>
      <c r="C573" s="10"/>
      <c r="D573" s="11"/>
      <c r="E573" s="10"/>
      <c r="F573" s="1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0"/>
      <c r="V573" s="11"/>
      <c r="W573" s="10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2.75" customHeight="1">
      <c r="A574" s="10"/>
      <c r="B574" s="11"/>
      <c r="C574" s="10"/>
      <c r="D574" s="11"/>
      <c r="E574" s="10"/>
      <c r="F574" s="1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0"/>
      <c r="V574" s="11"/>
      <c r="W574" s="10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2.75" customHeight="1">
      <c r="A575" s="10"/>
      <c r="B575" s="11"/>
      <c r="C575" s="10"/>
      <c r="D575" s="11"/>
      <c r="E575" s="10"/>
      <c r="F575" s="1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0"/>
      <c r="V575" s="11"/>
      <c r="W575" s="10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2.75" customHeight="1">
      <c r="A576" s="10"/>
      <c r="B576" s="11"/>
      <c r="C576" s="10"/>
      <c r="D576" s="11"/>
      <c r="E576" s="10"/>
      <c r="F576" s="1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0"/>
      <c r="V576" s="11"/>
      <c r="W576" s="10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2.75" customHeight="1">
      <c r="A577" s="10"/>
      <c r="B577" s="11"/>
      <c r="C577" s="10"/>
      <c r="D577" s="11"/>
      <c r="E577" s="10"/>
      <c r="F577" s="1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0"/>
      <c r="V577" s="11"/>
      <c r="W577" s="10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2.75" customHeight="1">
      <c r="A578" s="10"/>
      <c r="B578" s="11"/>
      <c r="C578" s="10"/>
      <c r="D578" s="11"/>
      <c r="E578" s="10"/>
      <c r="F578" s="1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0"/>
      <c r="V578" s="11"/>
      <c r="W578" s="10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2.75" customHeight="1">
      <c r="A579" s="10"/>
      <c r="B579" s="11"/>
      <c r="C579" s="10"/>
      <c r="D579" s="11"/>
      <c r="E579" s="10"/>
      <c r="F579" s="1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0"/>
      <c r="V579" s="11"/>
      <c r="W579" s="10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2.75" customHeight="1">
      <c r="A580" s="10"/>
      <c r="B580" s="11"/>
      <c r="C580" s="10"/>
      <c r="D580" s="11"/>
      <c r="E580" s="10"/>
      <c r="F580" s="1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0"/>
      <c r="V580" s="11"/>
      <c r="W580" s="10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2.75" customHeight="1">
      <c r="A581" s="10"/>
      <c r="B581" s="11"/>
      <c r="C581" s="10"/>
      <c r="D581" s="11"/>
      <c r="E581" s="10"/>
      <c r="F581" s="1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0"/>
      <c r="V581" s="11"/>
      <c r="W581" s="10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2.75" customHeight="1">
      <c r="A582" s="10"/>
      <c r="B582" s="11"/>
      <c r="C582" s="10"/>
      <c r="D582" s="11"/>
      <c r="E582" s="10"/>
      <c r="F582" s="1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0"/>
      <c r="V582" s="11"/>
      <c r="W582" s="10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2.75" customHeight="1">
      <c r="A583" s="10"/>
      <c r="B583" s="11"/>
      <c r="C583" s="10"/>
      <c r="D583" s="11"/>
      <c r="E583" s="10"/>
      <c r="F583" s="1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0"/>
      <c r="V583" s="11"/>
      <c r="W583" s="10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2.75" customHeight="1">
      <c r="A584" s="10"/>
      <c r="B584" s="11"/>
      <c r="C584" s="10"/>
      <c r="D584" s="11"/>
      <c r="E584" s="10"/>
      <c r="F584" s="1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0"/>
      <c r="V584" s="11"/>
      <c r="W584" s="10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2.75" customHeight="1">
      <c r="A585" s="10"/>
      <c r="B585" s="11"/>
      <c r="C585" s="10"/>
      <c r="D585" s="11"/>
      <c r="E585" s="10"/>
      <c r="F585" s="1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0"/>
      <c r="V585" s="11"/>
      <c r="W585" s="10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2.75" customHeight="1">
      <c r="A586" s="10"/>
      <c r="B586" s="11"/>
      <c r="C586" s="10"/>
      <c r="D586" s="11"/>
      <c r="E586" s="10"/>
      <c r="F586" s="1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0"/>
      <c r="V586" s="11"/>
      <c r="W586" s="10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2.75" customHeight="1">
      <c r="A587" s="10"/>
      <c r="B587" s="11"/>
      <c r="C587" s="10"/>
      <c r="D587" s="11"/>
      <c r="E587" s="10"/>
      <c r="F587" s="1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0"/>
      <c r="V587" s="11"/>
      <c r="W587" s="10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2.75" customHeight="1">
      <c r="A588" s="10"/>
      <c r="B588" s="11"/>
      <c r="C588" s="10"/>
      <c r="D588" s="11"/>
      <c r="E588" s="10"/>
      <c r="F588" s="1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0"/>
      <c r="V588" s="11"/>
      <c r="W588" s="10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2.75" customHeight="1">
      <c r="A589" s="10"/>
      <c r="B589" s="11"/>
      <c r="C589" s="10"/>
      <c r="D589" s="11"/>
      <c r="E589" s="10"/>
      <c r="F589" s="1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0"/>
      <c r="V589" s="11"/>
      <c r="W589" s="10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2.75" customHeight="1">
      <c r="A590" s="10"/>
      <c r="B590" s="11"/>
      <c r="C590" s="10"/>
      <c r="D590" s="11"/>
      <c r="E590" s="10"/>
      <c r="F590" s="1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0"/>
      <c r="V590" s="11"/>
      <c r="W590" s="10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2.75" customHeight="1">
      <c r="A591" s="10"/>
      <c r="B591" s="11"/>
      <c r="C591" s="10"/>
      <c r="D591" s="11"/>
      <c r="E591" s="10"/>
      <c r="F591" s="1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0"/>
      <c r="V591" s="11"/>
      <c r="W591" s="10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2.75" customHeight="1">
      <c r="A592" s="10"/>
      <c r="B592" s="11"/>
      <c r="C592" s="10"/>
      <c r="D592" s="11"/>
      <c r="E592" s="10"/>
      <c r="F592" s="1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0"/>
      <c r="V592" s="11"/>
      <c r="W592" s="10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2.75" customHeight="1">
      <c r="A593" s="10"/>
      <c r="B593" s="11"/>
      <c r="C593" s="10"/>
      <c r="D593" s="11"/>
      <c r="E593" s="10"/>
      <c r="F593" s="1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0"/>
      <c r="V593" s="11"/>
      <c r="W593" s="10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2.75" customHeight="1">
      <c r="A594" s="10"/>
      <c r="B594" s="11"/>
      <c r="C594" s="10"/>
      <c r="D594" s="11"/>
      <c r="E594" s="10"/>
      <c r="F594" s="1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0"/>
      <c r="V594" s="11"/>
      <c r="W594" s="10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2.75" customHeight="1">
      <c r="A595" s="10"/>
      <c r="B595" s="11"/>
      <c r="C595" s="10"/>
      <c r="D595" s="11"/>
      <c r="E595" s="10"/>
      <c r="F595" s="1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0"/>
      <c r="V595" s="11"/>
      <c r="W595" s="10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2.75" customHeight="1">
      <c r="A596" s="10"/>
      <c r="B596" s="11"/>
      <c r="C596" s="10"/>
      <c r="D596" s="11"/>
      <c r="E596" s="10"/>
      <c r="F596" s="1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0"/>
      <c r="V596" s="11"/>
      <c r="W596" s="10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2.75" customHeight="1">
      <c r="A597" s="10"/>
      <c r="B597" s="11"/>
      <c r="C597" s="10"/>
      <c r="D597" s="11"/>
      <c r="E597" s="10"/>
      <c r="F597" s="1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0"/>
      <c r="V597" s="11"/>
      <c r="W597" s="10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2.75" customHeight="1">
      <c r="A598" s="10"/>
      <c r="B598" s="11"/>
      <c r="C598" s="10"/>
      <c r="D598" s="11"/>
      <c r="E598" s="10"/>
      <c r="F598" s="1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0"/>
      <c r="V598" s="11"/>
      <c r="W598" s="10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2.75" customHeight="1">
      <c r="A599" s="10"/>
      <c r="B599" s="11"/>
      <c r="C599" s="10"/>
      <c r="D599" s="11"/>
      <c r="E599" s="10"/>
      <c r="F599" s="1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0"/>
      <c r="V599" s="11"/>
      <c r="W599" s="10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2.75" customHeight="1">
      <c r="A600" s="10"/>
      <c r="B600" s="11"/>
      <c r="C600" s="10"/>
      <c r="D600" s="11"/>
      <c r="E600" s="10"/>
      <c r="F600" s="1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0"/>
      <c r="V600" s="11"/>
      <c r="W600" s="10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2.75" customHeight="1">
      <c r="A601" s="10"/>
      <c r="B601" s="11"/>
      <c r="C601" s="10"/>
      <c r="D601" s="11"/>
      <c r="E601" s="10"/>
      <c r="F601" s="1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0"/>
      <c r="V601" s="11"/>
      <c r="W601" s="10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2.75" customHeight="1">
      <c r="A602" s="10"/>
      <c r="B602" s="11"/>
      <c r="C602" s="10"/>
      <c r="D602" s="11"/>
      <c r="E602" s="10"/>
      <c r="F602" s="1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0"/>
      <c r="V602" s="11"/>
      <c r="W602" s="10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2.75" customHeight="1">
      <c r="A603" s="10"/>
      <c r="B603" s="11"/>
      <c r="C603" s="10"/>
      <c r="D603" s="11"/>
      <c r="E603" s="10"/>
      <c r="F603" s="1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0"/>
      <c r="V603" s="11"/>
      <c r="W603" s="10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2.75" customHeight="1">
      <c r="A604" s="10"/>
      <c r="B604" s="11"/>
      <c r="C604" s="10"/>
      <c r="D604" s="11"/>
      <c r="E604" s="10"/>
      <c r="F604" s="1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0"/>
      <c r="V604" s="11"/>
      <c r="W604" s="10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2.75" customHeight="1">
      <c r="A605" s="10"/>
      <c r="B605" s="11"/>
      <c r="C605" s="10"/>
      <c r="D605" s="11"/>
      <c r="E605" s="10"/>
      <c r="F605" s="1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0"/>
      <c r="V605" s="11"/>
      <c r="W605" s="10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2.75" customHeight="1">
      <c r="A606" s="10"/>
      <c r="B606" s="11"/>
      <c r="C606" s="10"/>
      <c r="D606" s="11"/>
      <c r="E606" s="10"/>
      <c r="F606" s="1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0"/>
      <c r="V606" s="11"/>
      <c r="W606" s="10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2.75" customHeight="1">
      <c r="A607" s="10"/>
      <c r="B607" s="11"/>
      <c r="C607" s="10"/>
      <c r="D607" s="11"/>
      <c r="E607" s="10"/>
      <c r="F607" s="1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0"/>
      <c r="V607" s="11"/>
      <c r="W607" s="10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2.75" customHeight="1">
      <c r="A608" s="10"/>
      <c r="B608" s="11"/>
      <c r="C608" s="10"/>
      <c r="D608" s="11"/>
      <c r="E608" s="10"/>
      <c r="F608" s="1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0"/>
      <c r="V608" s="11"/>
      <c r="W608" s="10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2.75" customHeight="1">
      <c r="A609" s="10"/>
      <c r="B609" s="11"/>
      <c r="C609" s="10"/>
      <c r="D609" s="11"/>
      <c r="E609" s="10"/>
      <c r="F609" s="1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0"/>
      <c r="V609" s="11"/>
      <c r="W609" s="10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2.75" customHeight="1">
      <c r="A610" s="10"/>
      <c r="B610" s="11"/>
      <c r="C610" s="10"/>
      <c r="D610" s="11"/>
      <c r="E610" s="10"/>
      <c r="F610" s="1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0"/>
      <c r="V610" s="11"/>
      <c r="W610" s="10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2.75" customHeight="1">
      <c r="A611" s="10"/>
      <c r="B611" s="11"/>
      <c r="C611" s="10"/>
      <c r="D611" s="11"/>
      <c r="E611" s="10"/>
      <c r="F611" s="1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0"/>
      <c r="V611" s="11"/>
      <c r="W611" s="10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2.75" customHeight="1">
      <c r="A612" s="10"/>
      <c r="B612" s="11"/>
      <c r="C612" s="10"/>
      <c r="D612" s="11"/>
      <c r="E612" s="10"/>
      <c r="F612" s="1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0"/>
      <c r="V612" s="11"/>
      <c r="W612" s="10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2.75" customHeight="1">
      <c r="A613" s="10"/>
      <c r="B613" s="11"/>
      <c r="C613" s="10"/>
      <c r="D613" s="11"/>
      <c r="E613" s="10"/>
      <c r="F613" s="1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0"/>
      <c r="V613" s="11"/>
      <c r="W613" s="10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2.75" customHeight="1">
      <c r="A614" s="10"/>
      <c r="B614" s="11"/>
      <c r="C614" s="10"/>
      <c r="D614" s="11"/>
      <c r="E614" s="10"/>
      <c r="F614" s="1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0"/>
      <c r="V614" s="11"/>
      <c r="W614" s="10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2.75" customHeight="1">
      <c r="A615" s="10"/>
      <c r="B615" s="11"/>
      <c r="C615" s="10"/>
      <c r="D615" s="11"/>
      <c r="E615" s="10"/>
      <c r="F615" s="1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0"/>
      <c r="V615" s="11"/>
      <c r="W615" s="10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2.75" customHeight="1">
      <c r="A616" s="10"/>
      <c r="B616" s="11"/>
      <c r="C616" s="10"/>
      <c r="D616" s="11"/>
      <c r="E616" s="10"/>
      <c r="F616" s="1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0"/>
      <c r="V616" s="11"/>
      <c r="W616" s="10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2.75" customHeight="1">
      <c r="A617" s="10"/>
      <c r="B617" s="11"/>
      <c r="C617" s="10"/>
      <c r="D617" s="11"/>
      <c r="E617" s="10"/>
      <c r="F617" s="1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0"/>
      <c r="V617" s="11"/>
      <c r="W617" s="10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2.75" customHeight="1">
      <c r="A618" s="10"/>
      <c r="B618" s="11"/>
      <c r="C618" s="10"/>
      <c r="D618" s="11"/>
      <c r="E618" s="10"/>
      <c r="F618" s="1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0"/>
      <c r="V618" s="11"/>
      <c r="W618" s="10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2.75" customHeight="1">
      <c r="A619" s="10"/>
      <c r="B619" s="11"/>
      <c r="C619" s="10"/>
      <c r="D619" s="11"/>
      <c r="E619" s="10"/>
      <c r="F619" s="1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0"/>
      <c r="V619" s="11"/>
      <c r="W619" s="10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2.75" customHeight="1">
      <c r="A620" s="10"/>
      <c r="B620" s="11"/>
      <c r="C620" s="10"/>
      <c r="D620" s="11"/>
      <c r="E620" s="10"/>
      <c r="F620" s="1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0"/>
      <c r="V620" s="11"/>
      <c r="W620" s="10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2.75" customHeight="1">
      <c r="A621" s="10"/>
      <c r="B621" s="11"/>
      <c r="C621" s="10"/>
      <c r="D621" s="11"/>
      <c r="E621" s="10"/>
      <c r="F621" s="1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0"/>
      <c r="V621" s="11"/>
      <c r="W621" s="10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2.75" customHeight="1">
      <c r="A622" s="10"/>
      <c r="B622" s="11"/>
      <c r="C622" s="10"/>
      <c r="D622" s="11"/>
      <c r="E622" s="10"/>
      <c r="F622" s="1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0"/>
      <c r="V622" s="11"/>
      <c r="W622" s="10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2.75" customHeight="1">
      <c r="A623" s="10"/>
      <c r="B623" s="11"/>
      <c r="C623" s="10"/>
      <c r="D623" s="11"/>
      <c r="E623" s="10"/>
      <c r="F623" s="1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0"/>
      <c r="V623" s="11"/>
      <c r="W623" s="10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2.75" customHeight="1">
      <c r="A624" s="10"/>
      <c r="B624" s="11"/>
      <c r="C624" s="10"/>
      <c r="D624" s="11"/>
      <c r="E624" s="10"/>
      <c r="F624" s="1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0"/>
      <c r="V624" s="11"/>
      <c r="W624" s="10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2.75" customHeight="1">
      <c r="A625" s="10"/>
      <c r="B625" s="11"/>
      <c r="C625" s="10"/>
      <c r="D625" s="11"/>
      <c r="E625" s="10"/>
      <c r="F625" s="1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0"/>
      <c r="V625" s="11"/>
      <c r="W625" s="10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2.75" customHeight="1">
      <c r="A626" s="10"/>
      <c r="B626" s="11"/>
      <c r="C626" s="10"/>
      <c r="D626" s="11"/>
      <c r="E626" s="10"/>
      <c r="F626" s="1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0"/>
      <c r="V626" s="11"/>
      <c r="W626" s="10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2.75" customHeight="1">
      <c r="A627" s="10"/>
      <c r="B627" s="11"/>
      <c r="C627" s="10"/>
      <c r="D627" s="11"/>
      <c r="E627" s="10"/>
      <c r="F627" s="1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0"/>
      <c r="V627" s="11"/>
      <c r="W627" s="10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2.75" customHeight="1">
      <c r="A628" s="10"/>
      <c r="B628" s="11"/>
      <c r="C628" s="10"/>
      <c r="D628" s="11"/>
      <c r="E628" s="10"/>
      <c r="F628" s="1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0"/>
      <c r="V628" s="11"/>
      <c r="W628" s="10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2.75" customHeight="1">
      <c r="A629" s="10"/>
      <c r="B629" s="11"/>
      <c r="C629" s="10"/>
      <c r="D629" s="11"/>
      <c r="E629" s="10"/>
      <c r="F629" s="1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0"/>
      <c r="V629" s="11"/>
      <c r="W629" s="10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2.75" customHeight="1">
      <c r="A630" s="10"/>
      <c r="B630" s="11"/>
      <c r="C630" s="10"/>
      <c r="D630" s="11"/>
      <c r="E630" s="10"/>
      <c r="F630" s="1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0"/>
      <c r="V630" s="11"/>
      <c r="W630" s="10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2.75" customHeight="1">
      <c r="A631" s="10"/>
      <c r="B631" s="11"/>
      <c r="C631" s="10"/>
      <c r="D631" s="11"/>
      <c r="E631" s="10"/>
      <c r="F631" s="1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0"/>
      <c r="V631" s="11"/>
      <c r="W631" s="10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2.75" customHeight="1">
      <c r="A632" s="10"/>
      <c r="B632" s="11"/>
      <c r="C632" s="10"/>
      <c r="D632" s="11"/>
      <c r="E632" s="10"/>
      <c r="F632" s="1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0"/>
      <c r="V632" s="11"/>
      <c r="W632" s="10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2.75" customHeight="1">
      <c r="A633" s="10"/>
      <c r="B633" s="11"/>
      <c r="C633" s="10"/>
      <c r="D633" s="11"/>
      <c r="E633" s="10"/>
      <c r="F633" s="1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0"/>
      <c r="V633" s="11"/>
      <c r="W633" s="10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2.75" customHeight="1">
      <c r="A634" s="10"/>
      <c r="B634" s="11"/>
      <c r="C634" s="10"/>
      <c r="D634" s="11"/>
      <c r="E634" s="10"/>
      <c r="F634" s="1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0"/>
      <c r="V634" s="11"/>
      <c r="W634" s="10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2.75" customHeight="1">
      <c r="A635" s="10"/>
      <c r="B635" s="11"/>
      <c r="C635" s="10"/>
      <c r="D635" s="11"/>
      <c r="E635" s="10"/>
      <c r="F635" s="1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0"/>
      <c r="V635" s="11"/>
      <c r="W635" s="10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2.75" customHeight="1">
      <c r="A636" s="10"/>
      <c r="B636" s="11"/>
      <c r="C636" s="10"/>
      <c r="D636" s="11"/>
      <c r="E636" s="10"/>
      <c r="F636" s="1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0"/>
      <c r="V636" s="11"/>
      <c r="W636" s="10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2.75" customHeight="1">
      <c r="A637" s="10"/>
      <c r="B637" s="11"/>
      <c r="C637" s="10"/>
      <c r="D637" s="11"/>
      <c r="E637" s="10"/>
      <c r="F637" s="1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0"/>
      <c r="V637" s="11"/>
      <c r="W637" s="10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2.75" customHeight="1">
      <c r="A638" s="10"/>
      <c r="B638" s="11"/>
      <c r="C638" s="10"/>
      <c r="D638" s="11"/>
      <c r="E638" s="10"/>
      <c r="F638" s="1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0"/>
      <c r="V638" s="11"/>
      <c r="W638" s="10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2.75" customHeight="1">
      <c r="A639" s="10"/>
      <c r="B639" s="11"/>
      <c r="C639" s="10"/>
      <c r="D639" s="11"/>
      <c r="E639" s="10"/>
      <c r="F639" s="1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0"/>
      <c r="V639" s="11"/>
      <c r="W639" s="10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2.75" customHeight="1">
      <c r="A640" s="10"/>
      <c r="B640" s="11"/>
      <c r="C640" s="10"/>
      <c r="D640" s="11"/>
      <c r="E640" s="10"/>
      <c r="F640" s="1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0"/>
      <c r="V640" s="11"/>
      <c r="W640" s="10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2.75" customHeight="1">
      <c r="A641" s="10"/>
      <c r="B641" s="11"/>
      <c r="C641" s="10"/>
      <c r="D641" s="11"/>
      <c r="E641" s="10"/>
      <c r="F641" s="1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0"/>
      <c r="V641" s="11"/>
      <c r="W641" s="10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2.75" customHeight="1">
      <c r="A642" s="10"/>
      <c r="B642" s="11"/>
      <c r="C642" s="10"/>
      <c r="D642" s="11"/>
      <c r="E642" s="10"/>
      <c r="F642" s="1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0"/>
      <c r="V642" s="11"/>
      <c r="W642" s="10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2.75" customHeight="1">
      <c r="A643" s="10"/>
      <c r="B643" s="11"/>
      <c r="C643" s="10"/>
      <c r="D643" s="11"/>
      <c r="E643" s="10"/>
      <c r="F643" s="1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0"/>
      <c r="V643" s="11"/>
      <c r="W643" s="10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2.75" customHeight="1">
      <c r="A644" s="10"/>
      <c r="B644" s="11"/>
      <c r="C644" s="10"/>
      <c r="D644" s="11"/>
      <c r="E644" s="10"/>
      <c r="F644" s="1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0"/>
      <c r="V644" s="11"/>
      <c r="W644" s="10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2.75" customHeight="1">
      <c r="A645" s="10"/>
      <c r="B645" s="11"/>
      <c r="C645" s="10"/>
      <c r="D645" s="11"/>
      <c r="E645" s="10"/>
      <c r="F645" s="1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0"/>
      <c r="V645" s="11"/>
      <c r="W645" s="10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2.75" customHeight="1">
      <c r="A646" s="10"/>
      <c r="B646" s="11"/>
      <c r="C646" s="10"/>
      <c r="D646" s="11"/>
      <c r="E646" s="10"/>
      <c r="F646" s="1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0"/>
      <c r="V646" s="11"/>
      <c r="W646" s="10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2.75" customHeight="1">
      <c r="A647" s="10"/>
      <c r="B647" s="11"/>
      <c r="C647" s="10"/>
      <c r="D647" s="11"/>
      <c r="E647" s="10"/>
      <c r="F647" s="1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0"/>
      <c r="V647" s="11"/>
      <c r="W647" s="10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2.75" customHeight="1">
      <c r="A648" s="10"/>
      <c r="B648" s="11"/>
      <c r="C648" s="10"/>
      <c r="D648" s="11"/>
      <c r="E648" s="10"/>
      <c r="F648" s="1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0"/>
      <c r="V648" s="11"/>
      <c r="W648" s="10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2.75" customHeight="1">
      <c r="A649" s="10"/>
      <c r="B649" s="11"/>
      <c r="C649" s="10"/>
      <c r="D649" s="11"/>
      <c r="E649" s="10"/>
      <c r="F649" s="1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0"/>
      <c r="V649" s="11"/>
      <c r="W649" s="10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2.75" customHeight="1">
      <c r="A650" s="10"/>
      <c r="B650" s="11"/>
      <c r="C650" s="10"/>
      <c r="D650" s="11"/>
      <c r="E650" s="10"/>
      <c r="F650" s="1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0"/>
      <c r="V650" s="11"/>
      <c r="W650" s="10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2.75" customHeight="1">
      <c r="A651" s="10"/>
      <c r="B651" s="11"/>
      <c r="C651" s="10"/>
      <c r="D651" s="11"/>
      <c r="E651" s="10"/>
      <c r="F651" s="1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0"/>
      <c r="V651" s="11"/>
      <c r="W651" s="10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2.75" customHeight="1">
      <c r="A652" s="10"/>
      <c r="B652" s="11"/>
      <c r="C652" s="10"/>
      <c r="D652" s="11"/>
      <c r="E652" s="10"/>
      <c r="F652" s="1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0"/>
      <c r="V652" s="11"/>
      <c r="W652" s="10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2.75" customHeight="1">
      <c r="A653" s="10"/>
      <c r="B653" s="11"/>
      <c r="C653" s="10"/>
      <c r="D653" s="11"/>
      <c r="E653" s="10"/>
      <c r="F653" s="1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0"/>
      <c r="V653" s="11"/>
      <c r="W653" s="10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2.75" customHeight="1">
      <c r="A654" s="10"/>
      <c r="B654" s="11"/>
      <c r="C654" s="10"/>
      <c r="D654" s="11"/>
      <c r="E654" s="10"/>
      <c r="F654" s="1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0"/>
      <c r="V654" s="11"/>
      <c r="W654" s="10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2.75" customHeight="1">
      <c r="A655" s="10"/>
      <c r="B655" s="11"/>
      <c r="C655" s="10"/>
      <c r="D655" s="11"/>
      <c r="E655" s="10"/>
      <c r="F655" s="1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0"/>
      <c r="V655" s="11"/>
      <c r="W655" s="10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2.75" customHeight="1">
      <c r="A656" s="10"/>
      <c r="B656" s="11"/>
      <c r="C656" s="10"/>
      <c r="D656" s="11"/>
      <c r="E656" s="10"/>
      <c r="F656" s="1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0"/>
      <c r="V656" s="11"/>
      <c r="W656" s="10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2.75" customHeight="1">
      <c r="A657" s="10"/>
      <c r="B657" s="11"/>
      <c r="C657" s="10"/>
      <c r="D657" s="11"/>
      <c r="E657" s="10"/>
      <c r="F657" s="1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0"/>
      <c r="V657" s="11"/>
      <c r="W657" s="10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2.75" customHeight="1">
      <c r="A658" s="10"/>
      <c r="B658" s="11"/>
      <c r="C658" s="10"/>
      <c r="D658" s="11"/>
      <c r="E658" s="10"/>
      <c r="F658" s="1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0"/>
      <c r="V658" s="11"/>
      <c r="W658" s="10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2.75" customHeight="1">
      <c r="A659" s="10"/>
      <c r="B659" s="11"/>
      <c r="C659" s="10"/>
      <c r="D659" s="11"/>
      <c r="E659" s="10"/>
      <c r="F659" s="1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0"/>
      <c r="V659" s="11"/>
      <c r="W659" s="10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2.75" customHeight="1">
      <c r="A660" s="10"/>
      <c r="B660" s="11"/>
      <c r="C660" s="10"/>
      <c r="D660" s="11"/>
      <c r="E660" s="10"/>
      <c r="F660" s="1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0"/>
      <c r="V660" s="11"/>
      <c r="W660" s="10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2.75" customHeight="1">
      <c r="A661" s="10"/>
      <c r="B661" s="11"/>
      <c r="C661" s="10"/>
      <c r="D661" s="11"/>
      <c r="E661" s="10"/>
      <c r="F661" s="1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0"/>
      <c r="V661" s="11"/>
      <c r="W661" s="10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2.75" customHeight="1">
      <c r="A662" s="10"/>
      <c r="B662" s="11"/>
      <c r="C662" s="10"/>
      <c r="D662" s="11"/>
      <c r="E662" s="10"/>
      <c r="F662" s="1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0"/>
      <c r="V662" s="11"/>
      <c r="W662" s="10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2.75" customHeight="1">
      <c r="A663" s="10"/>
      <c r="B663" s="11"/>
      <c r="C663" s="10"/>
      <c r="D663" s="11"/>
      <c r="E663" s="10"/>
      <c r="F663" s="1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0"/>
      <c r="V663" s="11"/>
      <c r="W663" s="10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2.75" customHeight="1">
      <c r="A664" s="10"/>
      <c r="B664" s="11"/>
      <c r="C664" s="10"/>
      <c r="D664" s="11"/>
      <c r="E664" s="10"/>
      <c r="F664" s="1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0"/>
      <c r="V664" s="11"/>
      <c r="W664" s="10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2.75" customHeight="1">
      <c r="A665" s="10"/>
      <c r="B665" s="11"/>
      <c r="C665" s="10"/>
      <c r="D665" s="11"/>
      <c r="E665" s="10"/>
      <c r="F665" s="1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0"/>
      <c r="V665" s="11"/>
      <c r="W665" s="10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2.75" customHeight="1">
      <c r="A666" s="10"/>
      <c r="B666" s="11"/>
      <c r="C666" s="10"/>
      <c r="D666" s="11"/>
      <c r="E666" s="10"/>
      <c r="F666" s="1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0"/>
      <c r="V666" s="11"/>
      <c r="W666" s="10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2.75" customHeight="1">
      <c r="A667" s="10"/>
      <c r="B667" s="11"/>
      <c r="C667" s="10"/>
      <c r="D667" s="11"/>
      <c r="E667" s="10"/>
      <c r="F667" s="1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0"/>
      <c r="V667" s="11"/>
      <c r="W667" s="10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2.75" customHeight="1">
      <c r="A668" s="10"/>
      <c r="B668" s="11"/>
      <c r="C668" s="10"/>
      <c r="D668" s="11"/>
      <c r="E668" s="10"/>
      <c r="F668" s="1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0"/>
      <c r="V668" s="11"/>
      <c r="W668" s="10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2.75" customHeight="1">
      <c r="A669" s="10"/>
      <c r="B669" s="11"/>
      <c r="C669" s="10"/>
      <c r="D669" s="11"/>
      <c r="E669" s="10"/>
      <c r="F669" s="1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0"/>
      <c r="V669" s="11"/>
      <c r="W669" s="10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2.75" customHeight="1">
      <c r="A670" s="10"/>
      <c r="B670" s="11"/>
      <c r="C670" s="10"/>
      <c r="D670" s="11"/>
      <c r="E670" s="10"/>
      <c r="F670" s="1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0"/>
      <c r="V670" s="11"/>
      <c r="W670" s="10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2.75" customHeight="1">
      <c r="A671" s="10"/>
      <c r="B671" s="11"/>
      <c r="C671" s="10"/>
      <c r="D671" s="11"/>
      <c r="E671" s="10"/>
      <c r="F671" s="1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0"/>
      <c r="V671" s="11"/>
      <c r="W671" s="10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2.75" customHeight="1">
      <c r="A672" s="10"/>
      <c r="B672" s="11"/>
      <c r="C672" s="10"/>
      <c r="D672" s="11"/>
      <c r="E672" s="10"/>
      <c r="F672" s="1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0"/>
      <c r="V672" s="11"/>
      <c r="W672" s="10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2.75" customHeight="1">
      <c r="A673" s="10"/>
      <c r="B673" s="11"/>
      <c r="C673" s="10"/>
      <c r="D673" s="11"/>
      <c r="E673" s="10"/>
      <c r="F673" s="1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0"/>
      <c r="V673" s="11"/>
      <c r="W673" s="10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2.75" customHeight="1">
      <c r="A674" s="10"/>
      <c r="B674" s="11"/>
      <c r="C674" s="10"/>
      <c r="D674" s="11"/>
      <c r="E674" s="10"/>
      <c r="F674" s="1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0"/>
      <c r="V674" s="11"/>
      <c r="W674" s="10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2.75" customHeight="1">
      <c r="A675" s="10"/>
      <c r="B675" s="11"/>
      <c r="C675" s="10"/>
      <c r="D675" s="11"/>
      <c r="E675" s="10"/>
      <c r="F675" s="1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0"/>
      <c r="V675" s="11"/>
      <c r="W675" s="10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2.75" customHeight="1">
      <c r="A676" s="10"/>
      <c r="B676" s="11"/>
      <c r="C676" s="10"/>
      <c r="D676" s="11"/>
      <c r="E676" s="10"/>
      <c r="F676" s="1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0"/>
      <c r="V676" s="11"/>
      <c r="W676" s="10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2.75" customHeight="1">
      <c r="A677" s="10"/>
      <c r="B677" s="11"/>
      <c r="C677" s="10"/>
      <c r="D677" s="11"/>
      <c r="E677" s="10"/>
      <c r="F677" s="1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0"/>
      <c r="V677" s="11"/>
      <c r="W677" s="10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2.75" customHeight="1">
      <c r="A678" s="10"/>
      <c r="B678" s="11"/>
      <c r="C678" s="10"/>
      <c r="D678" s="11"/>
      <c r="E678" s="10"/>
      <c r="F678" s="1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0"/>
      <c r="V678" s="11"/>
      <c r="W678" s="10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2.75" customHeight="1">
      <c r="A679" s="10"/>
      <c r="B679" s="11"/>
      <c r="C679" s="10"/>
      <c r="D679" s="11"/>
      <c r="E679" s="10"/>
      <c r="F679" s="1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0"/>
      <c r="V679" s="11"/>
      <c r="W679" s="10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2.75" customHeight="1">
      <c r="A680" s="10"/>
      <c r="B680" s="11"/>
      <c r="C680" s="10"/>
      <c r="D680" s="11"/>
      <c r="E680" s="10"/>
      <c r="F680" s="1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0"/>
      <c r="V680" s="11"/>
      <c r="W680" s="10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2.75" customHeight="1">
      <c r="A681" s="10"/>
      <c r="B681" s="11"/>
      <c r="C681" s="10"/>
      <c r="D681" s="11"/>
      <c r="E681" s="10"/>
      <c r="F681" s="1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0"/>
      <c r="V681" s="11"/>
      <c r="W681" s="10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2.75" customHeight="1">
      <c r="A682" s="10"/>
      <c r="B682" s="11"/>
      <c r="C682" s="10"/>
      <c r="D682" s="11"/>
      <c r="E682" s="10"/>
      <c r="F682" s="1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0"/>
      <c r="V682" s="11"/>
      <c r="W682" s="10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2.75" customHeight="1">
      <c r="A683" s="10"/>
      <c r="B683" s="11"/>
      <c r="C683" s="10"/>
      <c r="D683" s="11"/>
      <c r="E683" s="10"/>
      <c r="F683" s="1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0"/>
      <c r="V683" s="11"/>
      <c r="W683" s="10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2.75" customHeight="1">
      <c r="A684" s="10"/>
      <c r="B684" s="11"/>
      <c r="C684" s="10"/>
      <c r="D684" s="11"/>
      <c r="E684" s="10"/>
      <c r="F684" s="1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0"/>
      <c r="V684" s="11"/>
      <c r="W684" s="10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2.75" customHeight="1">
      <c r="A685" s="10"/>
      <c r="B685" s="11"/>
      <c r="C685" s="10"/>
      <c r="D685" s="11"/>
      <c r="E685" s="10"/>
      <c r="F685" s="1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0"/>
      <c r="V685" s="11"/>
      <c r="W685" s="10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2.75" customHeight="1">
      <c r="A686" s="10"/>
      <c r="B686" s="11"/>
      <c r="C686" s="10"/>
      <c r="D686" s="11"/>
      <c r="E686" s="10"/>
      <c r="F686" s="1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0"/>
      <c r="V686" s="11"/>
      <c r="W686" s="10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2.75" customHeight="1">
      <c r="A687" s="10"/>
      <c r="B687" s="11"/>
      <c r="C687" s="10"/>
      <c r="D687" s="11"/>
      <c r="E687" s="10"/>
      <c r="F687" s="1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0"/>
      <c r="V687" s="11"/>
      <c r="W687" s="10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2.75" customHeight="1">
      <c r="A688" s="10"/>
      <c r="B688" s="11"/>
      <c r="C688" s="10"/>
      <c r="D688" s="11"/>
      <c r="E688" s="10"/>
      <c r="F688" s="1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0"/>
      <c r="V688" s="11"/>
      <c r="W688" s="10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2.75" customHeight="1">
      <c r="A689" s="10"/>
      <c r="B689" s="11"/>
      <c r="C689" s="10"/>
      <c r="D689" s="11"/>
      <c r="E689" s="10"/>
      <c r="F689" s="1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0"/>
      <c r="V689" s="11"/>
      <c r="W689" s="10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2.75" customHeight="1">
      <c r="A690" s="10"/>
      <c r="B690" s="11"/>
      <c r="C690" s="10"/>
      <c r="D690" s="11"/>
      <c r="E690" s="10"/>
      <c r="F690" s="1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0"/>
      <c r="V690" s="11"/>
      <c r="W690" s="10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2.75" customHeight="1">
      <c r="A691" s="10"/>
      <c r="B691" s="11"/>
      <c r="C691" s="10"/>
      <c r="D691" s="11"/>
      <c r="E691" s="10"/>
      <c r="F691" s="1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0"/>
      <c r="V691" s="11"/>
      <c r="W691" s="10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2.75" customHeight="1">
      <c r="A692" s="10"/>
      <c r="B692" s="11"/>
      <c r="C692" s="10"/>
      <c r="D692" s="11"/>
      <c r="E692" s="10"/>
      <c r="F692" s="1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0"/>
      <c r="V692" s="11"/>
      <c r="W692" s="10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2.75" customHeight="1">
      <c r="A693" s="10"/>
      <c r="B693" s="11"/>
      <c r="C693" s="10"/>
      <c r="D693" s="11"/>
      <c r="E693" s="10"/>
      <c r="F693" s="1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0"/>
      <c r="V693" s="11"/>
      <c r="W693" s="10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2.75" customHeight="1">
      <c r="A694" s="10"/>
      <c r="B694" s="11"/>
      <c r="C694" s="10"/>
      <c r="D694" s="11"/>
      <c r="E694" s="10"/>
      <c r="F694" s="1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0"/>
      <c r="V694" s="11"/>
      <c r="W694" s="10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2.75" customHeight="1">
      <c r="A695" s="10"/>
      <c r="B695" s="11"/>
      <c r="C695" s="10"/>
      <c r="D695" s="11"/>
      <c r="E695" s="10"/>
      <c r="F695" s="1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0"/>
      <c r="V695" s="11"/>
      <c r="W695" s="10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2.75" customHeight="1">
      <c r="A696" s="10"/>
      <c r="B696" s="11"/>
      <c r="C696" s="10"/>
      <c r="D696" s="11"/>
      <c r="E696" s="10"/>
      <c r="F696" s="1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0"/>
      <c r="V696" s="11"/>
      <c r="W696" s="10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2.75" customHeight="1">
      <c r="A697" s="10"/>
      <c r="B697" s="11"/>
      <c r="C697" s="10"/>
      <c r="D697" s="11"/>
      <c r="E697" s="10"/>
      <c r="F697" s="1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0"/>
      <c r="V697" s="11"/>
      <c r="W697" s="10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2.75" customHeight="1">
      <c r="A698" s="10"/>
      <c r="B698" s="11"/>
      <c r="C698" s="10"/>
      <c r="D698" s="11"/>
      <c r="E698" s="10"/>
      <c r="F698" s="1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0"/>
      <c r="V698" s="11"/>
      <c r="W698" s="10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2.75" customHeight="1">
      <c r="A699" s="10"/>
      <c r="B699" s="11"/>
      <c r="C699" s="10"/>
      <c r="D699" s="11"/>
      <c r="E699" s="10"/>
      <c r="F699" s="1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0"/>
      <c r="V699" s="11"/>
      <c r="W699" s="10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2.75" customHeight="1">
      <c r="A700" s="10"/>
      <c r="B700" s="11"/>
      <c r="C700" s="10"/>
      <c r="D700" s="11"/>
      <c r="E700" s="10"/>
      <c r="F700" s="1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0"/>
      <c r="V700" s="11"/>
      <c r="W700" s="10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2.75" customHeight="1">
      <c r="A701" s="10"/>
      <c r="B701" s="11"/>
      <c r="C701" s="10"/>
      <c r="D701" s="11"/>
      <c r="E701" s="10"/>
      <c r="F701" s="1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0"/>
      <c r="V701" s="11"/>
      <c r="W701" s="10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2.75" customHeight="1">
      <c r="A702" s="10"/>
      <c r="B702" s="11"/>
      <c r="C702" s="10"/>
      <c r="D702" s="11"/>
      <c r="E702" s="10"/>
      <c r="F702" s="1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0"/>
      <c r="V702" s="11"/>
      <c r="W702" s="10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2.75" customHeight="1">
      <c r="A703" s="10"/>
      <c r="B703" s="11"/>
      <c r="C703" s="10"/>
      <c r="D703" s="11"/>
      <c r="E703" s="10"/>
      <c r="F703" s="1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0"/>
      <c r="V703" s="11"/>
      <c r="W703" s="10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2.75" customHeight="1">
      <c r="A704" s="10"/>
      <c r="B704" s="11"/>
      <c r="C704" s="10"/>
      <c r="D704" s="11"/>
      <c r="E704" s="10"/>
      <c r="F704" s="1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0"/>
      <c r="V704" s="11"/>
      <c r="W704" s="10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2.75" customHeight="1">
      <c r="A705" s="10"/>
      <c r="B705" s="11"/>
      <c r="C705" s="10"/>
      <c r="D705" s="11"/>
      <c r="E705" s="10"/>
      <c r="F705" s="1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0"/>
      <c r="V705" s="11"/>
      <c r="W705" s="10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2.75" customHeight="1">
      <c r="A706" s="10"/>
      <c r="B706" s="11"/>
      <c r="C706" s="10"/>
      <c r="D706" s="11"/>
      <c r="E706" s="10"/>
      <c r="F706" s="1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0"/>
      <c r="V706" s="11"/>
      <c r="W706" s="10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2.75" customHeight="1">
      <c r="A707" s="10"/>
      <c r="B707" s="11"/>
      <c r="C707" s="10"/>
      <c r="D707" s="11"/>
      <c r="E707" s="10"/>
      <c r="F707" s="1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0"/>
      <c r="V707" s="11"/>
      <c r="W707" s="10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2.75" customHeight="1">
      <c r="A708" s="10"/>
      <c r="B708" s="11"/>
      <c r="C708" s="10"/>
      <c r="D708" s="11"/>
      <c r="E708" s="10"/>
      <c r="F708" s="1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0"/>
      <c r="V708" s="11"/>
      <c r="W708" s="10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2.75" customHeight="1">
      <c r="A709" s="10"/>
      <c r="B709" s="11"/>
      <c r="C709" s="10"/>
      <c r="D709" s="11"/>
      <c r="E709" s="10"/>
      <c r="F709" s="1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0"/>
      <c r="V709" s="11"/>
      <c r="W709" s="10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2.75" customHeight="1">
      <c r="A710" s="10"/>
      <c r="B710" s="11"/>
      <c r="C710" s="10"/>
      <c r="D710" s="11"/>
      <c r="E710" s="10"/>
      <c r="F710" s="1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0"/>
      <c r="V710" s="11"/>
      <c r="W710" s="10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2.75" customHeight="1">
      <c r="A711" s="10"/>
      <c r="B711" s="11"/>
      <c r="C711" s="10"/>
      <c r="D711" s="11"/>
      <c r="E711" s="10"/>
      <c r="F711" s="1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0"/>
      <c r="V711" s="11"/>
      <c r="W711" s="10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2.75" customHeight="1">
      <c r="A712" s="10"/>
      <c r="B712" s="11"/>
      <c r="C712" s="10"/>
      <c r="D712" s="11"/>
      <c r="E712" s="10"/>
      <c r="F712" s="1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0"/>
      <c r="V712" s="11"/>
      <c r="W712" s="10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2.75" customHeight="1">
      <c r="A713" s="10"/>
      <c r="B713" s="11"/>
      <c r="C713" s="10"/>
      <c r="D713" s="11"/>
      <c r="E713" s="10"/>
      <c r="F713" s="1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0"/>
      <c r="V713" s="11"/>
      <c r="W713" s="10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2.75" customHeight="1">
      <c r="A714" s="10"/>
      <c r="B714" s="11"/>
      <c r="C714" s="10"/>
      <c r="D714" s="11"/>
      <c r="E714" s="10"/>
      <c r="F714" s="1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0"/>
      <c r="V714" s="11"/>
      <c r="W714" s="10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2.75" customHeight="1">
      <c r="A715" s="10"/>
      <c r="B715" s="11"/>
      <c r="C715" s="10"/>
      <c r="D715" s="11"/>
      <c r="E715" s="10"/>
      <c r="F715" s="1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0"/>
      <c r="V715" s="11"/>
      <c r="W715" s="10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2.75" customHeight="1">
      <c r="A716" s="10"/>
      <c r="B716" s="11"/>
      <c r="C716" s="10"/>
      <c r="D716" s="11"/>
      <c r="E716" s="10"/>
      <c r="F716" s="1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0"/>
      <c r="V716" s="11"/>
      <c r="W716" s="10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2.75" customHeight="1">
      <c r="A717" s="10"/>
      <c r="B717" s="11"/>
      <c r="C717" s="10"/>
      <c r="D717" s="11"/>
      <c r="E717" s="10"/>
      <c r="F717" s="1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0"/>
      <c r="V717" s="11"/>
      <c r="W717" s="10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2.75" customHeight="1">
      <c r="A718" s="10"/>
      <c r="B718" s="11"/>
      <c r="C718" s="10"/>
      <c r="D718" s="11"/>
      <c r="E718" s="10"/>
      <c r="F718" s="1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0"/>
      <c r="V718" s="11"/>
      <c r="W718" s="10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2.75" customHeight="1">
      <c r="A719" s="10"/>
      <c r="B719" s="11"/>
      <c r="C719" s="10"/>
      <c r="D719" s="11"/>
      <c r="E719" s="10"/>
      <c r="F719" s="1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0"/>
      <c r="V719" s="11"/>
      <c r="W719" s="10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2.75" customHeight="1">
      <c r="A720" s="10"/>
      <c r="B720" s="11"/>
      <c r="C720" s="10"/>
      <c r="D720" s="11"/>
      <c r="E720" s="10"/>
      <c r="F720" s="1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0"/>
      <c r="V720" s="11"/>
      <c r="W720" s="10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2.75" customHeight="1">
      <c r="A721" s="10"/>
      <c r="B721" s="11"/>
      <c r="C721" s="10"/>
      <c r="D721" s="11"/>
      <c r="E721" s="10"/>
      <c r="F721" s="1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0"/>
      <c r="V721" s="11"/>
      <c r="W721" s="10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2.75" customHeight="1">
      <c r="A722" s="10"/>
      <c r="B722" s="11"/>
      <c r="C722" s="10"/>
      <c r="D722" s="11"/>
      <c r="E722" s="10"/>
      <c r="F722" s="1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0"/>
      <c r="V722" s="11"/>
      <c r="W722" s="10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2.75" customHeight="1">
      <c r="A723" s="10"/>
      <c r="B723" s="11"/>
      <c r="C723" s="10"/>
      <c r="D723" s="11"/>
      <c r="E723" s="10"/>
      <c r="F723" s="1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0"/>
      <c r="V723" s="11"/>
      <c r="W723" s="10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2.75" customHeight="1">
      <c r="A724" s="10"/>
      <c r="B724" s="11"/>
      <c r="C724" s="10"/>
      <c r="D724" s="11"/>
      <c r="E724" s="10"/>
      <c r="F724" s="1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0"/>
      <c r="V724" s="11"/>
      <c r="W724" s="10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2.75" customHeight="1">
      <c r="A725" s="10"/>
      <c r="B725" s="11"/>
      <c r="C725" s="10"/>
      <c r="D725" s="11"/>
      <c r="E725" s="10"/>
      <c r="F725" s="1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0"/>
      <c r="V725" s="11"/>
      <c r="W725" s="10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2.75" customHeight="1">
      <c r="A726" s="10"/>
      <c r="B726" s="11"/>
      <c r="C726" s="10"/>
      <c r="D726" s="11"/>
      <c r="E726" s="10"/>
      <c r="F726" s="1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0"/>
      <c r="V726" s="11"/>
      <c r="W726" s="10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2.75" customHeight="1">
      <c r="A727" s="10"/>
      <c r="B727" s="11"/>
      <c r="C727" s="10"/>
      <c r="D727" s="11"/>
      <c r="E727" s="10"/>
      <c r="F727" s="1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0"/>
      <c r="V727" s="11"/>
      <c r="W727" s="10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2.75" customHeight="1">
      <c r="A728" s="10"/>
      <c r="B728" s="11"/>
      <c r="C728" s="10"/>
      <c r="D728" s="11"/>
      <c r="E728" s="10"/>
      <c r="F728" s="1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0"/>
      <c r="V728" s="11"/>
      <c r="W728" s="10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2.75" customHeight="1">
      <c r="A729" s="10"/>
      <c r="B729" s="11"/>
      <c r="C729" s="10"/>
      <c r="D729" s="11"/>
      <c r="E729" s="10"/>
      <c r="F729" s="1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0"/>
      <c r="V729" s="11"/>
      <c r="W729" s="10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2.75" customHeight="1">
      <c r="A730" s="10"/>
      <c r="B730" s="11"/>
      <c r="C730" s="10"/>
      <c r="D730" s="11"/>
      <c r="E730" s="10"/>
      <c r="F730" s="1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0"/>
      <c r="V730" s="11"/>
      <c r="W730" s="10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2.75" customHeight="1">
      <c r="A731" s="10"/>
      <c r="B731" s="11"/>
      <c r="C731" s="10"/>
      <c r="D731" s="11"/>
      <c r="E731" s="10"/>
      <c r="F731" s="1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0"/>
      <c r="V731" s="11"/>
      <c r="W731" s="10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2.75" customHeight="1">
      <c r="A732" s="10"/>
      <c r="B732" s="11"/>
      <c r="C732" s="10"/>
      <c r="D732" s="11"/>
      <c r="E732" s="10"/>
      <c r="F732" s="1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0"/>
      <c r="V732" s="11"/>
      <c r="W732" s="10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2.75" customHeight="1">
      <c r="A733" s="10"/>
      <c r="B733" s="11"/>
      <c r="C733" s="10"/>
      <c r="D733" s="11"/>
      <c r="E733" s="10"/>
      <c r="F733" s="1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0"/>
      <c r="V733" s="11"/>
      <c r="W733" s="10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2.75" customHeight="1">
      <c r="A734" s="10"/>
      <c r="B734" s="11"/>
      <c r="C734" s="10"/>
      <c r="D734" s="11"/>
      <c r="E734" s="10"/>
      <c r="F734" s="1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0"/>
      <c r="V734" s="11"/>
      <c r="W734" s="10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2.75" customHeight="1">
      <c r="A735" s="10"/>
      <c r="B735" s="11"/>
      <c r="C735" s="10"/>
      <c r="D735" s="11"/>
      <c r="E735" s="10"/>
      <c r="F735" s="1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0"/>
      <c r="V735" s="11"/>
      <c r="W735" s="10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2.75" customHeight="1">
      <c r="A736" s="10"/>
      <c r="B736" s="11"/>
      <c r="C736" s="10"/>
      <c r="D736" s="11"/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0"/>
      <c r="V736" s="11"/>
      <c r="W736" s="10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2.75" customHeight="1">
      <c r="A737" s="10"/>
      <c r="B737" s="11"/>
      <c r="C737" s="10"/>
      <c r="D737" s="11"/>
      <c r="E737" s="10"/>
      <c r="F737" s="1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0"/>
      <c r="V737" s="11"/>
      <c r="W737" s="10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2.75" customHeight="1">
      <c r="A738" s="10"/>
      <c r="B738" s="11"/>
      <c r="C738" s="10"/>
      <c r="D738" s="11"/>
      <c r="E738" s="10"/>
      <c r="F738" s="1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0"/>
      <c r="V738" s="11"/>
      <c r="W738" s="10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2.75" customHeight="1">
      <c r="A739" s="10"/>
      <c r="B739" s="11"/>
      <c r="C739" s="10"/>
      <c r="D739" s="11"/>
      <c r="E739" s="10"/>
      <c r="F739" s="1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0"/>
      <c r="V739" s="11"/>
      <c r="W739" s="10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2.75" customHeight="1">
      <c r="A740" s="10"/>
      <c r="B740" s="11"/>
      <c r="C740" s="10"/>
      <c r="D740" s="11"/>
      <c r="E740" s="10"/>
      <c r="F740" s="1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0"/>
      <c r="V740" s="11"/>
      <c r="W740" s="10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2.75" customHeight="1">
      <c r="A741" s="10"/>
      <c r="B741" s="11"/>
      <c r="C741" s="10"/>
      <c r="D741" s="11"/>
      <c r="E741" s="10"/>
      <c r="F741" s="1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0"/>
      <c r="V741" s="11"/>
      <c r="W741" s="10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2.75" customHeight="1">
      <c r="A742" s="10"/>
      <c r="B742" s="11"/>
      <c r="C742" s="10"/>
      <c r="D742" s="11"/>
      <c r="E742" s="10"/>
      <c r="F742" s="1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0"/>
      <c r="V742" s="11"/>
      <c r="W742" s="10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2.75" customHeight="1">
      <c r="A743" s="10"/>
      <c r="B743" s="11"/>
      <c r="C743" s="10"/>
      <c r="D743" s="11"/>
      <c r="E743" s="10"/>
      <c r="F743" s="1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0"/>
      <c r="V743" s="11"/>
      <c r="W743" s="10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2.75" customHeight="1">
      <c r="A744" s="10"/>
      <c r="B744" s="11"/>
      <c r="C744" s="10"/>
      <c r="D744" s="11"/>
      <c r="E744" s="10"/>
      <c r="F744" s="1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0"/>
      <c r="V744" s="11"/>
      <c r="W744" s="10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2.75" customHeight="1">
      <c r="A745" s="10"/>
      <c r="B745" s="11"/>
      <c r="C745" s="10"/>
      <c r="D745" s="11"/>
      <c r="E745" s="10"/>
      <c r="F745" s="1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0"/>
      <c r="V745" s="11"/>
      <c r="W745" s="10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2.75" customHeight="1">
      <c r="A746" s="10"/>
      <c r="B746" s="11"/>
      <c r="C746" s="10"/>
      <c r="D746" s="11"/>
      <c r="E746" s="10"/>
      <c r="F746" s="1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0"/>
      <c r="V746" s="11"/>
      <c r="W746" s="10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2.75" customHeight="1">
      <c r="A747" s="10"/>
      <c r="B747" s="11"/>
      <c r="C747" s="10"/>
      <c r="D747" s="11"/>
      <c r="E747" s="10"/>
      <c r="F747" s="1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0"/>
      <c r="V747" s="11"/>
      <c r="W747" s="10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2.75" customHeight="1">
      <c r="A748" s="10"/>
      <c r="B748" s="11"/>
      <c r="C748" s="10"/>
      <c r="D748" s="11"/>
      <c r="E748" s="10"/>
      <c r="F748" s="1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0"/>
      <c r="V748" s="11"/>
      <c r="W748" s="10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2.75" customHeight="1">
      <c r="A749" s="10"/>
      <c r="B749" s="11"/>
      <c r="C749" s="10"/>
      <c r="D749" s="11"/>
      <c r="E749" s="10"/>
      <c r="F749" s="1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0"/>
      <c r="V749" s="11"/>
      <c r="W749" s="10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2.75" customHeight="1">
      <c r="A750" s="10"/>
      <c r="B750" s="11"/>
      <c r="C750" s="10"/>
      <c r="D750" s="11"/>
      <c r="E750" s="10"/>
      <c r="F750" s="1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0"/>
      <c r="V750" s="11"/>
      <c r="W750" s="10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2.75" customHeight="1">
      <c r="A751" s="10"/>
      <c r="B751" s="11"/>
      <c r="C751" s="10"/>
      <c r="D751" s="11"/>
      <c r="E751" s="10"/>
      <c r="F751" s="1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0"/>
      <c r="V751" s="11"/>
      <c r="W751" s="10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2.75" customHeight="1">
      <c r="A752" s="10"/>
      <c r="B752" s="11"/>
      <c r="C752" s="10"/>
      <c r="D752" s="11"/>
      <c r="E752" s="10"/>
      <c r="F752" s="1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0"/>
      <c r="V752" s="11"/>
      <c r="W752" s="10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2.75" customHeight="1">
      <c r="A753" s="10"/>
      <c r="B753" s="11"/>
      <c r="C753" s="10"/>
      <c r="D753" s="11"/>
      <c r="E753" s="10"/>
      <c r="F753" s="1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0"/>
      <c r="V753" s="11"/>
      <c r="W753" s="10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2.75" customHeight="1">
      <c r="A754" s="10"/>
      <c r="B754" s="11"/>
      <c r="C754" s="10"/>
      <c r="D754" s="11"/>
      <c r="E754" s="10"/>
      <c r="F754" s="1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0"/>
      <c r="V754" s="11"/>
      <c r="W754" s="10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2.75" customHeight="1">
      <c r="A755" s="10"/>
      <c r="B755" s="11"/>
      <c r="C755" s="10"/>
      <c r="D755" s="11"/>
      <c r="E755" s="10"/>
      <c r="F755" s="1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0"/>
      <c r="V755" s="11"/>
      <c r="W755" s="10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2.75" customHeight="1">
      <c r="A756" s="10"/>
      <c r="B756" s="11"/>
      <c r="C756" s="10"/>
      <c r="D756" s="11"/>
      <c r="E756" s="10"/>
      <c r="F756" s="1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0"/>
      <c r="V756" s="11"/>
      <c r="W756" s="10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2.75" customHeight="1">
      <c r="A757" s="10"/>
      <c r="B757" s="11"/>
      <c r="C757" s="10"/>
      <c r="D757" s="11"/>
      <c r="E757" s="10"/>
      <c r="F757" s="1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0"/>
      <c r="V757" s="11"/>
      <c r="W757" s="10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2.75" customHeight="1">
      <c r="A758" s="10"/>
      <c r="B758" s="11"/>
      <c r="C758" s="10"/>
      <c r="D758" s="11"/>
      <c r="E758" s="10"/>
      <c r="F758" s="1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0"/>
      <c r="V758" s="11"/>
      <c r="W758" s="10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2.75" customHeight="1">
      <c r="A759" s="10"/>
      <c r="B759" s="11"/>
      <c r="C759" s="10"/>
      <c r="D759" s="11"/>
      <c r="E759" s="10"/>
      <c r="F759" s="1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0"/>
      <c r="V759" s="11"/>
      <c r="W759" s="10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2.75" customHeight="1">
      <c r="A760" s="10"/>
      <c r="B760" s="11"/>
      <c r="C760" s="10"/>
      <c r="D760" s="11"/>
      <c r="E760" s="10"/>
      <c r="F760" s="1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0"/>
      <c r="V760" s="11"/>
      <c r="W760" s="10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2.75" customHeight="1">
      <c r="A761" s="10"/>
      <c r="B761" s="11"/>
      <c r="C761" s="10"/>
      <c r="D761" s="11"/>
      <c r="E761" s="10"/>
      <c r="F761" s="1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0"/>
      <c r="V761" s="11"/>
      <c r="W761" s="10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2.75" customHeight="1">
      <c r="A762" s="10"/>
      <c r="B762" s="11"/>
      <c r="C762" s="10"/>
      <c r="D762" s="11"/>
      <c r="E762" s="10"/>
      <c r="F762" s="1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0"/>
      <c r="V762" s="11"/>
      <c r="W762" s="10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2.75" customHeight="1">
      <c r="A763" s="10"/>
      <c r="B763" s="11"/>
      <c r="C763" s="10"/>
      <c r="D763" s="11"/>
      <c r="E763" s="10"/>
      <c r="F763" s="1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0"/>
      <c r="V763" s="11"/>
      <c r="W763" s="10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2.75" customHeight="1">
      <c r="A764" s="10"/>
      <c r="B764" s="11"/>
      <c r="C764" s="10"/>
      <c r="D764" s="11"/>
      <c r="E764" s="10"/>
      <c r="F764" s="1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0"/>
      <c r="V764" s="11"/>
      <c r="W764" s="10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2.75" customHeight="1">
      <c r="A765" s="10"/>
      <c r="B765" s="11"/>
      <c r="C765" s="10"/>
      <c r="D765" s="11"/>
      <c r="E765" s="10"/>
      <c r="F765" s="1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0"/>
      <c r="V765" s="11"/>
      <c r="W765" s="10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2.75" customHeight="1">
      <c r="A766" s="10"/>
      <c r="B766" s="11"/>
      <c r="C766" s="10"/>
      <c r="D766" s="11"/>
      <c r="E766" s="10"/>
      <c r="F766" s="1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0"/>
      <c r="V766" s="11"/>
      <c r="W766" s="10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2.75" customHeight="1">
      <c r="A767" s="10"/>
      <c r="B767" s="11"/>
      <c r="C767" s="10"/>
      <c r="D767" s="11"/>
      <c r="E767" s="10"/>
      <c r="F767" s="1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0"/>
      <c r="V767" s="11"/>
      <c r="W767" s="10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2.75" customHeight="1">
      <c r="A768" s="10"/>
      <c r="B768" s="11"/>
      <c r="C768" s="10"/>
      <c r="D768" s="11"/>
      <c r="E768" s="10"/>
      <c r="F768" s="1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0"/>
      <c r="V768" s="11"/>
      <c r="W768" s="10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2.75" customHeight="1">
      <c r="A769" s="10"/>
      <c r="B769" s="11"/>
      <c r="C769" s="10"/>
      <c r="D769" s="11"/>
      <c r="E769" s="10"/>
      <c r="F769" s="1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0"/>
      <c r="V769" s="11"/>
      <c r="W769" s="10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2.75" customHeight="1">
      <c r="A770" s="10"/>
      <c r="B770" s="11"/>
      <c r="C770" s="10"/>
      <c r="D770" s="11"/>
      <c r="E770" s="10"/>
      <c r="F770" s="1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0"/>
      <c r="V770" s="11"/>
      <c r="W770" s="10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2.75" customHeight="1">
      <c r="A771" s="10"/>
      <c r="B771" s="11"/>
      <c r="C771" s="10"/>
      <c r="D771" s="11"/>
      <c r="E771" s="10"/>
      <c r="F771" s="1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0"/>
      <c r="V771" s="11"/>
      <c r="W771" s="10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2.75" customHeight="1">
      <c r="A772" s="10"/>
      <c r="B772" s="11"/>
      <c r="C772" s="10"/>
      <c r="D772" s="11"/>
      <c r="E772" s="10"/>
      <c r="F772" s="1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0"/>
      <c r="V772" s="11"/>
      <c r="W772" s="10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2.75" customHeight="1">
      <c r="A773" s="10"/>
      <c r="B773" s="11"/>
      <c r="C773" s="10"/>
      <c r="D773" s="11"/>
      <c r="E773" s="10"/>
      <c r="F773" s="1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0"/>
      <c r="V773" s="11"/>
      <c r="W773" s="10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2.75" customHeight="1">
      <c r="A774" s="10"/>
      <c r="B774" s="11"/>
      <c r="C774" s="10"/>
      <c r="D774" s="11"/>
      <c r="E774" s="10"/>
      <c r="F774" s="1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0"/>
      <c r="V774" s="11"/>
      <c r="W774" s="10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2.75" customHeight="1">
      <c r="A775" s="10"/>
      <c r="B775" s="11"/>
      <c r="C775" s="10"/>
      <c r="D775" s="11"/>
      <c r="E775" s="10"/>
      <c r="F775" s="1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0"/>
      <c r="V775" s="11"/>
      <c r="W775" s="10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2.75" customHeight="1">
      <c r="A776" s="10"/>
      <c r="B776" s="11"/>
      <c r="C776" s="10"/>
      <c r="D776" s="11"/>
      <c r="E776" s="10"/>
      <c r="F776" s="1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0"/>
      <c r="V776" s="11"/>
      <c r="W776" s="10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2.75" customHeight="1">
      <c r="A777" s="10"/>
      <c r="B777" s="11"/>
      <c r="C777" s="10"/>
      <c r="D777" s="11"/>
      <c r="E777" s="10"/>
      <c r="F777" s="1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0"/>
      <c r="V777" s="11"/>
      <c r="W777" s="10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2.75" customHeight="1">
      <c r="A778" s="10"/>
      <c r="B778" s="11"/>
      <c r="C778" s="10"/>
      <c r="D778" s="11"/>
      <c r="E778" s="10"/>
      <c r="F778" s="1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0"/>
      <c r="V778" s="11"/>
      <c r="W778" s="10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2.75" customHeight="1">
      <c r="A779" s="10"/>
      <c r="B779" s="11"/>
      <c r="C779" s="10"/>
      <c r="D779" s="11"/>
      <c r="E779" s="10"/>
      <c r="F779" s="1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0"/>
      <c r="V779" s="11"/>
      <c r="W779" s="10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2.75" customHeight="1">
      <c r="A780" s="10"/>
      <c r="B780" s="11"/>
      <c r="C780" s="10"/>
      <c r="D780" s="11"/>
      <c r="E780" s="10"/>
      <c r="F780" s="1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0"/>
      <c r="V780" s="11"/>
      <c r="W780" s="10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2.75" customHeight="1">
      <c r="A781" s="10"/>
      <c r="B781" s="11"/>
      <c r="C781" s="10"/>
      <c r="D781" s="11"/>
      <c r="E781" s="10"/>
      <c r="F781" s="1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0"/>
      <c r="V781" s="11"/>
      <c r="W781" s="10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2.75" customHeight="1">
      <c r="A782" s="10"/>
      <c r="B782" s="11"/>
      <c r="C782" s="10"/>
      <c r="D782" s="11"/>
      <c r="E782" s="10"/>
      <c r="F782" s="1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0"/>
      <c r="V782" s="11"/>
      <c r="W782" s="10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2.75" customHeight="1">
      <c r="A783" s="10"/>
      <c r="B783" s="11"/>
      <c r="C783" s="10"/>
      <c r="D783" s="11"/>
      <c r="E783" s="10"/>
      <c r="F783" s="1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0"/>
      <c r="V783" s="11"/>
      <c r="W783" s="10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2.75" customHeight="1">
      <c r="A784" s="10"/>
      <c r="B784" s="11"/>
      <c r="C784" s="10"/>
      <c r="D784" s="11"/>
      <c r="E784" s="10"/>
      <c r="F784" s="1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0"/>
      <c r="V784" s="11"/>
      <c r="W784" s="10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2.75" customHeight="1">
      <c r="A785" s="10"/>
      <c r="B785" s="11"/>
      <c r="C785" s="10"/>
      <c r="D785" s="11"/>
      <c r="E785" s="10"/>
      <c r="F785" s="1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0"/>
      <c r="V785" s="11"/>
      <c r="W785" s="10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2.75" customHeight="1">
      <c r="A786" s="10"/>
      <c r="B786" s="11"/>
      <c r="C786" s="10"/>
      <c r="D786" s="11"/>
      <c r="E786" s="10"/>
      <c r="F786" s="1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0"/>
      <c r="V786" s="11"/>
      <c r="W786" s="10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2.75" customHeight="1">
      <c r="A787" s="10"/>
      <c r="B787" s="11"/>
      <c r="C787" s="10"/>
      <c r="D787" s="11"/>
      <c r="E787" s="10"/>
      <c r="F787" s="1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0"/>
      <c r="V787" s="11"/>
      <c r="W787" s="10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2.75" customHeight="1">
      <c r="A788" s="10"/>
      <c r="B788" s="11"/>
      <c r="C788" s="10"/>
      <c r="D788" s="11"/>
      <c r="E788" s="10"/>
      <c r="F788" s="1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0"/>
      <c r="V788" s="11"/>
      <c r="W788" s="10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2.75" customHeight="1">
      <c r="A789" s="10"/>
      <c r="B789" s="11"/>
      <c r="C789" s="10"/>
      <c r="D789" s="11"/>
      <c r="E789" s="10"/>
      <c r="F789" s="1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0"/>
      <c r="V789" s="11"/>
      <c r="W789" s="10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2.75" customHeight="1">
      <c r="A790" s="10"/>
      <c r="B790" s="11"/>
      <c r="C790" s="10"/>
      <c r="D790" s="11"/>
      <c r="E790" s="10"/>
      <c r="F790" s="1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0"/>
      <c r="V790" s="11"/>
      <c r="W790" s="10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2.75" customHeight="1">
      <c r="A791" s="10"/>
      <c r="B791" s="11"/>
      <c r="C791" s="10"/>
      <c r="D791" s="11"/>
      <c r="E791" s="10"/>
      <c r="F791" s="1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0"/>
      <c r="V791" s="11"/>
      <c r="W791" s="10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2.75" customHeight="1">
      <c r="A792" s="10"/>
      <c r="B792" s="11"/>
      <c r="C792" s="10"/>
      <c r="D792" s="11"/>
      <c r="E792" s="10"/>
      <c r="F792" s="1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0"/>
      <c r="V792" s="11"/>
      <c r="W792" s="10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2.75" customHeight="1">
      <c r="A793" s="10"/>
      <c r="B793" s="11"/>
      <c r="C793" s="10"/>
      <c r="D793" s="11"/>
      <c r="E793" s="10"/>
      <c r="F793" s="1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0"/>
      <c r="V793" s="11"/>
      <c r="W793" s="10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2.75" customHeight="1">
      <c r="A794" s="10"/>
      <c r="B794" s="11"/>
      <c r="C794" s="10"/>
      <c r="D794" s="11"/>
      <c r="E794" s="10"/>
      <c r="F794" s="1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0"/>
      <c r="V794" s="11"/>
      <c r="W794" s="10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2.75" customHeight="1">
      <c r="A795" s="10"/>
      <c r="B795" s="11"/>
      <c r="C795" s="10"/>
      <c r="D795" s="11"/>
      <c r="E795" s="10"/>
      <c r="F795" s="1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0"/>
      <c r="V795" s="11"/>
      <c r="W795" s="10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2.75" customHeight="1">
      <c r="A796" s="10"/>
      <c r="B796" s="11"/>
      <c r="C796" s="10"/>
      <c r="D796" s="11"/>
      <c r="E796" s="10"/>
      <c r="F796" s="1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0"/>
      <c r="V796" s="11"/>
      <c r="W796" s="10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2.75" customHeight="1">
      <c r="A797" s="10"/>
      <c r="B797" s="11"/>
      <c r="C797" s="10"/>
      <c r="D797" s="11"/>
      <c r="E797" s="10"/>
      <c r="F797" s="1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0"/>
      <c r="V797" s="11"/>
      <c r="W797" s="10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2.75" customHeight="1">
      <c r="A798" s="10"/>
      <c r="B798" s="11"/>
      <c r="C798" s="10"/>
      <c r="D798" s="11"/>
      <c r="E798" s="10"/>
      <c r="F798" s="1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0"/>
      <c r="V798" s="11"/>
      <c r="W798" s="10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2.75" customHeight="1">
      <c r="A799" s="10"/>
      <c r="B799" s="11"/>
      <c r="C799" s="10"/>
      <c r="D799" s="11"/>
      <c r="E799" s="10"/>
      <c r="F799" s="1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0"/>
      <c r="V799" s="11"/>
      <c r="W799" s="10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2.75" customHeight="1">
      <c r="A800" s="10"/>
      <c r="B800" s="11"/>
      <c r="C800" s="10"/>
      <c r="D800" s="11"/>
      <c r="E800" s="10"/>
      <c r="F800" s="1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0"/>
      <c r="V800" s="11"/>
      <c r="W800" s="10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2.75" customHeight="1">
      <c r="A801" s="10"/>
      <c r="B801" s="11"/>
      <c r="C801" s="10"/>
      <c r="D801" s="11"/>
      <c r="E801" s="10"/>
      <c r="F801" s="1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0"/>
      <c r="V801" s="11"/>
      <c r="W801" s="10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2.75" customHeight="1">
      <c r="A802" s="10"/>
      <c r="B802" s="11"/>
      <c r="C802" s="10"/>
      <c r="D802" s="11"/>
      <c r="E802" s="10"/>
      <c r="F802" s="1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0"/>
      <c r="V802" s="11"/>
      <c r="W802" s="10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2.75" customHeight="1">
      <c r="A803" s="10"/>
      <c r="B803" s="11"/>
      <c r="C803" s="10"/>
      <c r="D803" s="11"/>
      <c r="E803" s="10"/>
      <c r="F803" s="1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0"/>
      <c r="V803" s="11"/>
      <c r="W803" s="10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2.75" customHeight="1">
      <c r="A804" s="10"/>
      <c r="B804" s="11"/>
      <c r="C804" s="10"/>
      <c r="D804" s="11"/>
      <c r="E804" s="10"/>
      <c r="F804" s="1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0"/>
      <c r="V804" s="11"/>
      <c r="W804" s="10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2.75" customHeight="1">
      <c r="A805" s="10"/>
      <c r="B805" s="11"/>
      <c r="C805" s="10"/>
      <c r="D805" s="11"/>
      <c r="E805" s="10"/>
      <c r="F805" s="1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0"/>
      <c r="V805" s="11"/>
      <c r="W805" s="10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2.75" customHeight="1">
      <c r="A806" s="10"/>
      <c r="B806" s="11"/>
      <c r="C806" s="10"/>
      <c r="D806" s="11"/>
      <c r="E806" s="10"/>
      <c r="F806" s="1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0"/>
      <c r="V806" s="11"/>
      <c r="W806" s="10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2.75" customHeight="1">
      <c r="A807" s="10"/>
      <c r="B807" s="11"/>
      <c r="C807" s="10"/>
      <c r="D807" s="11"/>
      <c r="E807" s="10"/>
      <c r="F807" s="1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0"/>
      <c r="V807" s="11"/>
      <c r="W807" s="10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2.75" customHeight="1">
      <c r="A808" s="10"/>
      <c r="B808" s="11"/>
      <c r="C808" s="10"/>
      <c r="D808" s="11"/>
      <c r="E808" s="10"/>
      <c r="F808" s="1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0"/>
      <c r="V808" s="11"/>
      <c r="W808" s="10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2.75" customHeight="1">
      <c r="A809" s="10"/>
      <c r="B809" s="11"/>
      <c r="C809" s="10"/>
      <c r="D809" s="11"/>
      <c r="E809" s="10"/>
      <c r="F809" s="1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0"/>
      <c r="V809" s="11"/>
      <c r="W809" s="10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2.75" customHeight="1">
      <c r="A810" s="10"/>
      <c r="B810" s="11"/>
      <c r="C810" s="10"/>
      <c r="D810" s="11"/>
      <c r="E810" s="10"/>
      <c r="F810" s="1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0"/>
      <c r="V810" s="11"/>
      <c r="W810" s="10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2.75" customHeight="1">
      <c r="A811" s="10"/>
      <c r="B811" s="11"/>
      <c r="C811" s="10"/>
      <c r="D811" s="11"/>
      <c r="E811" s="10"/>
      <c r="F811" s="1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0"/>
      <c r="V811" s="11"/>
      <c r="W811" s="10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2.75" customHeight="1">
      <c r="A812" s="10"/>
      <c r="B812" s="11"/>
      <c r="C812" s="10"/>
      <c r="D812" s="11"/>
      <c r="E812" s="10"/>
      <c r="F812" s="1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0"/>
      <c r="V812" s="11"/>
      <c r="W812" s="10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2.75" customHeight="1">
      <c r="A813" s="10"/>
      <c r="B813" s="11"/>
      <c r="C813" s="10"/>
      <c r="D813" s="11"/>
      <c r="E813" s="10"/>
      <c r="F813" s="1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0"/>
      <c r="V813" s="11"/>
      <c r="W813" s="10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2.75" customHeight="1">
      <c r="A814" s="10"/>
      <c r="B814" s="11"/>
      <c r="C814" s="10"/>
      <c r="D814" s="11"/>
      <c r="E814" s="10"/>
      <c r="F814" s="1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0"/>
      <c r="V814" s="11"/>
      <c r="W814" s="10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2.75" customHeight="1">
      <c r="A815" s="10"/>
      <c r="B815" s="11"/>
      <c r="C815" s="10"/>
      <c r="D815" s="11"/>
      <c r="E815" s="10"/>
      <c r="F815" s="1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0"/>
      <c r="V815" s="11"/>
      <c r="W815" s="10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2.75" customHeight="1">
      <c r="A816" s="10"/>
      <c r="B816" s="11"/>
      <c r="C816" s="10"/>
      <c r="D816" s="11"/>
      <c r="E816" s="10"/>
      <c r="F816" s="1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0"/>
      <c r="V816" s="11"/>
      <c r="W816" s="10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2.75" customHeight="1">
      <c r="A817" s="10"/>
      <c r="B817" s="11"/>
      <c r="C817" s="10"/>
      <c r="D817" s="11"/>
      <c r="E817" s="10"/>
      <c r="F817" s="1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0"/>
      <c r="V817" s="11"/>
      <c r="W817" s="10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2.75" customHeight="1">
      <c r="A818" s="10"/>
      <c r="B818" s="11"/>
      <c r="C818" s="10"/>
      <c r="D818" s="11"/>
      <c r="E818" s="10"/>
      <c r="F818" s="1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0"/>
      <c r="V818" s="11"/>
      <c r="W818" s="10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2.75" customHeight="1">
      <c r="A819" s="10"/>
      <c r="B819" s="11"/>
      <c r="C819" s="10"/>
      <c r="D819" s="11"/>
      <c r="E819" s="10"/>
      <c r="F819" s="1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0"/>
      <c r="V819" s="11"/>
      <c r="W819" s="10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2.75" customHeight="1">
      <c r="A820" s="10"/>
      <c r="B820" s="11"/>
      <c r="C820" s="10"/>
      <c r="D820" s="11"/>
      <c r="E820" s="10"/>
      <c r="F820" s="1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0"/>
      <c r="V820" s="11"/>
      <c r="W820" s="10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2.75" customHeight="1">
      <c r="A821" s="10"/>
      <c r="B821" s="11"/>
      <c r="C821" s="10"/>
      <c r="D821" s="11"/>
      <c r="E821" s="10"/>
      <c r="F821" s="1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0"/>
      <c r="V821" s="11"/>
      <c r="W821" s="10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2.75" customHeight="1">
      <c r="A822" s="10"/>
      <c r="B822" s="11"/>
      <c r="C822" s="10"/>
      <c r="D822" s="11"/>
      <c r="E822" s="10"/>
      <c r="F822" s="1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0"/>
      <c r="V822" s="11"/>
      <c r="W822" s="10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2.75" customHeight="1">
      <c r="A823" s="10"/>
      <c r="B823" s="11"/>
      <c r="C823" s="10"/>
      <c r="D823" s="11"/>
      <c r="E823" s="10"/>
      <c r="F823" s="1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0"/>
      <c r="V823" s="11"/>
      <c r="W823" s="10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2.75" customHeight="1">
      <c r="A824" s="10"/>
      <c r="B824" s="11"/>
      <c r="C824" s="10"/>
      <c r="D824" s="11"/>
      <c r="E824" s="10"/>
      <c r="F824" s="1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0"/>
      <c r="V824" s="11"/>
      <c r="W824" s="10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2.75" customHeight="1">
      <c r="A825" s="10"/>
      <c r="B825" s="11"/>
      <c r="C825" s="10"/>
      <c r="D825" s="11"/>
      <c r="E825" s="10"/>
      <c r="F825" s="1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0"/>
      <c r="V825" s="11"/>
      <c r="W825" s="10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2.75" customHeight="1">
      <c r="A826" s="10"/>
      <c r="B826" s="11"/>
      <c r="C826" s="10"/>
      <c r="D826" s="11"/>
      <c r="E826" s="10"/>
      <c r="F826" s="1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0"/>
      <c r="V826" s="11"/>
      <c r="W826" s="10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2.75" customHeight="1">
      <c r="A827" s="10"/>
      <c r="B827" s="11"/>
      <c r="C827" s="10"/>
      <c r="D827" s="11"/>
      <c r="E827" s="10"/>
      <c r="F827" s="1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0"/>
      <c r="V827" s="11"/>
      <c r="W827" s="10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2.75" customHeight="1">
      <c r="A828" s="10"/>
      <c r="B828" s="11"/>
      <c r="C828" s="10"/>
      <c r="D828" s="11"/>
      <c r="E828" s="10"/>
      <c r="F828" s="1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0"/>
      <c r="V828" s="11"/>
      <c r="W828" s="10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2.75" customHeight="1">
      <c r="A829" s="10"/>
      <c r="B829" s="11"/>
      <c r="C829" s="10"/>
      <c r="D829" s="11"/>
      <c r="E829" s="10"/>
      <c r="F829" s="1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0"/>
      <c r="V829" s="11"/>
      <c r="W829" s="10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2.75" customHeight="1">
      <c r="A830" s="10"/>
      <c r="B830" s="11"/>
      <c r="C830" s="10"/>
      <c r="D830" s="11"/>
      <c r="E830" s="10"/>
      <c r="F830" s="1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0"/>
      <c r="V830" s="11"/>
      <c r="W830" s="10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2.75" customHeight="1">
      <c r="A831" s="10"/>
      <c r="B831" s="11"/>
      <c r="C831" s="10"/>
      <c r="D831" s="11"/>
      <c r="E831" s="10"/>
      <c r="F831" s="1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0"/>
      <c r="V831" s="11"/>
      <c r="W831" s="10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2.75" customHeight="1">
      <c r="A832" s="10"/>
      <c r="B832" s="11"/>
      <c r="C832" s="10"/>
      <c r="D832" s="11"/>
      <c r="E832" s="10"/>
      <c r="F832" s="1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0"/>
      <c r="V832" s="11"/>
      <c r="W832" s="10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2.75" customHeight="1">
      <c r="A833" s="10"/>
      <c r="B833" s="11"/>
      <c r="C833" s="10"/>
      <c r="D833" s="11"/>
      <c r="E833" s="10"/>
      <c r="F833" s="1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0"/>
      <c r="V833" s="11"/>
      <c r="W833" s="10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2.75" customHeight="1">
      <c r="A834" s="10"/>
      <c r="B834" s="11"/>
      <c r="C834" s="10"/>
      <c r="D834" s="11"/>
      <c r="E834" s="10"/>
      <c r="F834" s="1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0"/>
      <c r="V834" s="11"/>
      <c r="W834" s="10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2.75" customHeight="1">
      <c r="A835" s="10"/>
      <c r="B835" s="11"/>
      <c r="C835" s="10"/>
      <c r="D835" s="11"/>
      <c r="E835" s="10"/>
      <c r="F835" s="1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0"/>
      <c r="V835" s="11"/>
      <c r="W835" s="10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2.75" customHeight="1">
      <c r="A836" s="10"/>
      <c r="B836" s="11"/>
      <c r="C836" s="10"/>
      <c r="D836" s="11"/>
      <c r="E836" s="10"/>
      <c r="F836" s="1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0"/>
      <c r="V836" s="11"/>
      <c r="W836" s="10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2.75" customHeight="1">
      <c r="A837" s="10"/>
      <c r="B837" s="11"/>
      <c r="C837" s="10"/>
      <c r="D837" s="11"/>
      <c r="E837" s="10"/>
      <c r="F837" s="1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0"/>
      <c r="V837" s="11"/>
      <c r="W837" s="10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2.75" customHeight="1">
      <c r="A838" s="10"/>
      <c r="B838" s="11"/>
      <c r="C838" s="10"/>
      <c r="D838" s="11"/>
      <c r="E838" s="10"/>
      <c r="F838" s="1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0"/>
      <c r="V838" s="11"/>
      <c r="W838" s="10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2.75" customHeight="1">
      <c r="A839" s="10"/>
      <c r="B839" s="11"/>
      <c r="C839" s="10"/>
      <c r="D839" s="11"/>
      <c r="E839" s="10"/>
      <c r="F839" s="1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0"/>
      <c r="V839" s="11"/>
      <c r="W839" s="10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2.75" customHeight="1">
      <c r="A840" s="10"/>
      <c r="B840" s="11"/>
      <c r="C840" s="10"/>
      <c r="D840" s="11"/>
      <c r="E840" s="10"/>
      <c r="F840" s="1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0"/>
      <c r="V840" s="11"/>
      <c r="W840" s="10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2.75" customHeight="1">
      <c r="A841" s="10"/>
      <c r="B841" s="11"/>
      <c r="C841" s="10"/>
      <c r="D841" s="11"/>
      <c r="E841" s="10"/>
      <c r="F841" s="1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0"/>
      <c r="V841" s="11"/>
      <c r="W841" s="10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2.75" customHeight="1">
      <c r="A842" s="10"/>
      <c r="B842" s="11"/>
      <c r="C842" s="10"/>
      <c r="D842" s="11"/>
      <c r="E842" s="10"/>
      <c r="F842" s="1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0"/>
      <c r="V842" s="11"/>
      <c r="W842" s="10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2.75" customHeight="1">
      <c r="A843" s="10"/>
      <c r="B843" s="11"/>
      <c r="C843" s="10"/>
      <c r="D843" s="11"/>
      <c r="E843" s="10"/>
      <c r="F843" s="1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0"/>
      <c r="V843" s="11"/>
      <c r="W843" s="10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2.75" customHeight="1">
      <c r="A844" s="10"/>
      <c r="B844" s="11"/>
      <c r="C844" s="10"/>
      <c r="D844" s="11"/>
      <c r="E844" s="10"/>
      <c r="F844" s="1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0"/>
      <c r="V844" s="11"/>
      <c r="W844" s="10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2.75" customHeight="1">
      <c r="A845" s="10"/>
      <c r="B845" s="11"/>
      <c r="C845" s="10"/>
      <c r="D845" s="11"/>
      <c r="E845" s="10"/>
      <c r="F845" s="1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0"/>
      <c r="V845" s="11"/>
      <c r="W845" s="10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2.75" customHeight="1">
      <c r="A846" s="10"/>
      <c r="B846" s="11"/>
      <c r="C846" s="10"/>
      <c r="D846" s="11"/>
      <c r="E846" s="10"/>
      <c r="F846" s="1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0"/>
      <c r="V846" s="11"/>
      <c r="W846" s="10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2.75" customHeight="1">
      <c r="A847" s="10"/>
      <c r="B847" s="11"/>
      <c r="C847" s="10"/>
      <c r="D847" s="11"/>
      <c r="E847" s="10"/>
      <c r="F847" s="1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0"/>
      <c r="V847" s="11"/>
      <c r="W847" s="10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2.75" customHeight="1">
      <c r="A848" s="10"/>
      <c r="B848" s="11"/>
      <c r="C848" s="10"/>
      <c r="D848" s="11"/>
      <c r="E848" s="10"/>
      <c r="F848" s="1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0"/>
      <c r="V848" s="11"/>
      <c r="W848" s="10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2.75" customHeight="1">
      <c r="A849" s="10"/>
      <c r="B849" s="11"/>
      <c r="C849" s="10"/>
      <c r="D849" s="11"/>
      <c r="E849" s="10"/>
      <c r="F849" s="1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0"/>
      <c r="V849" s="11"/>
      <c r="W849" s="10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2.75" customHeight="1">
      <c r="A850" s="10"/>
      <c r="B850" s="11"/>
      <c r="C850" s="10"/>
      <c r="D850" s="11"/>
      <c r="E850" s="10"/>
      <c r="F850" s="1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0"/>
      <c r="V850" s="11"/>
      <c r="W850" s="10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2.75" customHeight="1">
      <c r="A851" s="10"/>
      <c r="B851" s="11"/>
      <c r="C851" s="10"/>
      <c r="D851" s="11"/>
      <c r="E851" s="10"/>
      <c r="F851" s="1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0"/>
      <c r="V851" s="11"/>
      <c r="W851" s="10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2.75" customHeight="1">
      <c r="A852" s="10"/>
      <c r="B852" s="11"/>
      <c r="C852" s="10"/>
      <c r="D852" s="11"/>
      <c r="E852" s="10"/>
      <c r="F852" s="1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0"/>
      <c r="V852" s="11"/>
      <c r="W852" s="10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2.75" customHeight="1">
      <c r="A853" s="10"/>
      <c r="B853" s="11"/>
      <c r="C853" s="10"/>
      <c r="D853" s="11"/>
      <c r="E853" s="10"/>
      <c r="F853" s="1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0"/>
      <c r="V853" s="11"/>
      <c r="W853" s="10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2.75" customHeight="1">
      <c r="A854" s="10"/>
      <c r="B854" s="11"/>
      <c r="C854" s="10"/>
      <c r="D854" s="11"/>
      <c r="E854" s="10"/>
      <c r="F854" s="1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0"/>
      <c r="V854" s="11"/>
      <c r="W854" s="10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2.75" customHeight="1">
      <c r="A855" s="10"/>
      <c r="B855" s="11"/>
      <c r="C855" s="10"/>
      <c r="D855" s="11"/>
      <c r="E855" s="10"/>
      <c r="F855" s="1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0"/>
      <c r="V855" s="11"/>
      <c r="W855" s="10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2.75" customHeight="1">
      <c r="A856" s="10"/>
      <c r="B856" s="11"/>
      <c r="C856" s="10"/>
      <c r="D856" s="11"/>
      <c r="E856" s="10"/>
      <c r="F856" s="1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0"/>
      <c r="V856" s="11"/>
      <c r="W856" s="10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2.75" customHeight="1">
      <c r="A857" s="10"/>
      <c r="B857" s="11"/>
      <c r="C857" s="10"/>
      <c r="D857" s="11"/>
      <c r="E857" s="10"/>
      <c r="F857" s="1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0"/>
      <c r="V857" s="11"/>
      <c r="W857" s="10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2.75" customHeight="1">
      <c r="A858" s="10"/>
      <c r="B858" s="11"/>
      <c r="C858" s="10"/>
      <c r="D858" s="11"/>
      <c r="E858" s="10"/>
      <c r="F858" s="1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0"/>
      <c r="V858" s="11"/>
      <c r="W858" s="10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2.75" customHeight="1">
      <c r="A859" s="10"/>
      <c r="B859" s="11"/>
      <c r="C859" s="10"/>
      <c r="D859" s="11"/>
      <c r="E859" s="10"/>
      <c r="F859" s="1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0"/>
      <c r="V859" s="11"/>
      <c r="W859" s="10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2.75" customHeight="1">
      <c r="A860" s="10"/>
      <c r="B860" s="11"/>
      <c r="C860" s="10"/>
      <c r="D860" s="11"/>
      <c r="E860" s="10"/>
      <c r="F860" s="1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0"/>
      <c r="V860" s="11"/>
      <c r="W860" s="10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2.75" customHeight="1">
      <c r="A861" s="10"/>
      <c r="B861" s="11"/>
      <c r="C861" s="10"/>
      <c r="D861" s="11"/>
      <c r="E861" s="10"/>
      <c r="F861" s="1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0"/>
      <c r="V861" s="11"/>
      <c r="W861" s="10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2.75" customHeight="1">
      <c r="A862" s="10"/>
      <c r="B862" s="11"/>
      <c r="C862" s="10"/>
      <c r="D862" s="11"/>
      <c r="E862" s="10"/>
      <c r="F862" s="1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0"/>
      <c r="V862" s="11"/>
      <c r="W862" s="10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2.75" customHeight="1">
      <c r="A863" s="10"/>
      <c r="B863" s="11"/>
      <c r="C863" s="10"/>
      <c r="D863" s="11"/>
      <c r="E863" s="10"/>
      <c r="F863" s="1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0"/>
      <c r="V863" s="11"/>
      <c r="W863" s="10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2.75" customHeight="1">
      <c r="A864" s="10"/>
      <c r="B864" s="11"/>
      <c r="C864" s="10"/>
      <c r="D864" s="11"/>
      <c r="E864" s="10"/>
      <c r="F864" s="1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0"/>
      <c r="V864" s="11"/>
      <c r="W864" s="10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2.75" customHeight="1">
      <c r="A865" s="10"/>
      <c r="B865" s="11"/>
      <c r="C865" s="10"/>
      <c r="D865" s="11"/>
      <c r="E865" s="10"/>
      <c r="F865" s="1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0"/>
      <c r="V865" s="11"/>
      <c r="W865" s="10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2.75" customHeight="1">
      <c r="A866" s="10"/>
      <c r="B866" s="11"/>
      <c r="C866" s="10"/>
      <c r="D866" s="11"/>
      <c r="E866" s="10"/>
      <c r="F866" s="1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0"/>
      <c r="V866" s="11"/>
      <c r="W866" s="10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2.75" customHeight="1">
      <c r="A867" s="10"/>
      <c r="B867" s="11"/>
      <c r="C867" s="10"/>
      <c r="D867" s="11"/>
      <c r="E867" s="10"/>
      <c r="F867" s="1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0"/>
      <c r="V867" s="11"/>
      <c r="W867" s="10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2.75" customHeight="1">
      <c r="A868" s="10"/>
      <c r="B868" s="11"/>
      <c r="C868" s="10"/>
      <c r="D868" s="11"/>
      <c r="E868" s="10"/>
      <c r="F868" s="1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0"/>
      <c r="V868" s="11"/>
      <c r="W868" s="10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2.75" customHeight="1">
      <c r="A869" s="10"/>
      <c r="B869" s="11"/>
      <c r="C869" s="10"/>
      <c r="D869" s="11"/>
      <c r="E869" s="10"/>
      <c r="F869" s="1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0"/>
      <c r="V869" s="11"/>
      <c r="W869" s="10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2.75" customHeight="1">
      <c r="A870" s="10"/>
      <c r="B870" s="11"/>
      <c r="C870" s="10"/>
      <c r="D870" s="11"/>
      <c r="E870" s="10"/>
      <c r="F870" s="1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0"/>
      <c r="V870" s="11"/>
      <c r="W870" s="10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2.75" customHeight="1">
      <c r="A871" s="10"/>
      <c r="B871" s="11"/>
      <c r="C871" s="10"/>
      <c r="D871" s="11"/>
      <c r="E871" s="10"/>
      <c r="F871" s="1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0"/>
      <c r="V871" s="11"/>
      <c r="W871" s="10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2.75" customHeight="1">
      <c r="A872" s="10"/>
      <c r="B872" s="11"/>
      <c r="C872" s="10"/>
      <c r="D872" s="11"/>
      <c r="E872" s="10"/>
      <c r="F872" s="1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0"/>
      <c r="V872" s="11"/>
      <c r="W872" s="10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2.75" customHeight="1">
      <c r="A873" s="10"/>
      <c r="B873" s="11"/>
      <c r="C873" s="10"/>
      <c r="D873" s="11"/>
      <c r="E873" s="10"/>
      <c r="F873" s="1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0"/>
      <c r="V873" s="11"/>
      <c r="W873" s="10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2.75" customHeight="1">
      <c r="A874" s="10"/>
      <c r="B874" s="11"/>
      <c r="C874" s="10"/>
      <c r="D874" s="11"/>
      <c r="E874" s="10"/>
      <c r="F874" s="1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0"/>
      <c r="V874" s="11"/>
      <c r="W874" s="10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2.75" customHeight="1">
      <c r="A875" s="10"/>
      <c r="B875" s="11"/>
      <c r="C875" s="10"/>
      <c r="D875" s="11"/>
      <c r="E875" s="10"/>
      <c r="F875" s="1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0"/>
      <c r="V875" s="11"/>
      <c r="W875" s="10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2.75" customHeight="1">
      <c r="A876" s="10"/>
      <c r="B876" s="11"/>
      <c r="C876" s="10"/>
      <c r="D876" s="11"/>
      <c r="E876" s="10"/>
      <c r="F876" s="1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0"/>
      <c r="V876" s="11"/>
      <c r="W876" s="10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2.75" customHeight="1">
      <c r="A877" s="10"/>
      <c r="B877" s="11"/>
      <c r="C877" s="10"/>
      <c r="D877" s="11"/>
      <c r="E877" s="10"/>
      <c r="F877" s="1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0"/>
      <c r="V877" s="11"/>
      <c r="W877" s="10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2.75" customHeight="1">
      <c r="A878" s="10"/>
      <c r="B878" s="11"/>
      <c r="C878" s="10"/>
      <c r="D878" s="11"/>
      <c r="E878" s="10"/>
      <c r="F878" s="1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0"/>
      <c r="V878" s="11"/>
      <c r="W878" s="10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2.75" customHeight="1">
      <c r="A879" s="10"/>
      <c r="B879" s="11"/>
      <c r="C879" s="10"/>
      <c r="D879" s="11"/>
      <c r="E879" s="10"/>
      <c r="F879" s="1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0"/>
      <c r="V879" s="11"/>
      <c r="W879" s="10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2.75" customHeight="1">
      <c r="A880" s="10"/>
      <c r="B880" s="11"/>
      <c r="C880" s="10"/>
      <c r="D880" s="11"/>
      <c r="E880" s="10"/>
      <c r="F880" s="1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0"/>
      <c r="V880" s="11"/>
      <c r="W880" s="10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2.75" customHeight="1">
      <c r="A881" s="10"/>
      <c r="B881" s="11"/>
      <c r="C881" s="10"/>
      <c r="D881" s="11"/>
      <c r="E881" s="10"/>
      <c r="F881" s="1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0"/>
      <c r="V881" s="11"/>
      <c r="W881" s="10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2.75" customHeight="1">
      <c r="A882" s="10"/>
      <c r="B882" s="11"/>
      <c r="C882" s="10"/>
      <c r="D882" s="11"/>
      <c r="E882" s="10"/>
      <c r="F882" s="1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0"/>
      <c r="V882" s="11"/>
      <c r="W882" s="10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2.75" customHeight="1">
      <c r="A883" s="10"/>
      <c r="B883" s="11"/>
      <c r="C883" s="10"/>
      <c r="D883" s="11"/>
      <c r="E883" s="10"/>
      <c r="F883" s="1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0"/>
      <c r="V883" s="11"/>
      <c r="W883" s="10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2.75" customHeight="1">
      <c r="A884" s="10"/>
      <c r="B884" s="11"/>
      <c r="C884" s="10"/>
      <c r="D884" s="11"/>
      <c r="E884" s="10"/>
      <c r="F884" s="1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0"/>
      <c r="V884" s="11"/>
      <c r="W884" s="10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2.75" customHeight="1">
      <c r="A885" s="10"/>
      <c r="B885" s="11"/>
      <c r="C885" s="10"/>
      <c r="D885" s="11"/>
      <c r="E885" s="10"/>
      <c r="F885" s="1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0"/>
      <c r="V885" s="11"/>
      <c r="W885" s="10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2.75" customHeight="1">
      <c r="A886" s="10"/>
      <c r="B886" s="11"/>
      <c r="C886" s="10"/>
      <c r="D886" s="11"/>
      <c r="E886" s="10"/>
      <c r="F886" s="1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0"/>
      <c r="V886" s="11"/>
      <c r="W886" s="10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2.75" customHeight="1">
      <c r="A887" s="10"/>
      <c r="B887" s="11"/>
      <c r="C887" s="10"/>
      <c r="D887" s="11"/>
      <c r="E887" s="10"/>
      <c r="F887" s="1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0"/>
      <c r="V887" s="11"/>
      <c r="W887" s="10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2.75" customHeight="1">
      <c r="A888" s="10"/>
      <c r="B888" s="11"/>
      <c r="C888" s="10"/>
      <c r="D888" s="11"/>
      <c r="E888" s="10"/>
      <c r="F888" s="1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0"/>
      <c r="V888" s="11"/>
      <c r="W888" s="10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2.75" customHeight="1">
      <c r="A889" s="10"/>
      <c r="B889" s="11"/>
      <c r="C889" s="10"/>
      <c r="D889" s="11"/>
      <c r="E889" s="10"/>
      <c r="F889" s="1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0"/>
      <c r="V889" s="11"/>
      <c r="W889" s="10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2.75" customHeight="1">
      <c r="A890" s="10"/>
      <c r="B890" s="11"/>
      <c r="C890" s="10"/>
      <c r="D890" s="11"/>
      <c r="E890" s="10"/>
      <c r="F890" s="1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0"/>
      <c r="V890" s="11"/>
      <c r="W890" s="10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2.75" customHeight="1">
      <c r="A891" s="10"/>
      <c r="B891" s="11"/>
      <c r="C891" s="10"/>
      <c r="D891" s="11"/>
      <c r="E891" s="10"/>
      <c r="F891" s="1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0"/>
      <c r="V891" s="11"/>
      <c r="W891" s="10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2.75" customHeight="1">
      <c r="A892" s="10"/>
      <c r="B892" s="11"/>
      <c r="C892" s="10"/>
      <c r="D892" s="11"/>
      <c r="E892" s="10"/>
      <c r="F892" s="1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0"/>
      <c r="V892" s="11"/>
      <c r="W892" s="10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2.75" customHeight="1">
      <c r="A893" s="10"/>
      <c r="B893" s="11"/>
      <c r="C893" s="10"/>
      <c r="D893" s="11"/>
      <c r="E893" s="10"/>
      <c r="F893" s="1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0"/>
      <c r="V893" s="11"/>
      <c r="W893" s="10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2.75" customHeight="1">
      <c r="A894" s="10"/>
      <c r="B894" s="11"/>
      <c r="C894" s="10"/>
      <c r="D894" s="11"/>
      <c r="E894" s="10"/>
      <c r="F894" s="1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0"/>
      <c r="V894" s="11"/>
      <c r="W894" s="10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2.75" customHeight="1">
      <c r="A895" s="10"/>
      <c r="B895" s="11"/>
      <c r="C895" s="10"/>
      <c r="D895" s="11"/>
      <c r="E895" s="10"/>
      <c r="F895" s="1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0"/>
      <c r="V895" s="11"/>
      <c r="W895" s="10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2.75" customHeight="1">
      <c r="A896" s="10"/>
      <c r="B896" s="11"/>
      <c r="C896" s="10"/>
      <c r="D896" s="11"/>
      <c r="E896" s="10"/>
      <c r="F896" s="1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0"/>
      <c r="V896" s="11"/>
      <c r="W896" s="10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2.75" customHeight="1">
      <c r="A897" s="10"/>
      <c r="B897" s="11"/>
      <c r="C897" s="10"/>
      <c r="D897" s="11"/>
      <c r="E897" s="10"/>
      <c r="F897" s="1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0"/>
      <c r="V897" s="11"/>
      <c r="W897" s="10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2.75" customHeight="1">
      <c r="A898" s="10"/>
      <c r="B898" s="11"/>
      <c r="C898" s="10"/>
      <c r="D898" s="11"/>
      <c r="E898" s="10"/>
      <c r="F898" s="1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0"/>
      <c r="V898" s="11"/>
      <c r="W898" s="10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2.75" customHeight="1">
      <c r="A899" s="10"/>
      <c r="B899" s="11"/>
      <c r="C899" s="10"/>
      <c r="D899" s="11"/>
      <c r="E899" s="10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0"/>
      <c r="V899" s="11"/>
      <c r="W899" s="10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2.75" customHeight="1">
      <c r="A900" s="10"/>
      <c r="B900" s="11"/>
      <c r="C900" s="10"/>
      <c r="D900" s="11"/>
      <c r="E900" s="10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0"/>
      <c r="V900" s="11"/>
      <c r="W900" s="10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2.75" customHeight="1">
      <c r="A901" s="10"/>
      <c r="B901" s="11"/>
      <c r="C901" s="10"/>
      <c r="D901" s="11"/>
      <c r="E901" s="10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0"/>
      <c r="V901" s="11"/>
      <c r="W901" s="10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2.75" customHeight="1">
      <c r="A902" s="10"/>
      <c r="B902" s="11"/>
      <c r="C902" s="10"/>
      <c r="D902" s="11"/>
      <c r="E902" s="10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0"/>
      <c r="V902" s="11"/>
      <c r="W902" s="10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2.75" customHeight="1">
      <c r="A903" s="10"/>
      <c r="B903" s="11"/>
      <c r="C903" s="10"/>
      <c r="D903" s="11"/>
      <c r="E903" s="10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0"/>
      <c r="V903" s="11"/>
      <c r="W903" s="10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2.75" customHeight="1">
      <c r="A904" s="10"/>
      <c r="B904" s="11"/>
      <c r="C904" s="10"/>
      <c r="D904" s="11"/>
      <c r="E904" s="10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0"/>
      <c r="V904" s="11"/>
      <c r="W904" s="10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2.75" customHeight="1">
      <c r="A905" s="10"/>
      <c r="B905" s="11"/>
      <c r="C905" s="10"/>
      <c r="D905" s="11"/>
      <c r="E905" s="10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0"/>
      <c r="V905" s="11"/>
      <c r="W905" s="10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2.75" customHeight="1">
      <c r="A906" s="10"/>
      <c r="B906" s="11"/>
      <c r="C906" s="10"/>
      <c r="D906" s="11"/>
      <c r="E906" s="10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0"/>
      <c r="V906" s="11"/>
      <c r="W906" s="10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2.75" customHeight="1">
      <c r="A907" s="10"/>
      <c r="B907" s="11"/>
      <c r="C907" s="10"/>
      <c r="D907" s="11"/>
      <c r="E907" s="10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0"/>
      <c r="V907" s="11"/>
      <c r="W907" s="10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2.75" customHeight="1">
      <c r="A908" s="10"/>
      <c r="B908" s="11"/>
      <c r="C908" s="10"/>
      <c r="D908" s="11"/>
      <c r="E908" s="10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0"/>
      <c r="V908" s="11"/>
      <c r="W908" s="10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2.75" customHeight="1">
      <c r="A909" s="10"/>
      <c r="B909" s="11"/>
      <c r="C909" s="10"/>
      <c r="D909" s="11"/>
      <c r="E909" s="10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0"/>
      <c r="V909" s="11"/>
      <c r="W909" s="10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2.75" customHeight="1">
      <c r="A910" s="10"/>
      <c r="B910" s="11"/>
      <c r="C910" s="10"/>
      <c r="D910" s="11"/>
      <c r="E910" s="10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0"/>
      <c r="V910" s="11"/>
      <c r="W910" s="10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2.75" customHeight="1">
      <c r="A911" s="10"/>
      <c r="B911" s="11"/>
      <c r="C911" s="10"/>
      <c r="D911" s="11"/>
      <c r="E911" s="10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0"/>
      <c r="V911" s="11"/>
      <c r="W911" s="10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2.75" customHeight="1">
      <c r="A912" s="10"/>
      <c r="B912" s="11"/>
      <c r="C912" s="10"/>
      <c r="D912" s="11"/>
      <c r="E912" s="10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0"/>
      <c r="V912" s="11"/>
      <c r="W912" s="10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2.75" customHeight="1">
      <c r="A913" s="10"/>
      <c r="B913" s="11"/>
      <c r="C913" s="10"/>
      <c r="D913" s="11"/>
      <c r="E913" s="10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0"/>
      <c r="V913" s="11"/>
      <c r="W913" s="10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2.75" customHeight="1">
      <c r="A914" s="10"/>
      <c r="B914" s="11"/>
      <c r="C914" s="10"/>
      <c r="D914" s="11"/>
      <c r="E914" s="10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0"/>
      <c r="V914" s="11"/>
      <c r="W914" s="10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2.75" customHeight="1">
      <c r="A915" s="10"/>
      <c r="B915" s="11"/>
      <c r="C915" s="10"/>
      <c r="D915" s="11"/>
      <c r="E915" s="10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0"/>
      <c r="V915" s="11"/>
      <c r="W915" s="10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2.75" customHeight="1">
      <c r="A916" s="10"/>
      <c r="B916" s="11"/>
      <c r="C916" s="10"/>
      <c r="D916" s="11"/>
      <c r="E916" s="10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0"/>
      <c r="V916" s="11"/>
      <c r="W916" s="10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2.75" customHeight="1">
      <c r="A917" s="10"/>
      <c r="B917" s="11"/>
      <c r="C917" s="10"/>
      <c r="D917" s="11"/>
      <c r="E917" s="10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0"/>
      <c r="V917" s="11"/>
      <c r="W917" s="10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2.75" customHeight="1">
      <c r="A918" s="10"/>
      <c r="B918" s="11"/>
      <c r="C918" s="10"/>
      <c r="D918" s="11"/>
      <c r="E918" s="10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0"/>
      <c r="V918" s="11"/>
      <c r="W918" s="10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2.75" customHeight="1">
      <c r="A919" s="10"/>
      <c r="B919" s="11"/>
      <c r="C919" s="10"/>
      <c r="D919" s="11"/>
      <c r="E919" s="10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0"/>
      <c r="V919" s="11"/>
      <c r="W919" s="10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2.75" customHeight="1">
      <c r="A920" s="10"/>
      <c r="B920" s="11"/>
      <c r="C920" s="10"/>
      <c r="D920" s="11"/>
      <c r="E920" s="10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0"/>
      <c r="V920" s="11"/>
      <c r="W920" s="10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2.75" customHeight="1">
      <c r="A921" s="10"/>
      <c r="B921" s="11"/>
      <c r="C921" s="10"/>
      <c r="D921" s="11"/>
      <c r="E921" s="10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0"/>
      <c r="V921" s="11"/>
      <c r="W921" s="10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2.75" customHeight="1">
      <c r="A922" s="10"/>
      <c r="B922" s="11"/>
      <c r="C922" s="10"/>
      <c r="D922" s="11"/>
      <c r="E922" s="10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0"/>
      <c r="V922" s="11"/>
      <c r="W922" s="10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2.75" customHeight="1">
      <c r="A923" s="10"/>
      <c r="B923" s="11"/>
      <c r="C923" s="10"/>
      <c r="D923" s="11"/>
      <c r="E923" s="10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0"/>
      <c r="V923" s="11"/>
      <c r="W923" s="10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2.75" customHeight="1">
      <c r="A924" s="10"/>
      <c r="B924" s="11"/>
      <c r="C924" s="10"/>
      <c r="D924" s="11"/>
      <c r="E924" s="10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0"/>
      <c r="V924" s="11"/>
      <c r="W924" s="10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2.75" customHeight="1">
      <c r="A925" s="10"/>
      <c r="B925" s="11"/>
      <c r="C925" s="10"/>
      <c r="D925" s="11"/>
      <c r="E925" s="10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0"/>
      <c r="V925" s="11"/>
      <c r="W925" s="10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2.75" customHeight="1">
      <c r="A926" s="10"/>
      <c r="B926" s="11"/>
      <c r="C926" s="10"/>
      <c r="D926" s="11"/>
      <c r="E926" s="10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0"/>
      <c r="V926" s="11"/>
      <c r="W926" s="10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2.75" customHeight="1">
      <c r="A927" s="10"/>
      <c r="B927" s="11"/>
      <c r="C927" s="10"/>
      <c r="D927" s="11"/>
      <c r="E927" s="10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0"/>
      <c r="V927" s="11"/>
      <c r="W927" s="10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2.75" customHeight="1">
      <c r="A928" s="10"/>
      <c r="B928" s="11"/>
      <c r="C928" s="10"/>
      <c r="D928" s="11"/>
      <c r="E928" s="10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0"/>
      <c r="V928" s="11"/>
      <c r="W928" s="10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2.75" customHeight="1">
      <c r="A929" s="10"/>
      <c r="B929" s="11"/>
      <c r="C929" s="10"/>
      <c r="D929" s="11"/>
      <c r="E929" s="10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0"/>
      <c r="V929" s="11"/>
      <c r="W929" s="10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2.75" customHeight="1">
      <c r="A930" s="10"/>
      <c r="B930" s="11"/>
      <c r="C930" s="10"/>
      <c r="D930" s="11"/>
      <c r="E930" s="10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0"/>
      <c r="V930" s="11"/>
      <c r="W930" s="10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2.75" customHeight="1">
      <c r="A931" s="10"/>
      <c r="B931" s="11"/>
      <c r="C931" s="10"/>
      <c r="D931" s="11"/>
      <c r="E931" s="10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0"/>
      <c r="V931" s="11"/>
      <c r="W931" s="10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2.75" customHeight="1">
      <c r="A932" s="10"/>
      <c r="B932" s="11"/>
      <c r="C932" s="10"/>
      <c r="D932" s="11"/>
      <c r="E932" s="10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0"/>
      <c r="V932" s="11"/>
      <c r="W932" s="10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2.75" customHeight="1">
      <c r="A933" s="10"/>
      <c r="B933" s="11"/>
      <c r="C933" s="10"/>
      <c r="D933" s="11"/>
      <c r="E933" s="10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0"/>
      <c r="V933" s="11"/>
      <c r="W933" s="10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2.75" customHeight="1">
      <c r="A934" s="10"/>
      <c r="B934" s="11"/>
      <c r="C934" s="10"/>
      <c r="D934" s="11"/>
      <c r="E934" s="10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0"/>
      <c r="V934" s="11"/>
      <c r="W934" s="10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2.75" customHeight="1">
      <c r="A935" s="10"/>
      <c r="B935" s="11"/>
      <c r="C935" s="10"/>
      <c r="D935" s="11"/>
      <c r="E935" s="10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0"/>
      <c r="V935" s="11"/>
      <c r="W935" s="10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2.75" customHeight="1">
      <c r="A936" s="10"/>
      <c r="B936" s="11"/>
      <c r="C936" s="10"/>
      <c r="D936" s="11"/>
      <c r="E936" s="10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0"/>
      <c r="V936" s="11"/>
      <c r="W936" s="10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2.75" customHeight="1">
      <c r="A937" s="10"/>
      <c r="B937" s="11"/>
      <c r="C937" s="10"/>
      <c r="D937" s="11"/>
      <c r="E937" s="10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0"/>
      <c r="V937" s="11"/>
      <c r="W937" s="10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2.75" customHeight="1">
      <c r="A938" s="10"/>
      <c r="B938" s="11"/>
      <c r="C938" s="10"/>
      <c r="D938" s="11"/>
      <c r="E938" s="10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0"/>
      <c r="V938" s="11"/>
      <c r="W938" s="10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2.75" customHeight="1">
      <c r="A939" s="10"/>
      <c r="B939" s="11"/>
      <c r="C939" s="10"/>
      <c r="D939" s="11"/>
      <c r="E939" s="10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0"/>
      <c r="V939" s="11"/>
      <c r="W939" s="10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2.75" customHeight="1">
      <c r="A940" s="10"/>
      <c r="B940" s="11"/>
      <c r="C940" s="10"/>
      <c r="D940" s="11"/>
      <c r="E940" s="10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0"/>
      <c r="V940" s="11"/>
      <c r="W940" s="10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2.75" customHeight="1">
      <c r="A941" s="10"/>
      <c r="B941" s="11"/>
      <c r="C941" s="10"/>
      <c r="D941" s="11"/>
      <c r="E941" s="10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0"/>
      <c r="V941" s="11"/>
      <c r="W941" s="10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2.75" customHeight="1">
      <c r="A942" s="10"/>
      <c r="B942" s="11"/>
      <c r="C942" s="10"/>
      <c r="D942" s="11"/>
      <c r="E942" s="10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0"/>
      <c r="V942" s="11"/>
      <c r="W942" s="10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2.75" customHeight="1">
      <c r="A943" s="10"/>
      <c r="B943" s="11"/>
      <c r="C943" s="10"/>
      <c r="D943" s="11"/>
      <c r="E943" s="10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0"/>
      <c r="V943" s="11"/>
      <c r="W943" s="10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2.75" customHeight="1">
      <c r="A944" s="10"/>
      <c r="B944" s="11"/>
      <c r="C944" s="10"/>
      <c r="D944" s="11"/>
      <c r="E944" s="10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0"/>
      <c r="V944" s="11"/>
      <c r="W944" s="10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2.75" customHeight="1">
      <c r="A945" s="10"/>
      <c r="B945" s="11"/>
      <c r="C945" s="10"/>
      <c r="D945" s="11"/>
      <c r="E945" s="10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0"/>
      <c r="V945" s="11"/>
      <c r="W945" s="10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2.75" customHeight="1">
      <c r="A946" s="10"/>
      <c r="B946" s="11"/>
      <c r="C946" s="10"/>
      <c r="D946" s="11"/>
      <c r="E946" s="10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0"/>
      <c r="V946" s="11"/>
      <c r="W946" s="10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2.75" customHeight="1">
      <c r="A947" s="10"/>
      <c r="B947" s="11"/>
      <c r="C947" s="10"/>
      <c r="D947" s="11"/>
      <c r="E947" s="10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0"/>
      <c r="V947" s="11"/>
      <c r="W947" s="10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2.75" customHeight="1">
      <c r="A948" s="10"/>
      <c r="B948" s="11"/>
      <c r="C948" s="10"/>
      <c r="D948" s="11"/>
      <c r="E948" s="10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0"/>
      <c r="V948" s="11"/>
      <c r="W948" s="10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2.75" customHeight="1">
      <c r="A949" s="10"/>
      <c r="B949" s="11"/>
      <c r="C949" s="10"/>
      <c r="D949" s="11"/>
      <c r="E949" s="10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0"/>
      <c r="V949" s="11"/>
      <c r="W949" s="10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2.75" customHeight="1">
      <c r="A950" s="10"/>
      <c r="B950" s="11"/>
      <c r="C950" s="10"/>
      <c r="D950" s="11"/>
      <c r="E950" s="10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0"/>
      <c r="V950" s="11"/>
      <c r="W950" s="10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2.75" customHeight="1">
      <c r="A951" s="10"/>
      <c r="B951" s="11"/>
      <c r="C951" s="10"/>
      <c r="D951" s="11"/>
      <c r="E951" s="10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0"/>
      <c r="V951" s="11"/>
      <c r="W951" s="10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2.75" customHeight="1">
      <c r="A952" s="10"/>
      <c r="B952" s="11"/>
      <c r="C952" s="10"/>
      <c r="D952" s="11"/>
      <c r="E952" s="10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0"/>
      <c r="V952" s="11"/>
      <c r="W952" s="10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2.75" customHeight="1">
      <c r="A953" s="10"/>
      <c r="B953" s="11"/>
      <c r="C953" s="10"/>
      <c r="D953" s="11"/>
      <c r="E953" s="10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0"/>
      <c r="V953" s="11"/>
      <c r="W953" s="10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2.75" customHeight="1">
      <c r="A954" s="10"/>
      <c r="B954" s="11"/>
      <c r="C954" s="10"/>
      <c r="D954" s="11"/>
      <c r="E954" s="10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0"/>
      <c r="V954" s="11"/>
      <c r="W954" s="10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2.75" customHeight="1">
      <c r="A955" s="10"/>
      <c r="B955" s="11"/>
      <c r="C955" s="10"/>
      <c r="D955" s="11"/>
      <c r="E955" s="10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0"/>
      <c r="V955" s="11"/>
      <c r="W955" s="10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2.75" customHeight="1">
      <c r="A956" s="10"/>
      <c r="B956" s="11"/>
      <c r="C956" s="10"/>
      <c r="D956" s="11"/>
      <c r="E956" s="10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0"/>
      <c r="V956" s="11"/>
      <c r="W956" s="10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2.75" customHeight="1">
      <c r="A957" s="10"/>
      <c r="B957" s="11"/>
      <c r="C957" s="10"/>
      <c r="D957" s="11"/>
      <c r="E957" s="10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0"/>
      <c r="V957" s="11"/>
      <c r="W957" s="10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2.75" customHeight="1">
      <c r="A958" s="10"/>
      <c r="B958" s="11"/>
      <c r="C958" s="10"/>
      <c r="D958" s="11"/>
      <c r="E958" s="10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0"/>
      <c r="V958" s="11"/>
      <c r="W958" s="10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2.75" customHeight="1">
      <c r="A959" s="10"/>
      <c r="B959" s="11"/>
      <c r="C959" s="10"/>
      <c r="D959" s="11"/>
      <c r="E959" s="10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0"/>
      <c r="V959" s="11"/>
      <c r="W959" s="10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2.75" customHeight="1">
      <c r="A960" s="10"/>
      <c r="B960" s="11"/>
      <c r="C960" s="10"/>
      <c r="D960" s="11"/>
      <c r="E960" s="10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0"/>
      <c r="V960" s="11"/>
      <c r="W960" s="10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2.75" customHeight="1">
      <c r="A961" s="10"/>
      <c r="B961" s="11"/>
      <c r="C961" s="10"/>
      <c r="D961" s="11"/>
      <c r="E961" s="10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0"/>
      <c r="V961" s="11"/>
      <c r="W961" s="10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2.75" customHeight="1">
      <c r="A962" s="10"/>
      <c r="B962" s="11"/>
      <c r="C962" s="10"/>
      <c r="D962" s="11"/>
      <c r="E962" s="10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0"/>
      <c r="V962" s="11"/>
      <c r="W962" s="10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2.75" customHeight="1">
      <c r="A963" s="10"/>
      <c r="B963" s="11"/>
      <c r="C963" s="10"/>
      <c r="D963" s="11"/>
      <c r="E963" s="10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0"/>
      <c r="V963" s="11"/>
      <c r="W963" s="10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2.75" customHeight="1">
      <c r="A964" s="10"/>
      <c r="B964" s="11"/>
      <c r="C964" s="10"/>
      <c r="D964" s="11"/>
      <c r="E964" s="10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0"/>
      <c r="V964" s="11"/>
      <c r="W964" s="10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2.75" customHeight="1">
      <c r="A965" s="10"/>
      <c r="B965" s="11"/>
      <c r="C965" s="10"/>
      <c r="D965" s="11"/>
      <c r="E965" s="10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0"/>
      <c r="V965" s="11"/>
      <c r="W965" s="10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2.75" customHeight="1">
      <c r="A966" s="10"/>
      <c r="B966" s="11"/>
      <c r="C966" s="10"/>
      <c r="D966" s="11"/>
      <c r="E966" s="10"/>
      <c r="F966" s="1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0"/>
      <c r="V966" s="11"/>
      <c r="W966" s="10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2.75" customHeight="1">
      <c r="A967" s="10"/>
      <c r="B967" s="11"/>
      <c r="C967" s="10"/>
      <c r="D967" s="11"/>
      <c r="E967" s="10"/>
      <c r="F967" s="1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0"/>
      <c r="V967" s="11"/>
      <c r="W967" s="10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2.75" customHeight="1">
      <c r="A968" s="10"/>
      <c r="B968" s="11"/>
      <c r="C968" s="10"/>
      <c r="D968" s="11"/>
      <c r="E968" s="10"/>
      <c r="F968" s="1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0"/>
      <c r="V968" s="11"/>
      <c r="W968" s="10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2.75" customHeight="1">
      <c r="A969" s="10"/>
      <c r="B969" s="11"/>
      <c r="C969" s="10"/>
      <c r="D969" s="11"/>
      <c r="E969" s="10"/>
      <c r="F969" s="1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0"/>
      <c r="V969" s="11"/>
      <c r="W969" s="10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2.75" customHeight="1">
      <c r="A970" s="10"/>
      <c r="B970" s="11"/>
      <c r="C970" s="10"/>
      <c r="D970" s="11"/>
      <c r="E970" s="10"/>
      <c r="F970" s="1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0"/>
      <c r="V970" s="11"/>
      <c r="W970" s="10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2.75" customHeight="1">
      <c r="A971" s="10"/>
      <c r="B971" s="11"/>
      <c r="C971" s="10"/>
      <c r="D971" s="11"/>
      <c r="E971" s="10"/>
      <c r="F971" s="1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0"/>
      <c r="V971" s="11"/>
      <c r="W971" s="10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2.75" customHeight="1">
      <c r="A972" s="10"/>
      <c r="B972" s="11"/>
      <c r="C972" s="10"/>
      <c r="D972" s="11"/>
      <c r="E972" s="10"/>
      <c r="F972" s="1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0"/>
      <c r="V972" s="11"/>
      <c r="W972" s="10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2.75" customHeight="1">
      <c r="A973" s="10"/>
      <c r="B973" s="11"/>
      <c r="C973" s="10"/>
      <c r="D973" s="11"/>
      <c r="E973" s="10"/>
      <c r="F973" s="1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0"/>
      <c r="V973" s="11"/>
      <c r="W973" s="10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2.75" customHeight="1">
      <c r="A974" s="10"/>
      <c r="B974" s="11"/>
      <c r="C974" s="10"/>
      <c r="D974" s="11"/>
      <c r="E974" s="10"/>
      <c r="F974" s="1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0"/>
      <c r="V974" s="11"/>
      <c r="W974" s="10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2.75" customHeight="1">
      <c r="A975" s="10"/>
      <c r="B975" s="11"/>
      <c r="C975" s="10"/>
      <c r="D975" s="11"/>
      <c r="E975" s="10"/>
      <c r="F975" s="1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0"/>
      <c r="V975" s="11"/>
      <c r="W975" s="10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2.75" customHeight="1">
      <c r="A976" s="10"/>
      <c r="B976" s="11"/>
      <c r="C976" s="10"/>
      <c r="D976" s="11"/>
      <c r="E976" s="10"/>
      <c r="F976" s="1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0"/>
      <c r="V976" s="11"/>
      <c r="W976" s="10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2.75" customHeight="1">
      <c r="A977" s="10"/>
      <c r="B977" s="11"/>
      <c r="C977" s="10"/>
      <c r="D977" s="11"/>
      <c r="E977" s="10"/>
      <c r="F977" s="1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0"/>
      <c r="V977" s="11"/>
      <c r="W977" s="10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2.75" customHeight="1">
      <c r="A978" s="10"/>
      <c r="B978" s="11"/>
      <c r="C978" s="10"/>
      <c r="D978" s="11"/>
      <c r="E978" s="10"/>
      <c r="F978" s="1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0"/>
      <c r="V978" s="11"/>
      <c r="W978" s="10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2.75" customHeight="1">
      <c r="A979" s="10"/>
      <c r="B979" s="11"/>
      <c r="C979" s="10"/>
      <c r="D979" s="11"/>
      <c r="E979" s="10"/>
      <c r="F979" s="1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0"/>
      <c r="V979" s="11"/>
      <c r="W979" s="10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2.75" customHeight="1">
      <c r="A980" s="10"/>
      <c r="B980" s="11"/>
      <c r="C980" s="10"/>
      <c r="D980" s="11"/>
      <c r="E980" s="10"/>
      <c r="F980" s="1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0"/>
      <c r="V980" s="11"/>
      <c r="W980" s="10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2.75" customHeight="1">
      <c r="A981" s="10"/>
      <c r="B981" s="11"/>
      <c r="C981" s="10"/>
      <c r="D981" s="11"/>
      <c r="E981" s="10"/>
      <c r="F981" s="1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0"/>
      <c r="V981" s="11"/>
      <c r="W981" s="10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2.75" customHeight="1">
      <c r="A982" s="10"/>
      <c r="B982" s="11"/>
      <c r="C982" s="10"/>
      <c r="D982" s="11"/>
      <c r="E982" s="10"/>
      <c r="F982" s="1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0"/>
      <c r="V982" s="11"/>
      <c r="W982" s="10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2.75" customHeight="1">
      <c r="A983" s="10"/>
      <c r="B983" s="11"/>
      <c r="C983" s="10"/>
      <c r="D983" s="11"/>
      <c r="E983" s="10"/>
      <c r="F983" s="1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0"/>
      <c r="V983" s="11"/>
      <c r="W983" s="10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2.75" customHeight="1">
      <c r="A984" s="10"/>
      <c r="B984" s="11"/>
      <c r="C984" s="10"/>
      <c r="D984" s="11"/>
      <c r="E984" s="10"/>
      <c r="F984" s="1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0"/>
      <c r="V984" s="11"/>
      <c r="W984" s="10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2.75" customHeight="1">
      <c r="A985" s="10"/>
      <c r="B985" s="11"/>
      <c r="C985" s="10"/>
      <c r="D985" s="11"/>
      <c r="E985" s="10"/>
      <c r="F985" s="1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0"/>
      <c r="V985" s="11"/>
      <c r="W985" s="10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2.75" customHeight="1">
      <c r="A986" s="10"/>
      <c r="B986" s="11"/>
      <c r="C986" s="10"/>
      <c r="D986" s="11"/>
      <c r="E986" s="10"/>
      <c r="F986" s="1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0"/>
      <c r="V986" s="11"/>
      <c r="W986" s="10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2.75" customHeight="1">
      <c r="A987" s="10"/>
      <c r="B987" s="11"/>
      <c r="C987" s="10"/>
      <c r="D987" s="11"/>
      <c r="E987" s="10"/>
      <c r="F987" s="1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0"/>
      <c r="V987" s="11"/>
      <c r="W987" s="10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2.75" customHeight="1">
      <c r="A988" s="10"/>
      <c r="B988" s="11"/>
      <c r="C988" s="10"/>
      <c r="D988" s="11"/>
      <c r="E988" s="10"/>
      <c r="F988" s="1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0"/>
      <c r="V988" s="11"/>
      <c r="W988" s="10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2.75" customHeight="1">
      <c r="A989" s="10"/>
      <c r="B989" s="11"/>
      <c r="C989" s="10"/>
      <c r="D989" s="11"/>
      <c r="E989" s="10"/>
      <c r="F989" s="1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0"/>
      <c r="V989" s="11"/>
      <c r="W989" s="10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2.75" customHeight="1">
      <c r="A990" s="10"/>
      <c r="B990" s="11"/>
      <c r="C990" s="10"/>
      <c r="D990" s="11"/>
      <c r="E990" s="10"/>
      <c r="F990" s="1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0"/>
      <c r="V990" s="11"/>
      <c r="W990" s="10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2.75" customHeight="1">
      <c r="A991" s="10"/>
      <c r="B991" s="11"/>
      <c r="C991" s="10"/>
      <c r="D991" s="11"/>
      <c r="E991" s="10"/>
      <c r="F991" s="1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0"/>
      <c r="V991" s="11"/>
      <c r="W991" s="10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2.75" customHeight="1">
      <c r="A992" s="10"/>
      <c r="B992" s="11"/>
      <c r="C992" s="10"/>
      <c r="D992" s="11"/>
      <c r="E992" s="10"/>
      <c r="F992" s="1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0"/>
      <c r="V992" s="11"/>
      <c r="W992" s="10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2.75" customHeight="1">
      <c r="A993" s="10"/>
      <c r="B993" s="11"/>
      <c r="C993" s="10"/>
      <c r="D993" s="11"/>
      <c r="E993" s="10"/>
      <c r="F993" s="1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0"/>
      <c r="V993" s="11"/>
      <c r="W993" s="10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2.75" customHeight="1">
      <c r="A994" s="10"/>
      <c r="B994" s="11"/>
      <c r="C994" s="10"/>
      <c r="D994" s="11"/>
      <c r="E994" s="10"/>
      <c r="F994" s="1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0"/>
      <c r="V994" s="11"/>
      <c r="W994" s="10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2.75" customHeight="1">
      <c r="A995" s="10"/>
      <c r="B995" s="11"/>
      <c r="C995" s="10"/>
      <c r="D995" s="11"/>
      <c r="E995" s="10"/>
      <c r="F995" s="1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0"/>
      <c r="V995" s="11"/>
      <c r="W995" s="10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2.75" customHeight="1">
      <c r="A996" s="10"/>
      <c r="B996" s="11"/>
      <c r="C996" s="10"/>
      <c r="D996" s="11"/>
      <c r="E996" s="10"/>
      <c r="F996" s="1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0"/>
      <c r="V996" s="11"/>
      <c r="W996" s="10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2.75" customHeight="1">
      <c r="A997" s="10"/>
      <c r="B997" s="11"/>
      <c r="C997" s="10"/>
      <c r="D997" s="11"/>
      <c r="E997" s="10"/>
      <c r="F997" s="1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0"/>
      <c r="V997" s="11"/>
      <c r="W997" s="10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2.75" customHeight="1">
      <c r="A998" s="10"/>
      <c r="B998" s="11"/>
      <c r="C998" s="10"/>
      <c r="D998" s="11"/>
      <c r="E998" s="10"/>
      <c r="F998" s="1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0"/>
      <c r="V998" s="11"/>
      <c r="W998" s="10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2.75" customHeight="1">
      <c r="A999" s="10"/>
      <c r="B999" s="11"/>
      <c r="C999" s="10"/>
      <c r="D999" s="11"/>
      <c r="E999" s="10"/>
      <c r="F999" s="1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0"/>
      <c r="V999" s="11"/>
      <c r="W999" s="10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2.75" customHeight="1">
      <c r="A1000" s="10"/>
      <c r="B1000" s="11"/>
      <c r="C1000" s="10"/>
      <c r="D1000" s="11"/>
      <c r="E1000" s="10"/>
      <c r="F1000" s="1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0"/>
      <c r="V1000" s="11"/>
      <c r="W1000" s="10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5.13" defaultRowHeight="15.0"/>
  <cols>
    <col customWidth="1" min="1" max="1" width="4.0"/>
    <col customWidth="1" min="2" max="2" width="7.75"/>
    <col customWidth="1" min="3" max="3" width="10.88"/>
    <col customWidth="1" min="4" max="4" width="3.0"/>
    <col customWidth="1" min="5" max="5" width="2.63"/>
    <col customWidth="1" min="6" max="6" width="6.63"/>
    <col customWidth="1" min="7" max="7" width="2.75"/>
    <col customWidth="1" min="8" max="9" width="3.5"/>
    <col customWidth="1" min="10" max="10" width="2.75"/>
    <col customWidth="1" min="11" max="11" width="3.25"/>
    <col customWidth="1" min="12" max="12" width="3.13"/>
    <col customWidth="1" min="13" max="13" width="4.63"/>
    <col customWidth="1" min="14" max="19" width="3.63"/>
    <col customWidth="1" min="20" max="20" width="5.38"/>
    <col customWidth="1" min="21" max="21" width="3.13"/>
    <col customWidth="1" min="22" max="22" width="9.0"/>
    <col customWidth="1" min="23" max="23" width="3.13"/>
    <col customWidth="1" min="24" max="24" width="9.88"/>
    <col customWidth="1" min="25" max="25" width="7.25"/>
    <col customWidth="1" min="26" max="26" width="7.88"/>
    <col customWidth="1" min="27" max="3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3">
        <v>1.0</v>
      </c>
      <c r="B2" s="4" t="s">
        <v>26</v>
      </c>
      <c r="C2" s="3"/>
      <c r="D2" s="4">
        <v>11.0</v>
      </c>
      <c r="E2" s="3">
        <v>7.0</v>
      </c>
      <c r="F2" s="3">
        <f t="shared" ref="F2:F50" si="1">D2-E2</f>
        <v>4</v>
      </c>
      <c r="G2" s="5">
        <v>6.0</v>
      </c>
      <c r="H2" s="5">
        <v>0.0</v>
      </c>
      <c r="I2" s="5">
        <v>5.0</v>
      </c>
      <c r="J2" s="5">
        <v>0.0</v>
      </c>
      <c r="K2" s="5">
        <v>0.0</v>
      </c>
      <c r="L2" s="5">
        <v>0.0</v>
      </c>
      <c r="M2" s="4" t="s">
        <v>40</v>
      </c>
      <c r="N2" s="5">
        <f>(E2-1)+VLOOKUP(M2,Size,2,0)</f>
        <v>6</v>
      </c>
      <c r="O2" s="5">
        <f>VLOOKUP(E2,LevelData,4)</f>
        <v>7</v>
      </c>
      <c r="P2" s="5">
        <f>O2+VLOOKUP(M2,Size,3,0)</f>
        <v>7</v>
      </c>
      <c r="Q2" s="5">
        <f t="shared" ref="Q2:Q50" si="2">R2</f>
        <v>5</v>
      </c>
      <c r="R2" s="5">
        <f>VLOOKUP(E2,LevelData,2)</f>
        <v>5</v>
      </c>
      <c r="S2" s="5">
        <f t="shared" ref="S2:S50" si="3">R2</f>
        <v>5</v>
      </c>
      <c r="T2" s="4" t="s">
        <v>164</v>
      </c>
      <c r="U2" s="3">
        <v>15.0</v>
      </c>
      <c r="V2" s="6"/>
      <c r="W2" s="3"/>
      <c r="X2" s="4" t="s">
        <v>165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3">
        <f t="shared" ref="A3:A50" si="4">A2+1</f>
        <v>2</v>
      </c>
      <c r="B3" s="4"/>
      <c r="C3" s="3"/>
      <c r="D3" s="4">
        <f t="shared" ref="D3:D50" si="5">D2+1</f>
        <v>12</v>
      </c>
      <c r="E3" s="3">
        <v>8.0</v>
      </c>
      <c r="F3" s="3">
        <f t="shared" si="1"/>
        <v>4</v>
      </c>
      <c r="G3" s="5">
        <v>1.0</v>
      </c>
      <c r="H3" s="5">
        <v>0.0</v>
      </c>
      <c r="I3" s="5">
        <v>0.0</v>
      </c>
      <c r="J3" s="5">
        <v>0.0</v>
      </c>
      <c r="K3" s="5">
        <v>1.0</v>
      </c>
      <c r="L3" s="5">
        <v>0.0</v>
      </c>
      <c r="M3" s="4" t="s">
        <v>40</v>
      </c>
      <c r="N3" s="5">
        <f>(E3-1)+VLOOKUP(M3,Size,2,0)</f>
        <v>7</v>
      </c>
      <c r="O3" s="5">
        <f>VLOOKUP(E3,LevelData,4)</f>
        <v>8</v>
      </c>
      <c r="P3" s="5">
        <f>O3+VLOOKUP(M3,Size,3,0)</f>
        <v>8</v>
      </c>
      <c r="Q3" s="5">
        <f t="shared" si="2"/>
        <v>6</v>
      </c>
      <c r="R3" s="5">
        <f>VLOOKUP(E3,LevelData,2)</f>
        <v>6</v>
      </c>
      <c r="S3" s="5">
        <f t="shared" si="3"/>
        <v>6</v>
      </c>
      <c r="T3" s="4" t="s">
        <v>164</v>
      </c>
      <c r="U3" s="3">
        <v>16.0</v>
      </c>
      <c r="V3" s="4"/>
      <c r="W3" s="3"/>
      <c r="X3" s="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3">
        <f t="shared" si="4"/>
        <v>3</v>
      </c>
      <c r="B4" s="4"/>
      <c r="C4" s="3"/>
      <c r="D4" s="4">
        <f t="shared" si="5"/>
        <v>13</v>
      </c>
      <c r="E4" s="3">
        <v>9.0</v>
      </c>
      <c r="F4" s="3">
        <f t="shared" si="1"/>
        <v>4</v>
      </c>
      <c r="G4" s="5">
        <v>1.0</v>
      </c>
      <c r="H4" s="5">
        <v>0.0</v>
      </c>
      <c r="I4" s="5">
        <v>1.0</v>
      </c>
      <c r="J4" s="5">
        <v>1.0</v>
      </c>
      <c r="K4" s="5">
        <v>0.0</v>
      </c>
      <c r="L4" s="5">
        <v>0.0</v>
      </c>
      <c r="M4" s="4" t="s">
        <v>40</v>
      </c>
      <c r="N4" s="5">
        <f>(E4-1)+VLOOKUP(M4,Size,2,0)</f>
        <v>8</v>
      </c>
      <c r="O4" s="5">
        <f>VLOOKUP(E4,LevelData,4)</f>
        <v>9</v>
      </c>
      <c r="P4" s="5">
        <f>O4+VLOOKUP(M4,Size,3,0)</f>
        <v>9</v>
      </c>
      <c r="Q4" s="5">
        <f t="shared" si="2"/>
        <v>6</v>
      </c>
      <c r="R4" s="5">
        <f>VLOOKUP(E4,LevelData,2)</f>
        <v>6</v>
      </c>
      <c r="S4" s="5">
        <f t="shared" si="3"/>
        <v>6</v>
      </c>
      <c r="T4" s="4" t="s">
        <v>166</v>
      </c>
      <c r="U4" s="3">
        <v>16.0</v>
      </c>
      <c r="V4" s="4"/>
      <c r="W4" s="3"/>
      <c r="X4" s="4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2.75" customHeight="1">
      <c r="A5" s="7">
        <f t="shared" si="4"/>
        <v>4</v>
      </c>
      <c r="B5" s="8"/>
      <c r="C5" s="7"/>
      <c r="D5" s="8">
        <f t="shared" si="5"/>
        <v>14</v>
      </c>
      <c r="E5" s="7">
        <v>9.0</v>
      </c>
      <c r="F5" s="7">
        <f t="shared" si="1"/>
        <v>5</v>
      </c>
      <c r="G5" s="9">
        <v>1.0</v>
      </c>
      <c r="H5" s="9">
        <v>0.0</v>
      </c>
      <c r="I5" s="9">
        <v>0.0</v>
      </c>
      <c r="J5" s="9">
        <v>0.0</v>
      </c>
      <c r="K5" s="9">
        <v>0.0</v>
      </c>
      <c r="L5" s="9">
        <v>1.0</v>
      </c>
      <c r="M5" s="8" t="s">
        <v>40</v>
      </c>
      <c r="N5" s="9">
        <f>(E5-1)+VLOOKUP(M5,Size,2,0)</f>
        <v>8</v>
      </c>
      <c r="O5" s="9">
        <f>VLOOKUP(E5,LevelData,4)</f>
        <v>9</v>
      </c>
      <c r="P5" s="9">
        <f>O5+VLOOKUP(M5,Size,3,0)</f>
        <v>9</v>
      </c>
      <c r="Q5" s="9">
        <f t="shared" si="2"/>
        <v>6</v>
      </c>
      <c r="R5" s="9">
        <f>VLOOKUP(E5,LevelData,2)</f>
        <v>6</v>
      </c>
      <c r="S5" s="9">
        <f t="shared" si="3"/>
        <v>6</v>
      </c>
      <c r="T5" s="8" t="s">
        <v>166</v>
      </c>
      <c r="U5" s="7">
        <v>17.0</v>
      </c>
      <c r="V5" s="8"/>
      <c r="W5" s="7"/>
      <c r="X5" s="8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t="12.75" customHeight="1">
      <c r="A6" s="10">
        <f t="shared" si="4"/>
        <v>5</v>
      </c>
      <c r="B6" s="11" t="s">
        <v>35</v>
      </c>
      <c r="C6" s="10"/>
      <c r="D6" s="11">
        <f t="shared" si="5"/>
        <v>15</v>
      </c>
      <c r="E6" s="10">
        <v>10.0</v>
      </c>
      <c r="F6" s="10">
        <f t="shared" si="1"/>
        <v>5</v>
      </c>
      <c r="G6" s="12">
        <v>1.0</v>
      </c>
      <c r="H6" s="12">
        <v>0.0</v>
      </c>
      <c r="I6" s="12">
        <v>1.0</v>
      </c>
      <c r="J6" s="12">
        <v>1.0</v>
      </c>
      <c r="K6" s="12">
        <v>1.0</v>
      </c>
      <c r="L6" s="12">
        <v>1.0</v>
      </c>
      <c r="M6" s="11" t="s">
        <v>49</v>
      </c>
      <c r="N6" s="12">
        <f>(E6-1)+VLOOKUP(M6,Size,2,0)</f>
        <v>8</v>
      </c>
      <c r="O6" s="12">
        <f>VLOOKUP(E6,LevelData,4)</f>
        <v>10</v>
      </c>
      <c r="P6" s="12">
        <f>O6+VLOOKUP(M6,Size,3,0)</f>
        <v>9</v>
      </c>
      <c r="Q6" s="12">
        <f t="shared" si="2"/>
        <v>7</v>
      </c>
      <c r="R6" s="12">
        <f>VLOOKUP(E6,LevelData,2)</f>
        <v>7</v>
      </c>
      <c r="S6" s="12">
        <f t="shared" si="3"/>
        <v>7</v>
      </c>
      <c r="T6" s="11" t="s">
        <v>167</v>
      </c>
      <c r="U6" s="10">
        <v>18.0</v>
      </c>
      <c r="V6" s="11"/>
      <c r="W6" s="10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2.75" customHeight="1">
      <c r="A7" s="10">
        <f t="shared" si="4"/>
        <v>6</v>
      </c>
      <c r="B7" s="11"/>
      <c r="C7" s="10"/>
      <c r="D7" s="11">
        <f t="shared" si="5"/>
        <v>16</v>
      </c>
      <c r="E7" s="10">
        <v>11.0</v>
      </c>
      <c r="F7" s="10">
        <f t="shared" si="1"/>
        <v>5</v>
      </c>
      <c r="G7" s="12">
        <v>1.0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1" t="s">
        <v>49</v>
      </c>
      <c r="N7" s="12">
        <f>(E7-1)+VLOOKUP(M7,Size,2,0)</f>
        <v>9</v>
      </c>
      <c r="O7" s="12">
        <f>VLOOKUP(E7,LevelData,4)</f>
        <v>11</v>
      </c>
      <c r="P7" s="12">
        <f>O7+VLOOKUP(M7,Size,3,0)</f>
        <v>10</v>
      </c>
      <c r="Q7" s="12">
        <f t="shared" si="2"/>
        <v>7</v>
      </c>
      <c r="R7" s="12">
        <f>VLOOKUP(E7,LevelData,2)</f>
        <v>7</v>
      </c>
      <c r="S7" s="12">
        <f t="shared" si="3"/>
        <v>7</v>
      </c>
      <c r="T7" s="11" t="s">
        <v>167</v>
      </c>
      <c r="U7" s="10">
        <v>18.0</v>
      </c>
      <c r="V7" s="11"/>
      <c r="W7" s="10"/>
      <c r="X7" s="11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2.75" customHeight="1">
      <c r="A8" s="10">
        <f t="shared" si="4"/>
        <v>7</v>
      </c>
      <c r="B8" s="11"/>
      <c r="C8" s="10"/>
      <c r="D8" s="11">
        <f t="shared" si="5"/>
        <v>17</v>
      </c>
      <c r="E8" s="10">
        <v>12.0</v>
      </c>
      <c r="F8" s="10">
        <f t="shared" si="1"/>
        <v>5</v>
      </c>
      <c r="G8" s="12">
        <v>1.0</v>
      </c>
      <c r="H8" s="12">
        <v>0.0</v>
      </c>
      <c r="I8" s="12">
        <v>0.0</v>
      </c>
      <c r="J8" s="12">
        <v>0.0</v>
      </c>
      <c r="K8" s="12">
        <v>0.0</v>
      </c>
      <c r="L8" s="12">
        <v>0.0</v>
      </c>
      <c r="M8" s="11" t="s">
        <v>49</v>
      </c>
      <c r="N8" s="12">
        <f>(E8-1)+VLOOKUP(M8,Size,2,0)</f>
        <v>10</v>
      </c>
      <c r="O8" s="12">
        <f>VLOOKUP(E8,LevelData,4)</f>
        <v>12</v>
      </c>
      <c r="P8" s="12">
        <f>O8+VLOOKUP(M8,Size,3,0)</f>
        <v>11</v>
      </c>
      <c r="Q8" s="12">
        <f t="shared" si="2"/>
        <v>8</v>
      </c>
      <c r="R8" s="12">
        <f>VLOOKUP(E8,LevelData,2)</f>
        <v>8</v>
      </c>
      <c r="S8" s="12">
        <f t="shared" si="3"/>
        <v>8</v>
      </c>
      <c r="T8" s="11" t="s">
        <v>168</v>
      </c>
      <c r="U8" s="10">
        <v>18.0</v>
      </c>
      <c r="V8" s="11"/>
      <c r="W8" s="10"/>
      <c r="X8" s="11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12.75" customHeight="1">
      <c r="A9" s="1">
        <f t="shared" si="4"/>
        <v>8</v>
      </c>
      <c r="B9" s="2"/>
      <c r="C9" s="1"/>
      <c r="D9" s="2">
        <f t="shared" si="5"/>
        <v>18</v>
      </c>
      <c r="E9" s="1">
        <v>12.0</v>
      </c>
      <c r="F9" s="1">
        <f t="shared" si="1"/>
        <v>6</v>
      </c>
      <c r="G9" s="13">
        <v>1.0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2" t="s">
        <v>49</v>
      </c>
      <c r="N9" s="13">
        <f>(E9-1)+VLOOKUP(M9,Size,2,0)</f>
        <v>10</v>
      </c>
      <c r="O9" s="13">
        <f>VLOOKUP(E9,LevelData,4)</f>
        <v>12</v>
      </c>
      <c r="P9" s="13">
        <f>O9+VLOOKUP(M9,Size,3,0)</f>
        <v>11</v>
      </c>
      <c r="Q9" s="13">
        <f t="shared" si="2"/>
        <v>8</v>
      </c>
      <c r="R9" s="13">
        <f>VLOOKUP(E9,LevelData,2)</f>
        <v>8</v>
      </c>
      <c r="S9" s="13">
        <f t="shared" si="3"/>
        <v>8</v>
      </c>
      <c r="T9" s="2" t="s">
        <v>168</v>
      </c>
      <c r="U9" s="1">
        <v>18.0</v>
      </c>
      <c r="V9" s="2"/>
      <c r="W9" s="1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2.75" customHeight="1">
      <c r="A10" s="3">
        <f t="shared" si="4"/>
        <v>9</v>
      </c>
      <c r="B10" s="4" t="s">
        <v>39</v>
      </c>
      <c r="C10" s="3"/>
      <c r="D10" s="4">
        <f t="shared" si="5"/>
        <v>19</v>
      </c>
      <c r="E10" s="3">
        <v>13.0</v>
      </c>
      <c r="F10" s="3">
        <f t="shared" si="1"/>
        <v>6</v>
      </c>
      <c r="G10" s="5">
        <v>1.0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4" t="s">
        <v>49</v>
      </c>
      <c r="N10" s="5">
        <f>(E10-1)+VLOOKUP(M10,Size,2,0)</f>
        <v>11</v>
      </c>
      <c r="O10" s="5">
        <f>VLOOKUP(E10,LevelData,4)</f>
        <v>13</v>
      </c>
      <c r="P10" s="5">
        <f>O10+VLOOKUP(M10,Size,3,0)</f>
        <v>12</v>
      </c>
      <c r="Q10" s="5">
        <f t="shared" si="2"/>
        <v>8</v>
      </c>
      <c r="R10" s="5">
        <f>VLOOKUP(E10,LevelData,2)</f>
        <v>8</v>
      </c>
      <c r="S10" s="5">
        <f t="shared" si="3"/>
        <v>8</v>
      </c>
      <c r="T10" s="4" t="s">
        <v>169</v>
      </c>
      <c r="U10" s="3">
        <v>19.0</v>
      </c>
      <c r="V10" s="4"/>
      <c r="W10" s="3"/>
      <c r="X10" s="4"/>
      <c r="Y10" s="3">
        <v>1.0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3">
        <f t="shared" si="4"/>
        <v>10</v>
      </c>
      <c r="B11" s="4"/>
      <c r="C11" s="3"/>
      <c r="D11" s="4">
        <f t="shared" si="5"/>
        <v>20</v>
      </c>
      <c r="E11" s="3">
        <v>14.0</v>
      </c>
      <c r="F11" s="3">
        <f t="shared" si="1"/>
        <v>6</v>
      </c>
      <c r="G11" s="5">
        <v>1.0</v>
      </c>
      <c r="H11" s="5">
        <v>0.0</v>
      </c>
      <c r="I11" s="5">
        <v>1.0</v>
      </c>
      <c r="J11" s="5">
        <v>1.0</v>
      </c>
      <c r="K11" s="5">
        <v>1.0</v>
      </c>
      <c r="L11" s="5">
        <v>1.0</v>
      </c>
      <c r="M11" s="4" t="s">
        <v>49</v>
      </c>
      <c r="N11" s="5">
        <f>(E11-1)+VLOOKUP(M11,Size,2,0)</f>
        <v>12</v>
      </c>
      <c r="O11" s="5">
        <f>VLOOKUP(E11,LevelData,4)</f>
        <v>14</v>
      </c>
      <c r="P11" s="5">
        <f>O11+VLOOKUP(M11,Size,3,0)</f>
        <v>13</v>
      </c>
      <c r="Q11" s="5">
        <f t="shared" si="2"/>
        <v>9</v>
      </c>
      <c r="R11" s="5">
        <f>VLOOKUP(E11,LevelData,2)</f>
        <v>9</v>
      </c>
      <c r="S11" s="5">
        <f t="shared" si="3"/>
        <v>9</v>
      </c>
      <c r="T11" s="4" t="s">
        <v>169</v>
      </c>
      <c r="U11" s="3">
        <v>20.0</v>
      </c>
      <c r="V11" s="4"/>
      <c r="W11" s="3"/>
      <c r="X11" s="4"/>
      <c r="Y11" s="3">
        <v>1.0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2.75" customHeight="1">
      <c r="A12" s="3">
        <f t="shared" si="4"/>
        <v>11</v>
      </c>
      <c r="B12" s="4"/>
      <c r="C12" s="3"/>
      <c r="D12" s="4">
        <f t="shared" si="5"/>
        <v>21</v>
      </c>
      <c r="E12" s="3">
        <v>15.0</v>
      </c>
      <c r="F12" s="3">
        <f t="shared" si="1"/>
        <v>6</v>
      </c>
      <c r="G12" s="5">
        <v>1.0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4" t="s">
        <v>49</v>
      </c>
      <c r="N12" s="5">
        <f>(E12-1)+VLOOKUP(M12,Size,2,0)</f>
        <v>13</v>
      </c>
      <c r="O12" s="5">
        <f>VLOOKUP(E12,LevelData,4)</f>
        <v>15</v>
      </c>
      <c r="P12" s="5">
        <f>O12+VLOOKUP(M12,Size,3,0)</f>
        <v>14</v>
      </c>
      <c r="Q12" s="5">
        <f t="shared" si="2"/>
        <v>9</v>
      </c>
      <c r="R12" s="5">
        <f>VLOOKUP(E12,LevelData,2)</f>
        <v>9</v>
      </c>
      <c r="S12" s="5">
        <f t="shared" si="3"/>
        <v>9</v>
      </c>
      <c r="T12" s="4" t="s">
        <v>170</v>
      </c>
      <c r="U12" s="3">
        <v>20.0</v>
      </c>
      <c r="V12" s="4"/>
      <c r="W12" s="3"/>
      <c r="X12" s="4"/>
      <c r="Y12" s="3">
        <v>2.0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12.75" customHeight="1">
      <c r="A13" s="7">
        <f t="shared" si="4"/>
        <v>12</v>
      </c>
      <c r="B13" s="8"/>
      <c r="C13" s="7"/>
      <c r="D13" s="8">
        <f t="shared" si="5"/>
        <v>22</v>
      </c>
      <c r="E13" s="7">
        <v>15.0</v>
      </c>
      <c r="F13" s="7">
        <f t="shared" si="1"/>
        <v>7</v>
      </c>
      <c r="G13" s="9">
        <v>1.0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8" t="s">
        <v>49</v>
      </c>
      <c r="N13" s="9">
        <f>(E13-1)+VLOOKUP(M13,Size,2,0)</f>
        <v>13</v>
      </c>
      <c r="O13" s="9">
        <f>VLOOKUP(E13,LevelData,4)</f>
        <v>15</v>
      </c>
      <c r="P13" s="9">
        <f>O13+VLOOKUP(M13,Size,3,0)</f>
        <v>14</v>
      </c>
      <c r="Q13" s="9">
        <f t="shared" si="2"/>
        <v>9</v>
      </c>
      <c r="R13" s="9">
        <f>VLOOKUP(E13,LevelData,2)</f>
        <v>9</v>
      </c>
      <c r="S13" s="9">
        <f t="shared" si="3"/>
        <v>9</v>
      </c>
      <c r="T13" s="8" t="s">
        <v>170</v>
      </c>
      <c r="U13" s="7">
        <v>21.0</v>
      </c>
      <c r="V13" s="8"/>
      <c r="W13" s="7"/>
      <c r="X13" s="8"/>
      <c r="Y13" s="7">
        <v>2.0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12.75" customHeight="1">
      <c r="A14" s="10">
        <f t="shared" si="4"/>
        <v>13</v>
      </c>
      <c r="B14" s="11" t="s">
        <v>44</v>
      </c>
      <c r="C14" s="10">
        <v>26.0</v>
      </c>
      <c r="D14" s="11">
        <f t="shared" si="5"/>
        <v>23</v>
      </c>
      <c r="E14" s="10">
        <v>16.0</v>
      </c>
      <c r="F14" s="10">
        <f t="shared" si="1"/>
        <v>7</v>
      </c>
      <c r="G14" s="12">
        <v>1.0</v>
      </c>
      <c r="H14" s="12">
        <v>0.0</v>
      </c>
      <c r="I14" s="12">
        <v>1.0</v>
      </c>
      <c r="J14" s="12">
        <v>1.0</v>
      </c>
      <c r="K14" s="12">
        <v>1.0</v>
      </c>
      <c r="L14" s="12">
        <v>1.0</v>
      </c>
      <c r="M14" s="11" t="s">
        <v>49</v>
      </c>
      <c r="N14" s="12">
        <f>(E14-1)+VLOOKUP(M14,Size,2,0)</f>
        <v>14</v>
      </c>
      <c r="O14" s="12">
        <f>VLOOKUP(E14,LevelData,4)</f>
        <v>16</v>
      </c>
      <c r="P14" s="12">
        <f>O14+VLOOKUP(M14,Size,3,0)</f>
        <v>15</v>
      </c>
      <c r="Q14" s="12">
        <f t="shared" si="2"/>
        <v>10</v>
      </c>
      <c r="R14" s="12">
        <f>VLOOKUP(E14,LevelData,2)</f>
        <v>10</v>
      </c>
      <c r="S14" s="12">
        <f t="shared" si="3"/>
        <v>10</v>
      </c>
      <c r="T14" s="11" t="s">
        <v>171</v>
      </c>
      <c r="U14" s="10">
        <v>22.0</v>
      </c>
      <c r="V14" s="11"/>
      <c r="W14" s="10"/>
      <c r="X14" s="11" t="s">
        <v>172</v>
      </c>
      <c r="Y14" s="10">
        <v>3.0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2.75" customHeight="1">
      <c r="A15" s="10">
        <f t="shared" si="4"/>
        <v>14</v>
      </c>
      <c r="B15" s="11"/>
      <c r="C15" s="10">
        <v>32.0</v>
      </c>
      <c r="D15" s="11">
        <f t="shared" si="5"/>
        <v>24</v>
      </c>
      <c r="E15" s="10">
        <v>17.0</v>
      </c>
      <c r="F15" s="10">
        <f t="shared" si="1"/>
        <v>7</v>
      </c>
      <c r="G15" s="12">
        <v>0.0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1" t="s">
        <v>49</v>
      </c>
      <c r="N15" s="12">
        <f>(E15-1)+VLOOKUP(M15,Size,2,0)</f>
        <v>15</v>
      </c>
      <c r="O15" s="12">
        <f>VLOOKUP(E15,LevelData,4)</f>
        <v>17</v>
      </c>
      <c r="P15" s="12">
        <f>O15+VLOOKUP(M15,Size,3,0)</f>
        <v>16</v>
      </c>
      <c r="Q15" s="12">
        <f t="shared" si="2"/>
        <v>10</v>
      </c>
      <c r="R15" s="12">
        <f>VLOOKUP(E15,LevelData,2)</f>
        <v>10</v>
      </c>
      <c r="S15" s="12">
        <f t="shared" si="3"/>
        <v>10</v>
      </c>
      <c r="T15" s="11" t="s">
        <v>171</v>
      </c>
      <c r="U15" s="10">
        <v>22.0</v>
      </c>
      <c r="V15" s="11"/>
      <c r="W15" s="10"/>
      <c r="X15" s="11" t="s">
        <v>173</v>
      </c>
      <c r="Y15" s="10">
        <v>3.0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2.75" customHeight="1">
      <c r="A16" s="10">
        <f t="shared" si="4"/>
        <v>15</v>
      </c>
      <c r="B16" s="11"/>
      <c r="C16" s="10">
        <v>39.0</v>
      </c>
      <c r="D16" s="11">
        <f t="shared" si="5"/>
        <v>25</v>
      </c>
      <c r="E16" s="10">
        <v>18.0</v>
      </c>
      <c r="F16" s="10">
        <f t="shared" si="1"/>
        <v>7</v>
      </c>
      <c r="G16" s="12">
        <v>1.0</v>
      </c>
      <c r="H16" s="12">
        <v>0.0</v>
      </c>
      <c r="I16" s="12">
        <v>1.0</v>
      </c>
      <c r="J16" s="12">
        <v>0.0</v>
      </c>
      <c r="K16" s="12">
        <v>0.0</v>
      </c>
      <c r="L16" s="12">
        <v>0.0</v>
      </c>
      <c r="M16" s="11" t="s">
        <v>49</v>
      </c>
      <c r="N16" s="12">
        <f>(E16-1)+VLOOKUP(M16,Size,2,0)</f>
        <v>16</v>
      </c>
      <c r="O16" s="12">
        <f>VLOOKUP(E16,LevelData,4)</f>
        <v>18</v>
      </c>
      <c r="P16" s="12">
        <f>O16+VLOOKUP(M16,Size,3,0)</f>
        <v>17</v>
      </c>
      <c r="Q16" s="12">
        <f t="shared" si="2"/>
        <v>11</v>
      </c>
      <c r="R16" s="12">
        <f>VLOOKUP(E16,LevelData,2)</f>
        <v>11</v>
      </c>
      <c r="S16" s="12">
        <f t="shared" si="3"/>
        <v>11</v>
      </c>
      <c r="T16" s="11" t="s">
        <v>174</v>
      </c>
      <c r="U16" s="10">
        <v>23.0</v>
      </c>
      <c r="V16" s="11"/>
      <c r="W16" s="10"/>
      <c r="X16" s="11"/>
      <c r="Y16" s="10">
        <v>4.0</v>
      </c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12.75" customHeight="1">
      <c r="A17" s="1">
        <f t="shared" si="4"/>
        <v>16</v>
      </c>
      <c r="B17" s="2"/>
      <c r="C17" s="1">
        <v>45.0</v>
      </c>
      <c r="D17" s="2">
        <f t="shared" si="5"/>
        <v>26</v>
      </c>
      <c r="E17" s="1">
        <v>18.0</v>
      </c>
      <c r="F17" s="1">
        <f t="shared" si="1"/>
        <v>8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  <c r="L17" s="13">
        <v>0.0</v>
      </c>
      <c r="M17" s="2" t="s">
        <v>49</v>
      </c>
      <c r="N17" s="13">
        <f>(E17-1)+VLOOKUP(M17,Size,2,0)</f>
        <v>16</v>
      </c>
      <c r="O17" s="13">
        <f>VLOOKUP(E17,LevelData,4)</f>
        <v>18</v>
      </c>
      <c r="P17" s="13">
        <f>O17+VLOOKUP(M17,Size,3,0)</f>
        <v>17</v>
      </c>
      <c r="Q17" s="13">
        <f t="shared" si="2"/>
        <v>11</v>
      </c>
      <c r="R17" s="13">
        <f>VLOOKUP(E17,LevelData,2)</f>
        <v>11</v>
      </c>
      <c r="S17" s="13">
        <f t="shared" si="3"/>
        <v>11</v>
      </c>
      <c r="T17" s="2" t="s">
        <v>174</v>
      </c>
      <c r="U17" s="1">
        <v>23.0</v>
      </c>
      <c r="V17" s="2"/>
      <c r="W17" s="1"/>
      <c r="X17" s="2"/>
      <c r="Y17" s="1">
        <v>4.0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12.75" customHeight="1">
      <c r="A18" s="3">
        <f t="shared" si="4"/>
        <v>17</v>
      </c>
      <c r="B18" s="4" t="s">
        <v>48</v>
      </c>
      <c r="C18" s="3">
        <v>51.0</v>
      </c>
      <c r="D18" s="4">
        <f t="shared" si="5"/>
        <v>27</v>
      </c>
      <c r="E18" s="3">
        <v>19.0</v>
      </c>
      <c r="F18" s="3">
        <f t="shared" si="1"/>
        <v>8</v>
      </c>
      <c r="G18" s="5">
        <v>1.0</v>
      </c>
      <c r="H18" s="5">
        <v>0.0</v>
      </c>
      <c r="I18" s="5">
        <v>1.0</v>
      </c>
      <c r="J18" s="5">
        <v>0.0</v>
      </c>
      <c r="K18" s="5">
        <v>0.0</v>
      </c>
      <c r="L18" s="5">
        <v>0.0</v>
      </c>
      <c r="M18" s="4" t="s">
        <v>58</v>
      </c>
      <c r="N18" s="5">
        <f>(E18-1)+VLOOKUP(M18,Size,2,0)</f>
        <v>16</v>
      </c>
      <c r="O18" s="5">
        <f>VLOOKUP(E18,LevelData,4)</f>
        <v>19</v>
      </c>
      <c r="P18" s="5">
        <f>O18+VLOOKUP(M18,Size,3,0)</f>
        <v>17</v>
      </c>
      <c r="Q18" s="5">
        <f t="shared" si="2"/>
        <v>11</v>
      </c>
      <c r="R18" s="5">
        <f>VLOOKUP(E18,LevelData,2)</f>
        <v>11</v>
      </c>
      <c r="S18" s="5">
        <f t="shared" si="3"/>
        <v>11</v>
      </c>
      <c r="T18" s="4" t="s">
        <v>175</v>
      </c>
      <c r="U18" s="3">
        <v>24.0</v>
      </c>
      <c r="V18" s="4">
        <f>INT(11+(E18/2))-VLOOKUP(M18,Size,2,0)</f>
        <v>22</v>
      </c>
      <c r="W18" s="3">
        <f t="shared" ref="W18:W33" si="6">INT((E18/2)+10)</f>
        <v>19</v>
      </c>
      <c r="X18" s="4" t="s">
        <v>51</v>
      </c>
      <c r="Y18" s="3">
        <v>5.0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3">
        <f t="shared" si="4"/>
        <v>18</v>
      </c>
      <c r="B19" s="4"/>
      <c r="C19" s="3">
        <v>63.0</v>
      </c>
      <c r="D19" s="4">
        <f t="shared" si="5"/>
        <v>28</v>
      </c>
      <c r="E19" s="3">
        <v>20.0</v>
      </c>
      <c r="F19" s="3">
        <f t="shared" si="1"/>
        <v>8</v>
      </c>
      <c r="G19" s="5">
        <v>0.0</v>
      </c>
      <c r="H19" s="5">
        <v>0.0</v>
      </c>
      <c r="I19" s="5">
        <v>0.0</v>
      </c>
      <c r="J19" s="5">
        <v>1.0</v>
      </c>
      <c r="K19" s="5">
        <v>1.0</v>
      </c>
      <c r="L19" s="5">
        <v>1.0</v>
      </c>
      <c r="M19" s="4" t="s">
        <v>58</v>
      </c>
      <c r="N19" s="5">
        <f>(E19-1)+VLOOKUP(M19,Size,2,0)</f>
        <v>17</v>
      </c>
      <c r="O19" s="5">
        <f>VLOOKUP(E19,LevelData,4)</f>
        <v>20</v>
      </c>
      <c r="P19" s="5">
        <f>O19+VLOOKUP(M19,Size,3,0)</f>
        <v>18</v>
      </c>
      <c r="Q19" s="5">
        <f t="shared" si="2"/>
        <v>12</v>
      </c>
      <c r="R19" s="5">
        <f>VLOOKUP(E19,LevelData,2)</f>
        <v>12</v>
      </c>
      <c r="S19" s="5">
        <f t="shared" si="3"/>
        <v>12</v>
      </c>
      <c r="T19" s="4" t="s">
        <v>175</v>
      </c>
      <c r="U19" s="3">
        <v>24.0</v>
      </c>
      <c r="V19" s="4">
        <f>INT(11+(E19/2))-VLOOKUP(M19,Size,2,0)</f>
        <v>23</v>
      </c>
      <c r="W19" s="3">
        <f t="shared" si="6"/>
        <v>20</v>
      </c>
      <c r="X19" s="4"/>
      <c r="Y19" s="3">
        <v>5.0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3">
        <f t="shared" si="4"/>
        <v>19</v>
      </c>
      <c r="B20" s="4"/>
      <c r="C20" s="3">
        <v>75.0</v>
      </c>
      <c r="D20" s="4">
        <f t="shared" si="5"/>
        <v>29</v>
      </c>
      <c r="E20" s="3">
        <v>21.0</v>
      </c>
      <c r="F20" s="3">
        <f t="shared" si="1"/>
        <v>8</v>
      </c>
      <c r="G20" s="5">
        <v>1.0</v>
      </c>
      <c r="H20" s="5">
        <v>0.0</v>
      </c>
      <c r="I20" s="5">
        <v>0.0</v>
      </c>
      <c r="J20" s="5">
        <v>0.0</v>
      </c>
      <c r="K20" s="5">
        <v>1.0</v>
      </c>
      <c r="L20" s="5">
        <v>0.0</v>
      </c>
      <c r="M20" s="4" t="s">
        <v>58</v>
      </c>
      <c r="N20" s="5">
        <f>(E20-1)+VLOOKUP(M20,Size,2,0)</f>
        <v>18</v>
      </c>
      <c r="O20" s="5">
        <f>VLOOKUP(E20,LevelData,4)</f>
        <v>21</v>
      </c>
      <c r="P20" s="5">
        <f>O20+VLOOKUP(M20,Size,3,0)</f>
        <v>19</v>
      </c>
      <c r="Q20" s="5">
        <f t="shared" si="2"/>
        <v>12</v>
      </c>
      <c r="R20" s="5">
        <f>VLOOKUP(E20,LevelData,2)</f>
        <v>12</v>
      </c>
      <c r="S20" s="5">
        <f t="shared" si="3"/>
        <v>12</v>
      </c>
      <c r="T20" s="4" t="s">
        <v>176</v>
      </c>
      <c r="U20" s="3">
        <v>24.0</v>
      </c>
      <c r="V20" s="4">
        <f>INT(11+(E20/2))-VLOOKUP(M20,Size,2,0)</f>
        <v>23</v>
      </c>
      <c r="W20" s="3">
        <f t="shared" si="6"/>
        <v>20</v>
      </c>
      <c r="X20" s="4"/>
      <c r="Y20" s="3">
        <v>6.0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12.75" customHeight="1">
      <c r="A21" s="7">
        <f t="shared" si="4"/>
        <v>20</v>
      </c>
      <c r="B21" s="8"/>
      <c r="C21" s="7">
        <v>87.0</v>
      </c>
      <c r="D21" s="8">
        <f t="shared" si="5"/>
        <v>30</v>
      </c>
      <c r="E21" s="7">
        <v>21.0</v>
      </c>
      <c r="F21" s="7">
        <f t="shared" si="1"/>
        <v>9</v>
      </c>
      <c r="G21" s="9">
        <v>0.0</v>
      </c>
      <c r="H21" s="9">
        <v>0.0</v>
      </c>
      <c r="I21" s="9">
        <v>0.0</v>
      </c>
      <c r="J21" s="9">
        <v>0.0</v>
      </c>
      <c r="K21" s="9">
        <v>1.0</v>
      </c>
      <c r="L21" s="9">
        <v>0.0</v>
      </c>
      <c r="M21" s="8" t="s">
        <v>58</v>
      </c>
      <c r="N21" s="9">
        <f>(E21-1)+VLOOKUP(M21,Size,2,0)</f>
        <v>18</v>
      </c>
      <c r="O21" s="9">
        <f>VLOOKUP(E21,LevelData,4)</f>
        <v>21</v>
      </c>
      <c r="P21" s="9">
        <f>O21+VLOOKUP(M21,Size,3,0)</f>
        <v>19</v>
      </c>
      <c r="Q21" s="9">
        <f t="shared" si="2"/>
        <v>12</v>
      </c>
      <c r="R21" s="9">
        <f>VLOOKUP(E21,LevelData,2)</f>
        <v>12</v>
      </c>
      <c r="S21" s="9">
        <f t="shared" si="3"/>
        <v>12</v>
      </c>
      <c r="T21" s="8" t="s">
        <v>176</v>
      </c>
      <c r="U21" s="7">
        <v>24.0</v>
      </c>
      <c r="V21" s="8">
        <f>INT(11+(E21/2))-VLOOKUP(M21,Size,2,0)</f>
        <v>23</v>
      </c>
      <c r="W21" s="7">
        <f t="shared" si="6"/>
        <v>20</v>
      </c>
      <c r="X21" s="8"/>
      <c r="Y21" s="7">
        <v>6.0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ht="12.75" customHeight="1">
      <c r="A22" s="10">
        <f t="shared" si="4"/>
        <v>21</v>
      </c>
      <c r="B22" s="11" t="s">
        <v>53</v>
      </c>
      <c r="C22" s="10">
        <v>101.0</v>
      </c>
      <c r="D22" s="11">
        <f t="shared" si="5"/>
        <v>31</v>
      </c>
      <c r="E22" s="10">
        <v>22.0</v>
      </c>
      <c r="F22" s="10">
        <f t="shared" si="1"/>
        <v>9</v>
      </c>
      <c r="G22" s="12">
        <v>1.0</v>
      </c>
      <c r="H22" s="12">
        <v>0.0</v>
      </c>
      <c r="I22" s="12">
        <v>0.0</v>
      </c>
      <c r="J22" s="12">
        <v>1.0</v>
      </c>
      <c r="K22" s="12">
        <v>1.0</v>
      </c>
      <c r="L22" s="12">
        <v>1.0</v>
      </c>
      <c r="M22" s="11" t="s">
        <v>58</v>
      </c>
      <c r="N22" s="12">
        <f>(E22-1)+VLOOKUP(M22,Size,2,0)</f>
        <v>19</v>
      </c>
      <c r="O22" s="12">
        <f>VLOOKUP(E22,LevelData,4)</f>
        <v>22</v>
      </c>
      <c r="P22" s="12">
        <f>O22+VLOOKUP(M22,Size,3,0)</f>
        <v>20</v>
      </c>
      <c r="Q22" s="12">
        <f t="shared" si="2"/>
        <v>13</v>
      </c>
      <c r="R22" s="12">
        <f>VLOOKUP(E22,LevelData,2)</f>
        <v>13</v>
      </c>
      <c r="S22" s="12">
        <f t="shared" si="3"/>
        <v>13</v>
      </c>
      <c r="T22" s="11" t="s">
        <v>177</v>
      </c>
      <c r="U22" s="10">
        <v>25.0</v>
      </c>
      <c r="V22" s="11">
        <f>INT(11+(E22/2))-VLOOKUP(M22,Size,2,0)</f>
        <v>24</v>
      </c>
      <c r="W22" s="10">
        <f t="shared" si="6"/>
        <v>21</v>
      </c>
      <c r="X22" s="11"/>
      <c r="Y22" s="10">
        <v>7.0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2.75" customHeight="1">
      <c r="A23" s="10">
        <f t="shared" si="4"/>
        <v>22</v>
      </c>
      <c r="B23" s="11"/>
      <c r="C23" s="10">
        <v>126.0</v>
      </c>
      <c r="D23" s="11">
        <f t="shared" si="5"/>
        <v>32</v>
      </c>
      <c r="E23" s="10">
        <v>23.0</v>
      </c>
      <c r="F23" s="10">
        <f t="shared" si="1"/>
        <v>9</v>
      </c>
      <c r="G23" s="12">
        <v>0.0</v>
      </c>
      <c r="H23" s="12">
        <v>0.0</v>
      </c>
      <c r="I23" s="12">
        <v>1.0</v>
      </c>
      <c r="J23" s="12">
        <v>0.0</v>
      </c>
      <c r="K23" s="12">
        <v>0.0</v>
      </c>
      <c r="L23" s="12">
        <v>0.0</v>
      </c>
      <c r="M23" s="11" t="s">
        <v>58</v>
      </c>
      <c r="N23" s="12">
        <f>(E23-1)+VLOOKUP(M23,Size,2,0)</f>
        <v>20</v>
      </c>
      <c r="O23" s="12">
        <f>VLOOKUP(E23,LevelData,4)</f>
        <v>23</v>
      </c>
      <c r="P23" s="12">
        <f>O23+VLOOKUP(M23,Size,3,0)</f>
        <v>21</v>
      </c>
      <c r="Q23" s="12">
        <f t="shared" si="2"/>
        <v>13</v>
      </c>
      <c r="R23" s="12">
        <f>VLOOKUP(E23,LevelData,2)</f>
        <v>13</v>
      </c>
      <c r="S23" s="12">
        <f t="shared" si="3"/>
        <v>13</v>
      </c>
      <c r="T23" s="11" t="s">
        <v>177</v>
      </c>
      <c r="U23" s="10">
        <v>26.0</v>
      </c>
      <c r="V23" s="11">
        <f>INT(11+(E23/2))-VLOOKUP(M23,Size,2,0)</f>
        <v>24</v>
      </c>
      <c r="W23" s="10">
        <f t="shared" si="6"/>
        <v>21</v>
      </c>
      <c r="X23" s="11"/>
      <c r="Y23" s="10">
        <v>7.0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12.75" customHeight="1">
      <c r="A24" s="10">
        <f t="shared" si="4"/>
        <v>23</v>
      </c>
      <c r="B24" s="11"/>
      <c r="C24" s="10">
        <v>151.0</v>
      </c>
      <c r="D24" s="11">
        <f t="shared" si="5"/>
        <v>33</v>
      </c>
      <c r="E24" s="10">
        <v>24.0</v>
      </c>
      <c r="F24" s="10">
        <f t="shared" si="1"/>
        <v>9</v>
      </c>
      <c r="G24" s="12">
        <v>0.0</v>
      </c>
      <c r="H24" s="12">
        <v>0.0</v>
      </c>
      <c r="I24" s="12">
        <v>0.0</v>
      </c>
      <c r="J24" s="12">
        <v>1.0</v>
      </c>
      <c r="K24" s="12">
        <v>0.0</v>
      </c>
      <c r="L24" s="12">
        <v>1.0</v>
      </c>
      <c r="M24" s="11" t="s">
        <v>58</v>
      </c>
      <c r="N24" s="12">
        <f>(E24-1)+VLOOKUP(M24,Size,2,0)</f>
        <v>21</v>
      </c>
      <c r="O24" s="12">
        <f>VLOOKUP(E24,LevelData,4)</f>
        <v>24</v>
      </c>
      <c r="P24" s="12">
        <f>O24+VLOOKUP(M24,Size,3,0)</f>
        <v>22</v>
      </c>
      <c r="Q24" s="12">
        <f t="shared" si="2"/>
        <v>14</v>
      </c>
      <c r="R24" s="12">
        <f>VLOOKUP(E24,LevelData,2)</f>
        <v>14</v>
      </c>
      <c r="S24" s="12">
        <f t="shared" si="3"/>
        <v>14</v>
      </c>
      <c r="T24" s="11" t="s">
        <v>178</v>
      </c>
      <c r="U24" s="10">
        <v>26.0</v>
      </c>
      <c r="V24" s="11">
        <f>INT(11+(E24/2))-VLOOKUP(M24,Size,2,0)</f>
        <v>25</v>
      </c>
      <c r="W24" s="10">
        <f t="shared" si="6"/>
        <v>22</v>
      </c>
      <c r="X24" s="11"/>
      <c r="Y24" s="10">
        <v>8.0</v>
      </c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12.75" customHeight="1">
      <c r="A25" s="1">
        <f t="shared" si="4"/>
        <v>24</v>
      </c>
      <c r="B25" s="2"/>
      <c r="C25" s="1">
        <v>176.0</v>
      </c>
      <c r="D25" s="2">
        <f t="shared" si="5"/>
        <v>34</v>
      </c>
      <c r="E25" s="1">
        <v>24.0</v>
      </c>
      <c r="F25" s="1">
        <f t="shared" si="1"/>
        <v>10</v>
      </c>
      <c r="G25" s="13">
        <v>0.0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2" t="s">
        <v>58</v>
      </c>
      <c r="N25" s="13">
        <f>(E25-1)+VLOOKUP(M25,Size,2,0)</f>
        <v>21</v>
      </c>
      <c r="O25" s="13">
        <f>VLOOKUP(E25,LevelData,4)</f>
        <v>24</v>
      </c>
      <c r="P25" s="13">
        <f>O25+VLOOKUP(M25,Size,3,0)</f>
        <v>22</v>
      </c>
      <c r="Q25" s="13">
        <f t="shared" si="2"/>
        <v>14</v>
      </c>
      <c r="R25" s="13">
        <f>VLOOKUP(E25,LevelData,2)</f>
        <v>14</v>
      </c>
      <c r="S25" s="13">
        <f t="shared" si="3"/>
        <v>14</v>
      </c>
      <c r="T25" s="2" t="s">
        <v>178</v>
      </c>
      <c r="U25" s="1">
        <v>27.0</v>
      </c>
      <c r="V25" s="2">
        <f>INT(11+(E25/2))-VLOOKUP(M25,Size,2,0)</f>
        <v>25</v>
      </c>
      <c r="W25" s="1">
        <f t="shared" si="6"/>
        <v>22</v>
      </c>
      <c r="X25" s="2"/>
      <c r="Y25" s="1">
        <v>8.0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2.75" customHeight="1">
      <c r="A26" s="3">
        <f t="shared" si="4"/>
        <v>25</v>
      </c>
      <c r="B26" s="4" t="s">
        <v>57</v>
      </c>
      <c r="C26" s="3">
        <v>201.0</v>
      </c>
      <c r="D26" s="4">
        <f t="shared" si="5"/>
        <v>35</v>
      </c>
      <c r="E26" s="3">
        <v>25.0</v>
      </c>
      <c r="F26" s="3">
        <f t="shared" si="1"/>
        <v>10</v>
      </c>
      <c r="G26" s="5">
        <v>0.0</v>
      </c>
      <c r="H26" s="5">
        <v>0.0</v>
      </c>
      <c r="I26" s="5">
        <v>1.0</v>
      </c>
      <c r="J26" s="5">
        <v>1.0</v>
      </c>
      <c r="K26" s="5">
        <v>0.0</v>
      </c>
      <c r="L26" s="5">
        <v>1.0</v>
      </c>
      <c r="M26" s="4" t="s">
        <v>58</v>
      </c>
      <c r="N26" s="5">
        <f>(E26-1)+VLOOKUP(M26,Size,2,0)</f>
        <v>22</v>
      </c>
      <c r="O26" s="5">
        <f>VLOOKUP(E26,LevelData,4)</f>
        <v>25</v>
      </c>
      <c r="P26" s="5">
        <f>O26+VLOOKUP(M26,Size,3,0)</f>
        <v>23</v>
      </c>
      <c r="Q26" s="5">
        <f t="shared" si="2"/>
        <v>14</v>
      </c>
      <c r="R26" s="5">
        <f>VLOOKUP(E26,LevelData,2)</f>
        <v>14</v>
      </c>
      <c r="S26" s="5">
        <f t="shared" si="3"/>
        <v>14</v>
      </c>
      <c r="T26" s="4" t="s">
        <v>179</v>
      </c>
      <c r="U26" s="3">
        <v>28.0</v>
      </c>
      <c r="V26" s="4">
        <f>INT(11+(E26/2))-VLOOKUP(M26,Size,2,0)</f>
        <v>25</v>
      </c>
      <c r="W26" s="3">
        <f t="shared" si="6"/>
        <v>22</v>
      </c>
      <c r="X26" s="4" t="s">
        <v>60</v>
      </c>
      <c r="Y26" s="3">
        <v>9.0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3">
        <f t="shared" si="4"/>
        <v>26</v>
      </c>
      <c r="B27" s="4"/>
      <c r="C27" s="3">
        <v>251.0</v>
      </c>
      <c r="D27" s="4">
        <f t="shared" si="5"/>
        <v>36</v>
      </c>
      <c r="E27" s="3">
        <v>26.0</v>
      </c>
      <c r="F27" s="3">
        <f t="shared" si="1"/>
        <v>10</v>
      </c>
      <c r="G27" s="5">
        <v>1.0</v>
      </c>
      <c r="H27" s="5">
        <v>0.0</v>
      </c>
      <c r="I27" s="5">
        <v>0.0</v>
      </c>
      <c r="J27" s="5">
        <v>0.0</v>
      </c>
      <c r="K27" s="5">
        <v>1.0</v>
      </c>
      <c r="L27" s="5">
        <v>0.0</v>
      </c>
      <c r="M27" s="4" t="s">
        <v>58</v>
      </c>
      <c r="N27" s="5">
        <f>(E27-1)+VLOOKUP(M27,Size,2,0)</f>
        <v>23</v>
      </c>
      <c r="O27" s="5">
        <f>VLOOKUP(E27,LevelData,4)</f>
        <v>26</v>
      </c>
      <c r="P27" s="5">
        <f>O27+VLOOKUP(M27,Size,3,0)</f>
        <v>24</v>
      </c>
      <c r="Q27" s="5">
        <f t="shared" si="2"/>
        <v>15</v>
      </c>
      <c r="R27" s="5">
        <f>VLOOKUP(E27,LevelData,2)</f>
        <v>15</v>
      </c>
      <c r="S27" s="5">
        <f t="shared" si="3"/>
        <v>15</v>
      </c>
      <c r="T27" s="4" t="s">
        <v>179</v>
      </c>
      <c r="U27" s="3">
        <v>28.0</v>
      </c>
      <c r="V27" s="4">
        <f>INT(11+(E27/2))-VLOOKUP(M27,Size,2,0)</f>
        <v>26</v>
      </c>
      <c r="W27" s="3">
        <f t="shared" si="6"/>
        <v>23</v>
      </c>
      <c r="X27" s="4"/>
      <c r="Y27" s="3">
        <v>9.0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3">
        <f t="shared" si="4"/>
        <v>27</v>
      </c>
      <c r="B28" s="4"/>
      <c r="C28" s="3">
        <v>301.0</v>
      </c>
      <c r="D28" s="4">
        <f t="shared" si="5"/>
        <v>37</v>
      </c>
      <c r="E28" s="3">
        <v>27.0</v>
      </c>
      <c r="F28" s="3">
        <f t="shared" si="1"/>
        <v>10</v>
      </c>
      <c r="G28" s="5">
        <v>0.0</v>
      </c>
      <c r="H28" s="5">
        <v>0.0</v>
      </c>
      <c r="I28" s="5">
        <v>1.0</v>
      </c>
      <c r="J28" s="5">
        <v>1.0</v>
      </c>
      <c r="K28" s="5">
        <v>0.0</v>
      </c>
      <c r="L28" s="5">
        <v>1.0</v>
      </c>
      <c r="M28" s="4" t="s">
        <v>58</v>
      </c>
      <c r="N28" s="5">
        <f>(E28-1)+VLOOKUP(M28,Size,2,0)</f>
        <v>24</v>
      </c>
      <c r="O28" s="5">
        <f>VLOOKUP(E28,LevelData,4)</f>
        <v>27</v>
      </c>
      <c r="P28" s="5">
        <f>O28+VLOOKUP(M28,Size,3,0)</f>
        <v>25</v>
      </c>
      <c r="Q28" s="5">
        <f t="shared" si="2"/>
        <v>15</v>
      </c>
      <c r="R28" s="5">
        <f>VLOOKUP(E28,LevelData,2)</f>
        <v>15</v>
      </c>
      <c r="S28" s="5">
        <f t="shared" si="3"/>
        <v>15</v>
      </c>
      <c r="T28" s="4" t="s">
        <v>180</v>
      </c>
      <c r="U28" s="3">
        <v>29.0</v>
      </c>
      <c r="V28" s="4">
        <f>INT(11+(E28/2))-VLOOKUP(M28,Size,2,0)</f>
        <v>26</v>
      </c>
      <c r="W28" s="3">
        <f t="shared" si="6"/>
        <v>23</v>
      </c>
      <c r="X28" s="4"/>
      <c r="Y28" s="3">
        <v>10.0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12.75" customHeight="1">
      <c r="A29" s="7">
        <f t="shared" si="4"/>
        <v>28</v>
      </c>
      <c r="B29" s="8"/>
      <c r="C29" s="7">
        <v>351.0</v>
      </c>
      <c r="D29" s="8">
        <f t="shared" si="5"/>
        <v>38</v>
      </c>
      <c r="E29" s="7">
        <v>27.0</v>
      </c>
      <c r="F29" s="7">
        <f t="shared" si="1"/>
        <v>11</v>
      </c>
      <c r="G29" s="9">
        <v>0.0</v>
      </c>
      <c r="H29" s="9">
        <v>0.0</v>
      </c>
      <c r="I29" s="9">
        <v>0.0</v>
      </c>
      <c r="J29" s="9">
        <v>0.0</v>
      </c>
      <c r="K29" s="9">
        <v>0.0</v>
      </c>
      <c r="L29" s="9">
        <v>0.0</v>
      </c>
      <c r="M29" s="8" t="s">
        <v>58</v>
      </c>
      <c r="N29" s="9">
        <f>(E29-1)+VLOOKUP(M29,Size,2,0)</f>
        <v>24</v>
      </c>
      <c r="O29" s="9">
        <f>VLOOKUP(E29,LevelData,4)</f>
        <v>27</v>
      </c>
      <c r="P29" s="9">
        <f>O29+VLOOKUP(M29,Size,3,0)</f>
        <v>25</v>
      </c>
      <c r="Q29" s="9">
        <f t="shared" si="2"/>
        <v>15</v>
      </c>
      <c r="R29" s="9">
        <f>VLOOKUP(E29,LevelData,2)</f>
        <v>15</v>
      </c>
      <c r="S29" s="9">
        <f t="shared" si="3"/>
        <v>15</v>
      </c>
      <c r="T29" s="8" t="s">
        <v>180</v>
      </c>
      <c r="U29" s="7">
        <v>29.0</v>
      </c>
      <c r="V29" s="8">
        <f>INT(11+(E29/2))-VLOOKUP(M29,Size,2,0)</f>
        <v>26</v>
      </c>
      <c r="W29" s="7">
        <f t="shared" si="6"/>
        <v>23</v>
      </c>
      <c r="X29" s="8"/>
      <c r="Y29" s="7">
        <v>10.0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ht="12.75" customHeight="1">
      <c r="A30" s="10">
        <f t="shared" si="4"/>
        <v>29</v>
      </c>
      <c r="B30" s="11" t="s">
        <v>62</v>
      </c>
      <c r="C30" s="10">
        <v>401.0</v>
      </c>
      <c r="D30" s="11">
        <f t="shared" si="5"/>
        <v>39</v>
      </c>
      <c r="E30" s="10">
        <v>28.0</v>
      </c>
      <c r="F30" s="10">
        <f t="shared" si="1"/>
        <v>11</v>
      </c>
      <c r="G30" s="12">
        <v>1.0</v>
      </c>
      <c r="H30" s="12">
        <v>0.0</v>
      </c>
      <c r="I30" s="12">
        <v>1.0</v>
      </c>
      <c r="J30" s="12">
        <v>1.0</v>
      </c>
      <c r="K30" s="12">
        <v>1.0</v>
      </c>
      <c r="L30" s="12">
        <v>1.0</v>
      </c>
      <c r="M30" s="11" t="s">
        <v>77</v>
      </c>
      <c r="N30" s="12">
        <f>(E30-1)+VLOOKUP(M30,Size,2,0)</f>
        <v>23</v>
      </c>
      <c r="O30" s="12">
        <f>VLOOKUP(E30,LevelData,4)</f>
        <v>28</v>
      </c>
      <c r="P30" s="12">
        <f>O30+VLOOKUP(M30,Size,3,0)</f>
        <v>24</v>
      </c>
      <c r="Q30" s="12">
        <f t="shared" si="2"/>
        <v>16</v>
      </c>
      <c r="R30" s="12">
        <f>VLOOKUP(E30,LevelData,2)</f>
        <v>16</v>
      </c>
      <c r="S30" s="12">
        <f t="shared" si="3"/>
        <v>16</v>
      </c>
      <c r="T30" s="11" t="s">
        <v>181</v>
      </c>
      <c r="U30" s="10">
        <v>30.0</v>
      </c>
      <c r="V30" s="11">
        <f>INT(11+(E30/2))-VLOOKUP(M30,Size,2,0)</f>
        <v>29</v>
      </c>
      <c r="W30" s="10">
        <f t="shared" si="6"/>
        <v>24</v>
      </c>
      <c r="X30" s="11" t="s">
        <v>142</v>
      </c>
      <c r="Y30" s="10">
        <v>11.0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2.75" customHeight="1">
      <c r="A31" s="10">
        <f t="shared" si="4"/>
        <v>30</v>
      </c>
      <c r="B31" s="11"/>
      <c r="C31" s="10">
        <v>451.0</v>
      </c>
      <c r="D31" s="11">
        <f t="shared" si="5"/>
        <v>40</v>
      </c>
      <c r="E31" s="10">
        <v>29.0</v>
      </c>
      <c r="F31" s="10">
        <f t="shared" si="1"/>
        <v>11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1" t="s">
        <v>77</v>
      </c>
      <c r="N31" s="12">
        <f>(E31-1)+VLOOKUP(M31,Size,2,0)</f>
        <v>24</v>
      </c>
      <c r="O31" s="12">
        <f>VLOOKUP(E31,LevelData,4)</f>
        <v>29</v>
      </c>
      <c r="P31" s="12">
        <f>O31+VLOOKUP(M31,Size,3,0)</f>
        <v>25</v>
      </c>
      <c r="Q31" s="12">
        <f t="shared" si="2"/>
        <v>16</v>
      </c>
      <c r="R31" s="12">
        <f>VLOOKUP(E31,LevelData,2)</f>
        <v>16</v>
      </c>
      <c r="S31" s="12">
        <f t="shared" si="3"/>
        <v>16</v>
      </c>
      <c r="T31" s="11" t="s">
        <v>181</v>
      </c>
      <c r="U31" s="10">
        <v>31.0</v>
      </c>
      <c r="V31" s="11">
        <f>INT(11+(E31/2))-VLOOKUP(M31,Size,2,0)</f>
        <v>29</v>
      </c>
      <c r="W31" s="10">
        <f t="shared" si="6"/>
        <v>24</v>
      </c>
      <c r="X31" s="11"/>
      <c r="Y31" s="10">
        <v>11.0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12.75" customHeight="1">
      <c r="A32" s="10">
        <f t="shared" si="4"/>
        <v>31</v>
      </c>
      <c r="B32" s="11"/>
      <c r="C32" s="10">
        <v>501.0</v>
      </c>
      <c r="D32" s="11">
        <f t="shared" si="5"/>
        <v>41</v>
      </c>
      <c r="E32" s="10">
        <v>30.0</v>
      </c>
      <c r="F32" s="10">
        <f t="shared" si="1"/>
        <v>11</v>
      </c>
      <c r="G32" s="12">
        <v>1.0</v>
      </c>
      <c r="H32" s="12">
        <v>0.0</v>
      </c>
      <c r="I32" s="12">
        <v>1.0</v>
      </c>
      <c r="J32" s="12">
        <v>1.0</v>
      </c>
      <c r="K32" s="12">
        <v>1.0</v>
      </c>
      <c r="L32" s="12">
        <v>1.0</v>
      </c>
      <c r="M32" s="11" t="s">
        <v>77</v>
      </c>
      <c r="N32" s="12">
        <f>(E32-1)+VLOOKUP(M32,Size,2,0)</f>
        <v>25</v>
      </c>
      <c r="O32" s="12">
        <f>VLOOKUP(E32,LevelData,4)</f>
        <v>30</v>
      </c>
      <c r="P32" s="12">
        <f>O32+VLOOKUP(M32,Size,3,0)</f>
        <v>26</v>
      </c>
      <c r="Q32" s="12">
        <f t="shared" si="2"/>
        <v>17</v>
      </c>
      <c r="R32" s="12">
        <f>VLOOKUP(E32,LevelData,2)</f>
        <v>17</v>
      </c>
      <c r="S32" s="12">
        <f t="shared" si="3"/>
        <v>17</v>
      </c>
      <c r="T32" s="11" t="s">
        <v>182</v>
      </c>
      <c r="U32" s="10">
        <v>31.0</v>
      </c>
      <c r="V32" s="11">
        <f>INT(11+(E32/2))-VLOOKUP(M32,Size,2,0)</f>
        <v>30</v>
      </c>
      <c r="W32" s="10">
        <f t="shared" si="6"/>
        <v>25</v>
      </c>
      <c r="X32" s="11"/>
      <c r="Y32" s="10">
        <v>12.0</v>
      </c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12.75" customHeight="1">
      <c r="A33" s="1">
        <f t="shared" si="4"/>
        <v>32</v>
      </c>
      <c r="B33" s="2"/>
      <c r="C33" s="1">
        <v>551.0</v>
      </c>
      <c r="D33" s="2">
        <f t="shared" si="5"/>
        <v>42</v>
      </c>
      <c r="E33" s="1">
        <v>30.0</v>
      </c>
      <c r="F33" s="1">
        <f t="shared" si="1"/>
        <v>12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2" t="s">
        <v>77</v>
      </c>
      <c r="N33" s="13">
        <f>(E33-1)+VLOOKUP(M33,Size,2,0)</f>
        <v>25</v>
      </c>
      <c r="O33" s="13">
        <f>VLOOKUP(E33,LevelData,4)</f>
        <v>30</v>
      </c>
      <c r="P33" s="13">
        <f>O33+VLOOKUP(M33,Size,3,0)</f>
        <v>26</v>
      </c>
      <c r="Q33" s="13">
        <f t="shared" si="2"/>
        <v>17</v>
      </c>
      <c r="R33" s="13">
        <f>VLOOKUP(E33,LevelData,2)</f>
        <v>17</v>
      </c>
      <c r="S33" s="13">
        <f t="shared" si="3"/>
        <v>17</v>
      </c>
      <c r="T33" s="2" t="s">
        <v>182</v>
      </c>
      <c r="U33" s="1">
        <v>32.0</v>
      </c>
      <c r="V33" s="2">
        <f>INT(11+(E33/2))-VLOOKUP(M33,Size,2,0)</f>
        <v>30</v>
      </c>
      <c r="W33" s="1">
        <f t="shared" si="6"/>
        <v>25</v>
      </c>
      <c r="X33" s="2"/>
      <c r="Y33" s="1">
        <v>12.0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2.75" customHeight="1">
      <c r="A34" s="3">
        <f t="shared" si="4"/>
        <v>33</v>
      </c>
      <c r="B34" s="4" t="s">
        <v>67</v>
      </c>
      <c r="C34" s="3">
        <v>601.0</v>
      </c>
      <c r="D34" s="4">
        <f t="shared" si="5"/>
        <v>43</v>
      </c>
      <c r="E34" s="3">
        <v>31.0</v>
      </c>
      <c r="F34" s="3">
        <f t="shared" si="1"/>
        <v>12</v>
      </c>
      <c r="G34" s="5">
        <v>1.0</v>
      </c>
      <c r="H34" s="5">
        <v>0.0</v>
      </c>
      <c r="I34" s="5">
        <v>1.0</v>
      </c>
      <c r="J34" s="5">
        <v>1.0</v>
      </c>
      <c r="K34" s="5">
        <v>1.0</v>
      </c>
      <c r="L34" s="5">
        <v>1.0</v>
      </c>
      <c r="M34" s="4" t="s">
        <v>77</v>
      </c>
      <c r="N34" s="5">
        <f>(E34-1)+VLOOKUP(M34,Size,2,0)</f>
        <v>26</v>
      </c>
      <c r="O34" s="5">
        <f>VLOOKUP(E34,LevelData,4)</f>
        <v>31</v>
      </c>
      <c r="P34" s="5">
        <f>O34+VLOOKUP(M34,Size,3,0)</f>
        <v>27</v>
      </c>
      <c r="Q34" s="5">
        <f t="shared" si="2"/>
        <v>17</v>
      </c>
      <c r="R34" s="5">
        <f>VLOOKUP(E34,LevelData,2)</f>
        <v>17</v>
      </c>
      <c r="S34" s="5">
        <f t="shared" si="3"/>
        <v>17</v>
      </c>
      <c r="T34" s="4" t="s">
        <v>183</v>
      </c>
      <c r="U34" s="3">
        <v>33.0</v>
      </c>
      <c r="V34" s="4">
        <f>INT(11+(E34/2))-VLOOKUP(M34,Size,2,0)</f>
        <v>30</v>
      </c>
      <c r="W34" s="3">
        <f t="shared" ref="W34:W41" si="7">INT((E34/2)+11)</f>
        <v>26</v>
      </c>
      <c r="X34" s="4" t="s">
        <v>69</v>
      </c>
      <c r="Y34" s="3">
        <v>13.0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3">
        <f t="shared" si="4"/>
        <v>34</v>
      </c>
      <c r="B35" s="4"/>
      <c r="C35" s="3">
        <v>651.0</v>
      </c>
      <c r="D35" s="4">
        <f t="shared" si="5"/>
        <v>44</v>
      </c>
      <c r="E35" s="3">
        <v>32.0</v>
      </c>
      <c r="F35" s="3">
        <f t="shared" si="1"/>
        <v>12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4" t="s">
        <v>77</v>
      </c>
      <c r="N35" s="5">
        <f>(E35-1)+VLOOKUP(M35,Size,2,0)</f>
        <v>27</v>
      </c>
      <c r="O35" s="5">
        <f>VLOOKUP(E35,LevelData,4)</f>
        <v>32</v>
      </c>
      <c r="P35" s="5">
        <f>O35+VLOOKUP(M35,Size,3,0)</f>
        <v>28</v>
      </c>
      <c r="Q35" s="5">
        <f t="shared" si="2"/>
        <v>18</v>
      </c>
      <c r="R35" s="5">
        <f>VLOOKUP(E35,LevelData,2)</f>
        <v>18</v>
      </c>
      <c r="S35" s="5">
        <f t="shared" si="3"/>
        <v>18</v>
      </c>
      <c r="T35" s="4" t="s">
        <v>183</v>
      </c>
      <c r="U35" s="3">
        <v>33.0</v>
      </c>
      <c r="V35" s="4">
        <f>INT(11+(E35/2))-VLOOKUP(M35,Size,2,0)</f>
        <v>31</v>
      </c>
      <c r="W35" s="3">
        <f t="shared" si="7"/>
        <v>27</v>
      </c>
      <c r="X35" s="4"/>
      <c r="Y35" s="3">
        <v>13.0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3">
        <f t="shared" si="4"/>
        <v>35</v>
      </c>
      <c r="B36" s="4"/>
      <c r="C36" s="3">
        <v>701.0</v>
      </c>
      <c r="D36" s="4">
        <f t="shared" si="5"/>
        <v>45</v>
      </c>
      <c r="E36" s="3">
        <v>33.0</v>
      </c>
      <c r="F36" s="3">
        <f t="shared" si="1"/>
        <v>12</v>
      </c>
      <c r="G36" s="5">
        <v>1.0</v>
      </c>
      <c r="H36" s="5">
        <v>0.0</v>
      </c>
      <c r="I36" s="5">
        <v>1.0</v>
      </c>
      <c r="J36" s="5">
        <v>1.0</v>
      </c>
      <c r="K36" s="5">
        <v>1.0</v>
      </c>
      <c r="L36" s="5">
        <v>1.0</v>
      </c>
      <c r="M36" s="4" t="s">
        <v>77</v>
      </c>
      <c r="N36" s="5">
        <f>(E36-1)+VLOOKUP(M36,Size,2,0)</f>
        <v>28</v>
      </c>
      <c r="O36" s="5">
        <f>VLOOKUP(E36,LevelData,4)</f>
        <v>33</v>
      </c>
      <c r="P36" s="5">
        <f>O36+VLOOKUP(M36,Size,3,0)</f>
        <v>29</v>
      </c>
      <c r="Q36" s="5">
        <f t="shared" si="2"/>
        <v>18</v>
      </c>
      <c r="R36" s="5">
        <f>VLOOKUP(E36,LevelData,2)</f>
        <v>18</v>
      </c>
      <c r="S36" s="5">
        <f t="shared" si="3"/>
        <v>18</v>
      </c>
      <c r="T36" s="4" t="s">
        <v>184</v>
      </c>
      <c r="U36" s="3">
        <v>34.0</v>
      </c>
      <c r="V36" s="4">
        <f>INT(11+(E36/2))-VLOOKUP(M36,Size,2,0)</f>
        <v>31</v>
      </c>
      <c r="W36" s="3">
        <f t="shared" si="7"/>
        <v>27</v>
      </c>
      <c r="X36" s="4"/>
      <c r="Y36" s="3">
        <v>14.0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2.75" customHeight="1">
      <c r="A37" s="7">
        <f t="shared" si="4"/>
        <v>36</v>
      </c>
      <c r="B37" s="8"/>
      <c r="C37" s="7">
        <v>751.0</v>
      </c>
      <c r="D37" s="8">
        <f t="shared" si="5"/>
        <v>46</v>
      </c>
      <c r="E37" s="7">
        <v>33.0</v>
      </c>
      <c r="F37" s="7">
        <f t="shared" si="1"/>
        <v>13</v>
      </c>
      <c r="G37" s="9">
        <v>0.0</v>
      </c>
      <c r="H37" s="9">
        <v>0.0</v>
      </c>
      <c r="I37" s="9">
        <v>0.0</v>
      </c>
      <c r="J37" s="9">
        <v>0.0</v>
      </c>
      <c r="K37" s="9">
        <v>0.0</v>
      </c>
      <c r="L37" s="9">
        <v>0.0</v>
      </c>
      <c r="M37" s="8" t="s">
        <v>77</v>
      </c>
      <c r="N37" s="9">
        <f>(E37-1)+VLOOKUP(M37,Size,2,0)</f>
        <v>28</v>
      </c>
      <c r="O37" s="9">
        <f>VLOOKUP(E37,LevelData,4)</f>
        <v>33</v>
      </c>
      <c r="P37" s="9">
        <f>O37+VLOOKUP(M37,Size,3,0)</f>
        <v>29</v>
      </c>
      <c r="Q37" s="9">
        <f t="shared" si="2"/>
        <v>18</v>
      </c>
      <c r="R37" s="9">
        <f>VLOOKUP(E37,LevelData,2)</f>
        <v>18</v>
      </c>
      <c r="S37" s="9">
        <f t="shared" si="3"/>
        <v>18</v>
      </c>
      <c r="T37" s="8" t="s">
        <v>184</v>
      </c>
      <c r="U37" s="7">
        <v>34.0</v>
      </c>
      <c r="V37" s="8">
        <f>INT(11+(E37/2))-VLOOKUP(M37,Size,2,0)</f>
        <v>31</v>
      </c>
      <c r="W37" s="7">
        <f t="shared" si="7"/>
        <v>27</v>
      </c>
      <c r="X37" s="8"/>
      <c r="Y37" s="7">
        <v>14.0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ht="12.75" customHeight="1">
      <c r="A38" s="10">
        <f t="shared" si="4"/>
        <v>37</v>
      </c>
      <c r="B38" s="11" t="s">
        <v>71</v>
      </c>
      <c r="C38" s="10">
        <v>801.0</v>
      </c>
      <c r="D38" s="11">
        <f t="shared" si="5"/>
        <v>47</v>
      </c>
      <c r="E38" s="10">
        <v>34.0</v>
      </c>
      <c r="F38" s="10">
        <f t="shared" si="1"/>
        <v>13</v>
      </c>
      <c r="G38" s="12">
        <v>1.0</v>
      </c>
      <c r="H38" s="12">
        <v>0.0</v>
      </c>
      <c r="I38" s="12">
        <v>1.0</v>
      </c>
      <c r="J38" s="12">
        <v>1.0</v>
      </c>
      <c r="K38" s="12">
        <v>1.0</v>
      </c>
      <c r="L38" s="12">
        <v>1.0</v>
      </c>
      <c r="M38" s="11" t="s">
        <v>77</v>
      </c>
      <c r="N38" s="12">
        <f>(E38-1)+VLOOKUP(M38,Size,2,0)</f>
        <v>29</v>
      </c>
      <c r="O38" s="12">
        <f>VLOOKUP(E38,LevelData,4)</f>
        <v>34</v>
      </c>
      <c r="P38" s="12">
        <f>O38+VLOOKUP(M38,Size,3,0)</f>
        <v>30</v>
      </c>
      <c r="Q38" s="12">
        <f t="shared" si="2"/>
        <v>19</v>
      </c>
      <c r="R38" s="12">
        <f>VLOOKUP(E38,LevelData,2)</f>
        <v>19</v>
      </c>
      <c r="S38" s="12">
        <f t="shared" si="3"/>
        <v>19</v>
      </c>
      <c r="T38" s="11" t="s">
        <v>185</v>
      </c>
      <c r="U38" s="10">
        <v>35.0</v>
      </c>
      <c r="V38" s="11">
        <f>INT(11+(E38/2))-VLOOKUP(M38,Size,2,0)</f>
        <v>32</v>
      </c>
      <c r="W38" s="10">
        <f t="shared" si="7"/>
        <v>28</v>
      </c>
      <c r="X38" s="11" t="s">
        <v>186</v>
      </c>
      <c r="Y38" s="10">
        <v>15.0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2.75" customHeight="1">
      <c r="A39" s="10">
        <f t="shared" si="4"/>
        <v>38</v>
      </c>
      <c r="B39" s="11"/>
      <c r="C39" s="10">
        <v>851.0</v>
      </c>
      <c r="D39" s="11">
        <f t="shared" si="5"/>
        <v>48</v>
      </c>
      <c r="E39" s="10">
        <v>35.0</v>
      </c>
      <c r="F39" s="10">
        <f t="shared" si="1"/>
        <v>13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1" t="s">
        <v>77</v>
      </c>
      <c r="N39" s="12">
        <f>(E39-1)+VLOOKUP(M39,Size,2,0)</f>
        <v>30</v>
      </c>
      <c r="O39" s="12">
        <f>VLOOKUP(E39,LevelData,4)</f>
        <v>35</v>
      </c>
      <c r="P39" s="12">
        <f>O39+VLOOKUP(M39,Size,3,0)</f>
        <v>31</v>
      </c>
      <c r="Q39" s="12">
        <f t="shared" si="2"/>
        <v>19</v>
      </c>
      <c r="R39" s="12">
        <f>VLOOKUP(E39,LevelData,2)</f>
        <v>19</v>
      </c>
      <c r="S39" s="12">
        <f t="shared" si="3"/>
        <v>19</v>
      </c>
      <c r="T39" s="11" t="s">
        <v>185</v>
      </c>
      <c r="U39" s="10">
        <v>36.0</v>
      </c>
      <c r="V39" s="11">
        <f>INT(11+(E39/2))-VLOOKUP(M39,Size,2,0)</f>
        <v>32</v>
      </c>
      <c r="W39" s="10">
        <f t="shared" si="7"/>
        <v>28</v>
      </c>
      <c r="X39" s="11" t="s">
        <v>187</v>
      </c>
      <c r="Y39" s="10">
        <v>15.0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12.75" customHeight="1">
      <c r="A40" s="10">
        <f t="shared" si="4"/>
        <v>39</v>
      </c>
      <c r="B40" s="11"/>
      <c r="C40" s="10">
        <v>901.0</v>
      </c>
      <c r="D40" s="11">
        <f t="shared" si="5"/>
        <v>49</v>
      </c>
      <c r="E40" s="10">
        <v>36.0</v>
      </c>
      <c r="F40" s="10">
        <f t="shared" si="1"/>
        <v>13</v>
      </c>
      <c r="G40" s="12">
        <v>1.0</v>
      </c>
      <c r="H40" s="12">
        <v>0.0</v>
      </c>
      <c r="I40" s="12">
        <v>1.0</v>
      </c>
      <c r="J40" s="12">
        <v>0.0</v>
      </c>
      <c r="K40" s="12">
        <v>0.0</v>
      </c>
      <c r="L40" s="12">
        <v>0.0</v>
      </c>
      <c r="M40" s="11" t="s">
        <v>77</v>
      </c>
      <c r="N40" s="12">
        <f>(E40-1)+VLOOKUP(M40,Size,2,0)</f>
        <v>31</v>
      </c>
      <c r="O40" s="12">
        <f>VLOOKUP(E40,LevelData,4)</f>
        <v>36</v>
      </c>
      <c r="P40" s="12">
        <f>O40+VLOOKUP(M40,Size,3,0)</f>
        <v>32</v>
      </c>
      <c r="Q40" s="12">
        <f t="shared" si="2"/>
        <v>20</v>
      </c>
      <c r="R40" s="12">
        <f>VLOOKUP(E40,LevelData,2)</f>
        <v>20</v>
      </c>
      <c r="S40" s="12">
        <f t="shared" si="3"/>
        <v>20</v>
      </c>
      <c r="T40" s="11" t="s">
        <v>188</v>
      </c>
      <c r="U40" s="10">
        <v>36.0</v>
      </c>
      <c r="V40" s="11">
        <f>INT(11+(E40/2))-VLOOKUP(M40,Size,2,0)</f>
        <v>33</v>
      </c>
      <c r="W40" s="10">
        <f t="shared" si="7"/>
        <v>29</v>
      </c>
      <c r="X40" s="11"/>
      <c r="Y40" s="10">
        <v>16.0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12.75" customHeight="1">
      <c r="A41" s="1">
        <f t="shared" si="4"/>
        <v>40</v>
      </c>
      <c r="B41" s="2"/>
      <c r="C41" s="1">
        <v>851.0</v>
      </c>
      <c r="D41" s="2">
        <f t="shared" si="5"/>
        <v>50</v>
      </c>
      <c r="E41" s="1">
        <v>36.0</v>
      </c>
      <c r="F41" s="1">
        <f t="shared" si="1"/>
        <v>14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2" t="s">
        <v>77</v>
      </c>
      <c r="N41" s="13">
        <f>(E41-1)+VLOOKUP(M41,Size,2,0)</f>
        <v>31</v>
      </c>
      <c r="O41" s="13">
        <f>VLOOKUP(E41,LevelData,4)</f>
        <v>36</v>
      </c>
      <c r="P41" s="13">
        <f>O41+VLOOKUP(M41,Size,3,0)</f>
        <v>32</v>
      </c>
      <c r="Q41" s="13">
        <f t="shared" si="2"/>
        <v>20</v>
      </c>
      <c r="R41" s="13">
        <f>VLOOKUP(E41,LevelData,2)</f>
        <v>20</v>
      </c>
      <c r="S41" s="13">
        <f t="shared" si="3"/>
        <v>20</v>
      </c>
      <c r="T41" s="2" t="s">
        <v>188</v>
      </c>
      <c r="U41" s="1">
        <v>37.0</v>
      </c>
      <c r="V41" s="2">
        <f>INT(11+(E41/2))-VLOOKUP(M41,Size,2,0)</f>
        <v>33</v>
      </c>
      <c r="W41" s="1">
        <f t="shared" si="7"/>
        <v>29</v>
      </c>
      <c r="X41" s="2"/>
      <c r="Y41" s="1">
        <v>16.0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2.75" customHeight="1">
      <c r="A42" s="3">
        <f t="shared" si="4"/>
        <v>41</v>
      </c>
      <c r="B42" s="4" t="s">
        <v>76</v>
      </c>
      <c r="C42" s="3">
        <v>1001.0</v>
      </c>
      <c r="D42" s="4">
        <f t="shared" si="5"/>
        <v>51</v>
      </c>
      <c r="E42" s="3">
        <v>37.0</v>
      </c>
      <c r="F42" s="3">
        <f t="shared" si="1"/>
        <v>14</v>
      </c>
      <c r="G42" s="5">
        <v>1.0</v>
      </c>
      <c r="H42" s="5">
        <v>0.0</v>
      </c>
      <c r="I42" s="5">
        <v>1.0</v>
      </c>
      <c r="J42" s="5">
        <v>0.0</v>
      </c>
      <c r="K42" s="5">
        <v>0.0</v>
      </c>
      <c r="L42" s="5">
        <v>0.0</v>
      </c>
      <c r="M42" s="4" t="s">
        <v>77</v>
      </c>
      <c r="N42" s="5">
        <f>(E42-1)+VLOOKUP(M42,Size,2,0)</f>
        <v>32</v>
      </c>
      <c r="O42" s="5">
        <f>VLOOKUP(E42,LevelData,4)</f>
        <v>37</v>
      </c>
      <c r="P42" s="5">
        <f>O42+VLOOKUP(M42,Size,3,0)</f>
        <v>33</v>
      </c>
      <c r="Q42" s="5">
        <f t="shared" si="2"/>
        <v>20</v>
      </c>
      <c r="R42" s="5">
        <f>VLOOKUP(E42,LevelData,2)</f>
        <v>20</v>
      </c>
      <c r="S42" s="5">
        <f t="shared" si="3"/>
        <v>20</v>
      </c>
      <c r="T42" s="4" t="s">
        <v>189</v>
      </c>
      <c r="U42" s="3">
        <v>38.0</v>
      </c>
      <c r="V42" s="4">
        <f>INT(11+(E42/2))-VLOOKUP(M42,Size,2,0)</f>
        <v>33</v>
      </c>
      <c r="W42" s="3">
        <f t="shared" ref="W42:W50" si="8">INT((E42/2)+12)</f>
        <v>30</v>
      </c>
      <c r="X42" s="4" t="s">
        <v>79</v>
      </c>
      <c r="Y42" s="3">
        <v>17.0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3">
        <f t="shared" si="4"/>
        <v>42</v>
      </c>
      <c r="B43" s="4"/>
      <c r="C43" s="3">
        <v>1051.0</v>
      </c>
      <c r="D43" s="4">
        <f t="shared" si="5"/>
        <v>52</v>
      </c>
      <c r="E43" s="3">
        <v>38.0</v>
      </c>
      <c r="F43" s="3">
        <f t="shared" si="1"/>
        <v>14</v>
      </c>
      <c r="G43" s="5">
        <v>1.0</v>
      </c>
      <c r="H43" s="5">
        <v>0.0</v>
      </c>
      <c r="I43" s="5">
        <v>0.0</v>
      </c>
      <c r="J43" s="5">
        <v>1.0</v>
      </c>
      <c r="K43" s="5">
        <v>1.0</v>
      </c>
      <c r="L43" s="5">
        <v>1.0</v>
      </c>
      <c r="M43" s="4" t="s">
        <v>77</v>
      </c>
      <c r="N43" s="5">
        <f>(E43-1)+VLOOKUP(M43,Size,2,0)</f>
        <v>33</v>
      </c>
      <c r="O43" s="5">
        <f>VLOOKUP(E43,LevelData,4)</f>
        <v>38</v>
      </c>
      <c r="P43" s="5">
        <f>O43+VLOOKUP(M43,Size,3,0)</f>
        <v>34</v>
      </c>
      <c r="Q43" s="5">
        <f t="shared" si="2"/>
        <v>21</v>
      </c>
      <c r="R43" s="5">
        <f>VLOOKUP(E43,LevelData,2)</f>
        <v>21</v>
      </c>
      <c r="S43" s="5">
        <f t="shared" si="3"/>
        <v>21</v>
      </c>
      <c r="T43" s="4" t="s">
        <v>189</v>
      </c>
      <c r="U43" s="3">
        <v>38.0</v>
      </c>
      <c r="V43" s="4">
        <f>INT(11+(E43/2))-VLOOKUP(M43,Size,2,0)</f>
        <v>34</v>
      </c>
      <c r="W43" s="3">
        <f t="shared" si="8"/>
        <v>31</v>
      </c>
      <c r="X43" s="4"/>
      <c r="Y43" s="3">
        <v>17.0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3">
        <f t="shared" si="4"/>
        <v>43</v>
      </c>
      <c r="B44" s="4"/>
      <c r="C44" s="3">
        <v>1101.0</v>
      </c>
      <c r="D44" s="4">
        <f t="shared" si="5"/>
        <v>53</v>
      </c>
      <c r="E44" s="3">
        <v>39.0</v>
      </c>
      <c r="F44" s="3">
        <f t="shared" si="1"/>
        <v>14</v>
      </c>
      <c r="G44" s="5">
        <v>1.0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4" t="s">
        <v>77</v>
      </c>
      <c r="N44" s="5">
        <f>(E44-1)+VLOOKUP(M44,Size,2,0)</f>
        <v>34</v>
      </c>
      <c r="O44" s="5">
        <f>VLOOKUP(E44,LevelData,4)</f>
        <v>39</v>
      </c>
      <c r="P44" s="5">
        <f>O44+VLOOKUP(M44,Size,3,0)</f>
        <v>35</v>
      </c>
      <c r="Q44" s="5">
        <f t="shared" si="2"/>
        <v>21</v>
      </c>
      <c r="R44" s="5">
        <f>VLOOKUP(E44,LevelData,2)</f>
        <v>21</v>
      </c>
      <c r="S44" s="5">
        <f t="shared" si="3"/>
        <v>21</v>
      </c>
      <c r="T44" s="4" t="s">
        <v>190</v>
      </c>
      <c r="U44" s="3">
        <v>39.0</v>
      </c>
      <c r="V44" s="4">
        <f>INT(11+(E44/2))-VLOOKUP(M44,Size,2,0)</f>
        <v>34</v>
      </c>
      <c r="W44" s="3">
        <f t="shared" si="8"/>
        <v>31</v>
      </c>
      <c r="X44" s="4"/>
      <c r="Y44" s="3">
        <v>18.0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12.75" customHeight="1">
      <c r="A45" s="7">
        <f t="shared" si="4"/>
        <v>44</v>
      </c>
      <c r="B45" s="8"/>
      <c r="C45" s="7">
        <v>1151.0</v>
      </c>
      <c r="D45" s="8">
        <f t="shared" si="5"/>
        <v>54</v>
      </c>
      <c r="E45" s="7">
        <v>39.0</v>
      </c>
      <c r="F45" s="7">
        <f t="shared" si="1"/>
        <v>15</v>
      </c>
      <c r="G45" s="9">
        <v>1.0</v>
      </c>
      <c r="H45" s="9">
        <v>0.0</v>
      </c>
      <c r="I45" s="9">
        <v>0.0</v>
      </c>
      <c r="J45" s="9">
        <v>0.0</v>
      </c>
      <c r="K45" s="9">
        <v>0.0</v>
      </c>
      <c r="L45" s="9">
        <v>0.0</v>
      </c>
      <c r="M45" s="8" t="s">
        <v>77</v>
      </c>
      <c r="N45" s="9">
        <f>(E45-1)+VLOOKUP(M45,Size,2,0)</f>
        <v>34</v>
      </c>
      <c r="O45" s="9">
        <f>VLOOKUP(E45,LevelData,4)</f>
        <v>39</v>
      </c>
      <c r="P45" s="9">
        <f>O45+VLOOKUP(M45,Size,3,0)</f>
        <v>35</v>
      </c>
      <c r="Q45" s="9">
        <f t="shared" si="2"/>
        <v>21</v>
      </c>
      <c r="R45" s="9">
        <f>VLOOKUP(E45,LevelData,2)</f>
        <v>21</v>
      </c>
      <c r="S45" s="9">
        <f t="shared" si="3"/>
        <v>21</v>
      </c>
      <c r="T45" s="8" t="s">
        <v>190</v>
      </c>
      <c r="U45" s="7">
        <v>39.0</v>
      </c>
      <c r="V45" s="8">
        <f>INT(11+(E45/2))-VLOOKUP(M45,Size,2,0)</f>
        <v>34</v>
      </c>
      <c r="W45" s="7">
        <f t="shared" si="8"/>
        <v>31</v>
      </c>
      <c r="X45" s="8"/>
      <c r="Y45" s="7">
        <v>18.0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12.75" customHeight="1">
      <c r="A46" s="10">
        <f t="shared" si="4"/>
        <v>45</v>
      </c>
      <c r="B46" s="11" t="s">
        <v>81</v>
      </c>
      <c r="C46" s="10">
        <v>1201.0</v>
      </c>
      <c r="D46" s="11">
        <f t="shared" si="5"/>
        <v>55</v>
      </c>
      <c r="E46" s="10">
        <v>40.0</v>
      </c>
      <c r="F46" s="10">
        <f t="shared" si="1"/>
        <v>15</v>
      </c>
      <c r="G46" s="12">
        <v>1.0</v>
      </c>
      <c r="H46" s="12">
        <v>0.0</v>
      </c>
      <c r="I46" s="12">
        <v>0.0</v>
      </c>
      <c r="J46" s="12">
        <v>1.0</v>
      </c>
      <c r="K46" s="12">
        <v>1.0</v>
      </c>
      <c r="L46" s="12">
        <v>1.0</v>
      </c>
      <c r="M46" s="11" t="s">
        <v>162</v>
      </c>
      <c r="N46" s="12">
        <f>(E46-1)+VLOOKUP(M46,Size,2,0)</f>
        <v>31</v>
      </c>
      <c r="O46" s="12">
        <f>VLOOKUP(E46,LevelData,4)</f>
        <v>40</v>
      </c>
      <c r="P46" s="12">
        <f>O46+VLOOKUP(M46,Size,3,0)</f>
        <v>32</v>
      </c>
      <c r="Q46" s="12">
        <f t="shared" si="2"/>
        <v>22</v>
      </c>
      <c r="R46" s="12">
        <f>VLOOKUP(E46,LevelData,2)</f>
        <v>22</v>
      </c>
      <c r="S46" s="12">
        <f t="shared" si="3"/>
        <v>22</v>
      </c>
      <c r="T46" s="11" t="s">
        <v>191</v>
      </c>
      <c r="U46" s="10">
        <v>40.0</v>
      </c>
      <c r="V46" s="11">
        <f>INT(11+(E46/2))-VLOOKUP(M46,Size,2,0)</f>
        <v>39</v>
      </c>
      <c r="W46" s="10">
        <f t="shared" si="8"/>
        <v>32</v>
      </c>
      <c r="X46" s="11" t="s">
        <v>192</v>
      </c>
      <c r="Y46" s="10">
        <v>19.0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2.75" customHeight="1">
      <c r="A47" s="10">
        <f t="shared" si="4"/>
        <v>46</v>
      </c>
      <c r="B47" s="11"/>
      <c r="C47" s="10" t="s">
        <v>84</v>
      </c>
      <c r="D47" s="11">
        <f t="shared" si="5"/>
        <v>56</v>
      </c>
      <c r="E47" s="10">
        <v>41.0</v>
      </c>
      <c r="F47" s="10">
        <f t="shared" si="1"/>
        <v>15</v>
      </c>
      <c r="G47" s="12">
        <v>0.0</v>
      </c>
      <c r="H47" s="12">
        <v>0.0</v>
      </c>
      <c r="I47" s="12">
        <v>1.0</v>
      </c>
      <c r="J47" s="12">
        <v>0.0</v>
      </c>
      <c r="K47" s="12">
        <v>0.0</v>
      </c>
      <c r="L47" s="12">
        <v>0.0</v>
      </c>
      <c r="M47" s="11" t="s">
        <v>162</v>
      </c>
      <c r="N47" s="12">
        <f>(E47-1)+VLOOKUP(M47,Size,2,0)</f>
        <v>32</v>
      </c>
      <c r="O47" s="12">
        <f>VLOOKUP(E47,LevelData,4)</f>
        <v>41</v>
      </c>
      <c r="P47" s="12">
        <f>O47+VLOOKUP(M47,Size,3,0)</f>
        <v>33</v>
      </c>
      <c r="Q47" s="12">
        <f t="shared" si="2"/>
        <v>22</v>
      </c>
      <c r="R47" s="12">
        <f>VLOOKUP(E47,LevelData,2)</f>
        <v>22</v>
      </c>
      <c r="S47" s="12">
        <f t="shared" si="3"/>
        <v>22</v>
      </c>
      <c r="T47" s="11" t="s">
        <v>191</v>
      </c>
      <c r="U47" s="10">
        <v>40.0</v>
      </c>
      <c r="V47" s="11">
        <f>INT(11+(E47/2))-VLOOKUP(M47,Size,2,0)</f>
        <v>39</v>
      </c>
      <c r="W47" s="10">
        <f t="shared" si="8"/>
        <v>32</v>
      </c>
      <c r="X47" s="11" t="s">
        <v>193</v>
      </c>
      <c r="Y47" s="10">
        <v>19.0</v>
      </c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12.75" customHeight="1">
      <c r="A48" s="10">
        <f t="shared" si="4"/>
        <v>47</v>
      </c>
      <c r="B48" s="11"/>
      <c r="C48" s="10" t="s">
        <v>86</v>
      </c>
      <c r="D48" s="11">
        <f t="shared" si="5"/>
        <v>57</v>
      </c>
      <c r="E48" s="10">
        <v>42.0</v>
      </c>
      <c r="F48" s="10">
        <f t="shared" si="1"/>
        <v>15</v>
      </c>
      <c r="G48" s="12">
        <v>1.0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  <c r="M48" s="11" t="s">
        <v>162</v>
      </c>
      <c r="N48" s="12">
        <f>(E48-1)+VLOOKUP(M48,Size,2,0)</f>
        <v>33</v>
      </c>
      <c r="O48" s="12">
        <f>VLOOKUP(E48,LevelData,4)</f>
        <v>42</v>
      </c>
      <c r="P48" s="12">
        <f>O48+VLOOKUP(M48,Size,3,0)</f>
        <v>34</v>
      </c>
      <c r="Q48" s="12">
        <f t="shared" si="2"/>
        <v>23</v>
      </c>
      <c r="R48" s="12">
        <f>VLOOKUP(E48,LevelData,2)</f>
        <v>23</v>
      </c>
      <c r="S48" s="12">
        <f t="shared" si="3"/>
        <v>23</v>
      </c>
      <c r="T48" s="11" t="s">
        <v>194</v>
      </c>
      <c r="U48" s="10">
        <v>41.0</v>
      </c>
      <c r="V48" s="11">
        <f>INT(11+(E48/2))-VLOOKUP(M48,Size,2,0)</f>
        <v>40</v>
      </c>
      <c r="W48" s="10">
        <f t="shared" si="8"/>
        <v>33</v>
      </c>
      <c r="X48" s="11"/>
      <c r="Y48" s="10">
        <v>20.0</v>
      </c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12.75" customHeight="1">
      <c r="A49" s="1">
        <f t="shared" si="4"/>
        <v>48</v>
      </c>
      <c r="B49" s="2"/>
      <c r="C49" s="1" t="s">
        <v>88</v>
      </c>
      <c r="D49" s="2">
        <f t="shared" si="5"/>
        <v>58</v>
      </c>
      <c r="E49" s="1">
        <v>42.0</v>
      </c>
      <c r="F49" s="1">
        <f t="shared" si="1"/>
        <v>16</v>
      </c>
      <c r="G49" s="13">
        <v>0.0</v>
      </c>
      <c r="H49" s="13">
        <v>0.0</v>
      </c>
      <c r="I49" s="13">
        <v>0.0</v>
      </c>
      <c r="J49" s="13">
        <v>1.0</v>
      </c>
      <c r="K49" s="13">
        <v>1.0</v>
      </c>
      <c r="L49" s="13">
        <v>1.0</v>
      </c>
      <c r="M49" s="2" t="s">
        <v>162</v>
      </c>
      <c r="N49" s="13">
        <f>(E49-1)+VLOOKUP(M49,Size,2,0)</f>
        <v>33</v>
      </c>
      <c r="O49" s="13">
        <f>VLOOKUP(E49,LevelData,4)</f>
        <v>42</v>
      </c>
      <c r="P49" s="13">
        <f>O49+VLOOKUP(M49,Size,3,0)</f>
        <v>34</v>
      </c>
      <c r="Q49" s="13">
        <f t="shared" si="2"/>
        <v>23</v>
      </c>
      <c r="R49" s="13">
        <f>VLOOKUP(E49,LevelData,2)</f>
        <v>23</v>
      </c>
      <c r="S49" s="13">
        <f t="shared" si="3"/>
        <v>23</v>
      </c>
      <c r="T49" s="2" t="s">
        <v>194</v>
      </c>
      <c r="U49" s="1">
        <v>41.0</v>
      </c>
      <c r="V49" s="2">
        <f>INT(11+(E49/2))-VLOOKUP(M49,Size,2,0)</f>
        <v>40</v>
      </c>
      <c r="W49" s="1">
        <f t="shared" si="8"/>
        <v>33</v>
      </c>
      <c r="X49" s="2"/>
      <c r="Y49" s="1">
        <v>20.0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2.75" customHeight="1">
      <c r="A50" s="3">
        <f t="shared" si="4"/>
        <v>49</v>
      </c>
      <c r="B50" s="4" t="s">
        <v>89</v>
      </c>
      <c r="C50" s="3" t="s">
        <v>90</v>
      </c>
      <c r="D50" s="4">
        <f t="shared" si="5"/>
        <v>59</v>
      </c>
      <c r="E50" s="3">
        <v>43.0</v>
      </c>
      <c r="F50" s="3">
        <f t="shared" si="1"/>
        <v>16</v>
      </c>
      <c r="G50" s="5">
        <v>1.0</v>
      </c>
      <c r="H50" s="5">
        <v>0.0</v>
      </c>
      <c r="I50" s="5">
        <v>1.0</v>
      </c>
      <c r="J50" s="5">
        <v>0.0</v>
      </c>
      <c r="K50" s="5">
        <v>0.0</v>
      </c>
      <c r="L50" s="5">
        <v>0.0</v>
      </c>
      <c r="M50" s="4" t="s">
        <v>162</v>
      </c>
      <c r="N50" s="5">
        <f>(E50-1)+VLOOKUP(M50,Size,2,0)</f>
        <v>34</v>
      </c>
      <c r="O50" s="5">
        <f>VLOOKUP(E50,LevelData,4)</f>
        <v>43</v>
      </c>
      <c r="P50" s="5">
        <f>O50+VLOOKUP(M50,Size,3,0)</f>
        <v>35</v>
      </c>
      <c r="Q50" s="5">
        <f t="shared" si="2"/>
        <v>23</v>
      </c>
      <c r="R50" s="5">
        <f>VLOOKUP(E50,LevelData,2)</f>
        <v>23</v>
      </c>
      <c r="S50" s="5">
        <f t="shared" si="3"/>
        <v>23</v>
      </c>
      <c r="T50" s="4" t="s">
        <v>195</v>
      </c>
      <c r="U50" s="3">
        <v>42.0</v>
      </c>
      <c r="V50" s="4">
        <f>INT(11+(E50/2))-VLOOKUP(M50,Size,2,0)</f>
        <v>40</v>
      </c>
      <c r="W50" s="3">
        <f t="shared" si="8"/>
        <v>33</v>
      </c>
      <c r="X50" s="4"/>
      <c r="Y50" s="3">
        <v>21.0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12.75" customHeight="1">
      <c r="A51" s="10"/>
      <c r="B51" s="11"/>
      <c r="C51" s="10"/>
      <c r="D51" s="11"/>
      <c r="E51" s="10"/>
      <c r="F51" s="10"/>
      <c r="G51" s="11"/>
      <c r="H51" s="11"/>
      <c r="I51" s="11"/>
      <c r="J51" s="11"/>
      <c r="K51" s="11"/>
      <c r="L51" s="11"/>
      <c r="M51" s="14" t="str">
        <f>HYPERLINK("http://www.geocities.com/galliard6/dragons_sheet.html","Back")</f>
        <v>Back</v>
      </c>
      <c r="N51" s="11"/>
      <c r="O51" s="11"/>
      <c r="P51" s="11"/>
      <c r="Q51" s="11"/>
      <c r="R51" s="11"/>
      <c r="S51" s="11"/>
      <c r="T51" s="11"/>
      <c r="U51" s="10"/>
      <c r="V51" s="11"/>
      <c r="W51" s="10"/>
      <c r="X51" s="1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2.75" customHeight="1">
      <c r="A52" s="10"/>
      <c r="B52" s="11"/>
      <c r="C52" s="10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/>
      <c r="V52" s="11"/>
      <c r="W52" s="10"/>
      <c r="X52" s="1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2.75" customHeight="1">
      <c r="A53" s="10"/>
      <c r="B53" s="11"/>
      <c r="C53" s="10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/>
      <c r="V53" s="11"/>
      <c r="W53" s="10"/>
      <c r="X53" s="11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2.75" customHeight="1">
      <c r="A54" s="10"/>
      <c r="B54" s="11"/>
      <c r="C54" s="10"/>
      <c r="D54" s="11"/>
      <c r="E54" s="10"/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1"/>
      <c r="W54" s="10"/>
      <c r="X54" s="11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2.75" customHeight="1">
      <c r="A55" s="10"/>
      <c r="B55" s="11"/>
      <c r="C55" s="10"/>
      <c r="D55" s="11"/>
      <c r="E55" s="10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/>
      <c r="V55" s="11"/>
      <c r="W55" s="10"/>
      <c r="X55" s="11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2.75" customHeight="1">
      <c r="A56" s="10"/>
      <c r="B56" s="11"/>
      <c r="C56" s="10"/>
      <c r="D56" s="11"/>
      <c r="E56" s="10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/>
      <c r="V56" s="11"/>
      <c r="W56" s="10"/>
      <c r="X56" s="11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2.75" customHeight="1">
      <c r="A57" s="10"/>
      <c r="B57" s="11"/>
      <c r="C57" s="10"/>
      <c r="D57" s="11"/>
      <c r="E57" s="10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/>
      <c r="V57" s="11"/>
      <c r="W57" s="10"/>
      <c r="X57" s="11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2.75" customHeight="1">
      <c r="A58" s="10"/>
      <c r="B58" s="11"/>
      <c r="C58" s="10"/>
      <c r="D58" s="11"/>
      <c r="E58" s="10"/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/>
      <c r="V58" s="11"/>
      <c r="W58" s="10"/>
      <c r="X58" s="11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2.75" customHeight="1">
      <c r="A59" s="10"/>
      <c r="B59" s="11"/>
      <c r="C59" s="10"/>
      <c r="D59" s="11"/>
      <c r="E59" s="10"/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/>
      <c r="V59" s="11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2.75" customHeight="1">
      <c r="A60" s="10"/>
      <c r="B60" s="11"/>
      <c r="C60" s="10"/>
      <c r="D60" s="11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/>
      <c r="V60" s="11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2.75" customHeight="1">
      <c r="A61" s="10"/>
      <c r="B61" s="11"/>
      <c r="C61" s="10"/>
      <c r="D61" s="11"/>
      <c r="E61" s="10"/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/>
      <c r="V61" s="11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2.75" customHeight="1">
      <c r="A62" s="10"/>
      <c r="B62" s="11"/>
      <c r="C62" s="10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/>
      <c r="V62" s="11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2.75" customHeight="1">
      <c r="A63" s="10"/>
      <c r="B63" s="11"/>
      <c r="C63" s="10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2.75" customHeight="1">
      <c r="A64" s="10"/>
      <c r="B64" s="11"/>
      <c r="C64" s="10"/>
      <c r="D64" s="11"/>
      <c r="E64" s="10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2.75" customHeight="1">
      <c r="A65" s="10"/>
      <c r="B65" s="11"/>
      <c r="C65" s="10"/>
      <c r="D65" s="11"/>
      <c r="E65" s="10"/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2.75" customHeight="1">
      <c r="A66" s="10"/>
      <c r="B66" s="11"/>
      <c r="C66" s="10"/>
      <c r="D66" s="11"/>
      <c r="E66" s="10"/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2.75" customHeight="1">
      <c r="A67" s="10"/>
      <c r="B67" s="11"/>
      <c r="C67" s="10"/>
      <c r="D67" s="11"/>
      <c r="E67" s="10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2.75" customHeight="1">
      <c r="A68" s="10"/>
      <c r="B68" s="11"/>
      <c r="C68" s="10"/>
      <c r="D68" s="11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2.75" customHeight="1">
      <c r="A69" s="10"/>
      <c r="B69" s="11"/>
      <c r="C69" s="10"/>
      <c r="D69" s="11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2.75" customHeight="1">
      <c r="A70" s="10"/>
      <c r="B70" s="11"/>
      <c r="C70" s="10"/>
      <c r="D70" s="11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2.75" customHeight="1">
      <c r="A71" s="10"/>
      <c r="B71" s="11"/>
      <c r="C71" s="10"/>
      <c r="D71" s="11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2.75" customHeight="1">
      <c r="A72" s="10"/>
      <c r="B72" s="11"/>
      <c r="C72" s="10"/>
      <c r="D72" s="11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2.75" customHeight="1">
      <c r="A73" s="10"/>
      <c r="B73" s="11"/>
      <c r="C73" s="10"/>
      <c r="D73" s="11"/>
      <c r="E73" s="10"/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2.75" customHeight="1">
      <c r="A74" s="10"/>
      <c r="B74" s="11"/>
      <c r="C74" s="10"/>
      <c r="D74" s="11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2.75" customHeight="1">
      <c r="A75" s="10"/>
      <c r="B75" s="11"/>
      <c r="C75" s="10"/>
      <c r="D75" s="11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2.75" customHeight="1">
      <c r="A76" s="10"/>
      <c r="B76" s="11"/>
      <c r="C76" s="10"/>
      <c r="D76" s="11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2.75" customHeight="1">
      <c r="A77" s="10"/>
      <c r="B77" s="11"/>
      <c r="C77" s="10"/>
      <c r="D77" s="11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2.75" customHeight="1">
      <c r="A78" s="10"/>
      <c r="B78" s="11"/>
      <c r="C78" s="10"/>
      <c r="D78" s="11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2.75" customHeight="1">
      <c r="A79" s="10"/>
      <c r="B79" s="11"/>
      <c r="C79" s="10"/>
      <c r="D79" s="11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2.75" customHeight="1">
      <c r="A80" s="10"/>
      <c r="B80" s="11"/>
      <c r="C80" s="10"/>
      <c r="D80" s="11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2.75" customHeight="1">
      <c r="A81" s="10"/>
      <c r="B81" s="11"/>
      <c r="C81" s="10"/>
      <c r="D81" s="11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2.75" customHeight="1">
      <c r="A82" s="10"/>
      <c r="B82" s="11"/>
      <c r="C82" s="10"/>
      <c r="D82" s="11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2.75" customHeight="1">
      <c r="A83" s="10"/>
      <c r="B83" s="11"/>
      <c r="C83" s="10"/>
      <c r="D83" s="11"/>
      <c r="E83" s="10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2.75" customHeight="1">
      <c r="A84" s="10"/>
      <c r="B84" s="11"/>
      <c r="C84" s="10"/>
      <c r="D84" s="11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2.75" customHeight="1">
      <c r="A85" s="10"/>
      <c r="B85" s="11"/>
      <c r="C85" s="10"/>
      <c r="D85" s="11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2.75" customHeight="1">
      <c r="A86" s="10"/>
      <c r="B86" s="11"/>
      <c r="C86" s="10"/>
      <c r="D86" s="11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2.75" customHeight="1">
      <c r="A87" s="10"/>
      <c r="B87" s="11"/>
      <c r="C87" s="10"/>
      <c r="D87" s="11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2.75" customHeight="1">
      <c r="A88" s="10"/>
      <c r="B88" s="11"/>
      <c r="C88" s="10"/>
      <c r="D88" s="11"/>
      <c r="E88" s="10"/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2.75" customHeight="1">
      <c r="A89" s="10"/>
      <c r="B89" s="11"/>
      <c r="C89" s="10"/>
      <c r="D89" s="11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2.75" customHeight="1">
      <c r="A90" s="10"/>
      <c r="B90" s="11"/>
      <c r="C90" s="10"/>
      <c r="D90" s="11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2.75" customHeight="1">
      <c r="A91" s="10"/>
      <c r="B91" s="11"/>
      <c r="C91" s="10"/>
      <c r="D91" s="11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2.75" customHeight="1">
      <c r="A92" s="10"/>
      <c r="B92" s="11"/>
      <c r="C92" s="10"/>
      <c r="D92" s="11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2.75" customHeight="1">
      <c r="A93" s="10"/>
      <c r="B93" s="11"/>
      <c r="C93" s="10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2.75" customHeight="1">
      <c r="A94" s="10"/>
      <c r="B94" s="11"/>
      <c r="C94" s="10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2.75" customHeight="1">
      <c r="A95" s="10"/>
      <c r="B95" s="11"/>
      <c r="C95" s="10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2.75" customHeight="1">
      <c r="A96" s="10"/>
      <c r="B96" s="11"/>
      <c r="C96" s="10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2.75" customHeight="1">
      <c r="A97" s="10"/>
      <c r="B97" s="11"/>
      <c r="C97" s="10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2.75" customHeight="1">
      <c r="A98" s="10"/>
      <c r="B98" s="11"/>
      <c r="C98" s="10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2.75" customHeight="1">
      <c r="A99" s="10"/>
      <c r="B99" s="11"/>
      <c r="C99" s="10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2.75" customHeight="1">
      <c r="A100" s="10"/>
      <c r="B100" s="11"/>
      <c r="C100" s="10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2.75" customHeight="1">
      <c r="A101" s="10"/>
      <c r="B101" s="11"/>
      <c r="C101" s="10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2.75" customHeight="1">
      <c r="A102" s="10"/>
      <c r="B102" s="11"/>
      <c r="C102" s="10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2.75" customHeight="1">
      <c r="A103" s="10"/>
      <c r="B103" s="11"/>
      <c r="C103" s="10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2.75" customHeight="1">
      <c r="A104" s="10"/>
      <c r="B104" s="11"/>
      <c r="C104" s="10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2.75" customHeight="1">
      <c r="A105" s="10"/>
      <c r="B105" s="11"/>
      <c r="C105" s="10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2.75" customHeight="1">
      <c r="A106" s="10"/>
      <c r="B106" s="11"/>
      <c r="C106" s="10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2.75" customHeight="1">
      <c r="A107" s="10"/>
      <c r="B107" s="11"/>
      <c r="C107" s="10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2.75" customHeight="1">
      <c r="A108" s="10"/>
      <c r="B108" s="11"/>
      <c r="C108" s="10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2.75" customHeight="1">
      <c r="A109" s="10"/>
      <c r="B109" s="11"/>
      <c r="C109" s="10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2.75" customHeight="1">
      <c r="A110" s="10"/>
      <c r="B110" s="11"/>
      <c r="C110" s="10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2.75" customHeight="1">
      <c r="A111" s="10"/>
      <c r="B111" s="11"/>
      <c r="C111" s="10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2.75" customHeight="1">
      <c r="A112" s="10"/>
      <c r="B112" s="11"/>
      <c r="C112" s="10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2.75" customHeight="1">
      <c r="A113" s="10"/>
      <c r="B113" s="11"/>
      <c r="C113" s="10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2.75" customHeight="1">
      <c r="A114" s="10"/>
      <c r="B114" s="11"/>
      <c r="C114" s="10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2.75" customHeight="1">
      <c r="A115" s="10"/>
      <c r="B115" s="11"/>
      <c r="C115" s="10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2.75" customHeight="1">
      <c r="A116" s="10"/>
      <c r="B116" s="11"/>
      <c r="C116" s="10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2.75" customHeight="1">
      <c r="A117" s="10"/>
      <c r="B117" s="11"/>
      <c r="C117" s="10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2.75" customHeight="1">
      <c r="A118" s="10"/>
      <c r="B118" s="11"/>
      <c r="C118" s="10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2.75" customHeight="1">
      <c r="A119" s="10"/>
      <c r="B119" s="11"/>
      <c r="C119" s="10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2.75" customHeight="1">
      <c r="A120" s="10"/>
      <c r="B120" s="11"/>
      <c r="C120" s="10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2.75" customHeight="1">
      <c r="A121" s="10"/>
      <c r="B121" s="11"/>
      <c r="C121" s="10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2.75" customHeight="1">
      <c r="A122" s="10"/>
      <c r="B122" s="11"/>
      <c r="C122" s="10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2.75" customHeight="1">
      <c r="A123" s="10"/>
      <c r="B123" s="11"/>
      <c r="C123" s="10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2.75" customHeight="1">
      <c r="A124" s="10"/>
      <c r="B124" s="11"/>
      <c r="C124" s="10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2.75" customHeight="1">
      <c r="A125" s="10"/>
      <c r="B125" s="11"/>
      <c r="C125" s="10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2.75" customHeight="1">
      <c r="A126" s="10"/>
      <c r="B126" s="11"/>
      <c r="C126" s="10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2.75" customHeight="1">
      <c r="A127" s="10"/>
      <c r="B127" s="11"/>
      <c r="C127" s="10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2.75" customHeight="1">
      <c r="A128" s="10"/>
      <c r="B128" s="11"/>
      <c r="C128" s="10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2.75" customHeight="1">
      <c r="A129" s="10"/>
      <c r="B129" s="11"/>
      <c r="C129" s="10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2.75" customHeight="1">
      <c r="A130" s="10"/>
      <c r="B130" s="11"/>
      <c r="C130" s="10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2.75" customHeight="1">
      <c r="A131" s="10"/>
      <c r="B131" s="11"/>
      <c r="C131" s="10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2.75" customHeight="1">
      <c r="A132" s="10"/>
      <c r="B132" s="11"/>
      <c r="C132" s="10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2.75" customHeight="1">
      <c r="A133" s="10"/>
      <c r="B133" s="11"/>
      <c r="C133" s="10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2.75" customHeight="1">
      <c r="A134" s="10"/>
      <c r="B134" s="11"/>
      <c r="C134" s="10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2.75" customHeight="1">
      <c r="A135" s="10"/>
      <c r="B135" s="11"/>
      <c r="C135" s="10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2.75" customHeight="1">
      <c r="A136" s="10"/>
      <c r="B136" s="11"/>
      <c r="C136" s="10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2.75" customHeight="1">
      <c r="A137" s="10"/>
      <c r="B137" s="11"/>
      <c r="C137" s="10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2.75" customHeight="1">
      <c r="A138" s="10"/>
      <c r="B138" s="11"/>
      <c r="C138" s="10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2.75" customHeight="1">
      <c r="A139" s="10"/>
      <c r="B139" s="11"/>
      <c r="C139" s="10"/>
      <c r="D139" s="11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2.75" customHeight="1">
      <c r="A140" s="10"/>
      <c r="B140" s="11"/>
      <c r="C140" s="10"/>
      <c r="D140" s="11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2.75" customHeight="1">
      <c r="A141" s="10"/>
      <c r="B141" s="11"/>
      <c r="C141" s="10"/>
      <c r="D141" s="11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2.75" customHeight="1">
      <c r="A142" s="10"/>
      <c r="B142" s="11"/>
      <c r="C142" s="10"/>
      <c r="D142" s="11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2.75" customHeight="1">
      <c r="A143" s="10"/>
      <c r="B143" s="11"/>
      <c r="C143" s="10"/>
      <c r="D143" s="11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2.75" customHeight="1">
      <c r="A144" s="10"/>
      <c r="B144" s="11"/>
      <c r="C144" s="10"/>
      <c r="D144" s="11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2.75" customHeight="1">
      <c r="A145" s="10"/>
      <c r="B145" s="11"/>
      <c r="C145" s="10"/>
      <c r="D145" s="11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/>
      <c r="V145" s="11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2.75" customHeight="1">
      <c r="A146" s="10"/>
      <c r="B146" s="11"/>
      <c r="C146" s="10"/>
      <c r="D146" s="11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/>
      <c r="V146" s="11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2.75" customHeight="1">
      <c r="A147" s="10"/>
      <c r="B147" s="11"/>
      <c r="C147" s="10"/>
      <c r="D147" s="11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/>
      <c r="V147" s="11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2.75" customHeight="1">
      <c r="A148" s="10"/>
      <c r="B148" s="11"/>
      <c r="C148" s="10"/>
      <c r="D148" s="11"/>
      <c r="E148" s="10"/>
      <c r="F148" s="1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/>
      <c r="V148" s="11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2.75" customHeight="1">
      <c r="A149" s="10"/>
      <c r="B149" s="11"/>
      <c r="C149" s="10"/>
      <c r="D149" s="11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2.75" customHeight="1">
      <c r="A150" s="10"/>
      <c r="B150" s="11"/>
      <c r="C150" s="10"/>
      <c r="D150" s="11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2.75" customHeight="1">
      <c r="A151" s="10"/>
      <c r="B151" s="11"/>
      <c r="C151" s="10"/>
      <c r="D151" s="11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2.75" customHeight="1">
      <c r="A152" s="10"/>
      <c r="B152" s="11"/>
      <c r="C152" s="10"/>
      <c r="D152" s="11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2.75" customHeight="1">
      <c r="A153" s="10"/>
      <c r="B153" s="11"/>
      <c r="C153" s="10"/>
      <c r="D153" s="11"/>
      <c r="E153" s="10"/>
      <c r="F153" s="1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2.75" customHeight="1">
      <c r="A154" s="10"/>
      <c r="B154" s="11"/>
      <c r="C154" s="10"/>
      <c r="D154" s="11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2.75" customHeight="1">
      <c r="A155" s="10"/>
      <c r="B155" s="11"/>
      <c r="C155" s="10"/>
      <c r="D155" s="11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  <c r="W155" s="10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2.75" customHeight="1">
      <c r="A156" s="10"/>
      <c r="B156" s="11"/>
      <c r="C156" s="10"/>
      <c r="D156" s="11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  <c r="W156" s="10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2.75" customHeight="1">
      <c r="A157" s="10"/>
      <c r="B157" s="11"/>
      <c r="C157" s="10"/>
      <c r="D157" s="11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  <c r="W157" s="10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2.75" customHeight="1">
      <c r="A158" s="10"/>
      <c r="B158" s="11"/>
      <c r="C158" s="10"/>
      <c r="D158" s="11"/>
      <c r="E158" s="10"/>
      <c r="F158" s="1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  <c r="W158" s="10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2.75" customHeight="1">
      <c r="A159" s="10"/>
      <c r="B159" s="11"/>
      <c r="C159" s="10"/>
      <c r="D159" s="11"/>
      <c r="E159" s="10"/>
      <c r="F159" s="1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2.75" customHeight="1">
      <c r="A160" s="10"/>
      <c r="B160" s="11"/>
      <c r="C160" s="10"/>
      <c r="D160" s="11"/>
      <c r="E160" s="10"/>
      <c r="F160" s="1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  <c r="W160" s="10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2.75" customHeight="1">
      <c r="A161" s="10"/>
      <c r="B161" s="11"/>
      <c r="C161" s="10"/>
      <c r="D161" s="11"/>
      <c r="E161" s="10"/>
      <c r="F161" s="1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/>
      <c r="V161" s="11"/>
      <c r="W161" s="10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2.75" customHeight="1">
      <c r="A162" s="10"/>
      <c r="B162" s="11"/>
      <c r="C162" s="10"/>
      <c r="D162" s="11"/>
      <c r="E162" s="10"/>
      <c r="F162" s="1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/>
      <c r="V162" s="11"/>
      <c r="W162" s="10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2.75" customHeight="1">
      <c r="A163" s="10"/>
      <c r="B163" s="11"/>
      <c r="C163" s="10"/>
      <c r="D163" s="11"/>
      <c r="E163" s="10"/>
      <c r="F163" s="1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/>
      <c r="V163" s="11"/>
      <c r="W163" s="10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2.75" customHeight="1">
      <c r="A164" s="10"/>
      <c r="B164" s="11"/>
      <c r="C164" s="10"/>
      <c r="D164" s="11"/>
      <c r="E164" s="10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  <c r="W164" s="10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2.75" customHeight="1">
      <c r="A165" s="10"/>
      <c r="B165" s="11"/>
      <c r="C165" s="10"/>
      <c r="D165" s="11"/>
      <c r="E165" s="10"/>
      <c r="F165" s="1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  <c r="W165" s="10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2.75" customHeight="1">
      <c r="A166" s="10"/>
      <c r="B166" s="11"/>
      <c r="C166" s="10"/>
      <c r="D166" s="11"/>
      <c r="E166" s="10"/>
      <c r="F166" s="1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/>
      <c r="V166" s="11"/>
      <c r="W166" s="10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2.75" customHeight="1">
      <c r="A167" s="10"/>
      <c r="B167" s="11"/>
      <c r="C167" s="10"/>
      <c r="D167" s="11"/>
      <c r="E167" s="10"/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/>
      <c r="V167" s="11"/>
      <c r="W167" s="10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2.75" customHeight="1">
      <c r="A168" s="10"/>
      <c r="B168" s="11"/>
      <c r="C168" s="10"/>
      <c r="D168" s="11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/>
      <c r="V168" s="11"/>
      <c r="W168" s="10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2.75" customHeight="1">
      <c r="A169" s="10"/>
      <c r="B169" s="11"/>
      <c r="C169" s="10"/>
      <c r="D169" s="11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/>
      <c r="V169" s="11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2.75" customHeight="1">
      <c r="A170" s="10"/>
      <c r="B170" s="11"/>
      <c r="C170" s="10"/>
      <c r="D170" s="11"/>
      <c r="E170" s="10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/>
      <c r="V170" s="11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2.75" customHeight="1">
      <c r="A171" s="10"/>
      <c r="B171" s="11"/>
      <c r="C171" s="10"/>
      <c r="D171" s="11"/>
      <c r="E171" s="10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/>
      <c r="V171" s="11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2.75" customHeight="1">
      <c r="A172" s="10"/>
      <c r="B172" s="11"/>
      <c r="C172" s="10"/>
      <c r="D172" s="11"/>
      <c r="E172" s="10"/>
      <c r="F172" s="1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/>
      <c r="V172" s="11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2.75" customHeight="1">
      <c r="A173" s="10"/>
      <c r="B173" s="11"/>
      <c r="C173" s="10"/>
      <c r="D173" s="11"/>
      <c r="E173" s="10"/>
      <c r="F173" s="1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/>
      <c r="V173" s="11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2.75" customHeight="1">
      <c r="A174" s="10"/>
      <c r="B174" s="11"/>
      <c r="C174" s="10"/>
      <c r="D174" s="11"/>
      <c r="E174" s="10"/>
      <c r="F174" s="1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/>
      <c r="V174" s="11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2.75" customHeight="1">
      <c r="A175" s="10"/>
      <c r="B175" s="11"/>
      <c r="C175" s="10"/>
      <c r="D175" s="11"/>
      <c r="E175" s="10"/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/>
      <c r="V175" s="11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2.75" customHeight="1">
      <c r="A176" s="10"/>
      <c r="B176" s="11"/>
      <c r="C176" s="10"/>
      <c r="D176" s="11"/>
      <c r="E176" s="10"/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/>
      <c r="V176" s="11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2.75" customHeight="1">
      <c r="A177" s="10"/>
      <c r="B177" s="11"/>
      <c r="C177" s="10"/>
      <c r="D177" s="11"/>
      <c r="E177" s="10"/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/>
      <c r="V177" s="11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2.75" customHeight="1">
      <c r="A178" s="10"/>
      <c r="B178" s="11"/>
      <c r="C178" s="10"/>
      <c r="D178" s="11"/>
      <c r="E178" s="10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/>
      <c r="V178" s="11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2.75" customHeight="1">
      <c r="A179" s="10"/>
      <c r="B179" s="11"/>
      <c r="C179" s="10"/>
      <c r="D179" s="11"/>
      <c r="E179" s="10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/>
      <c r="V179" s="11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2.75" customHeight="1">
      <c r="A180" s="10"/>
      <c r="B180" s="11"/>
      <c r="C180" s="10"/>
      <c r="D180" s="11"/>
      <c r="E180" s="10"/>
      <c r="F180" s="1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/>
      <c r="V180" s="11"/>
      <c r="W180" s="10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2.75" customHeight="1">
      <c r="A181" s="10"/>
      <c r="B181" s="11"/>
      <c r="C181" s="10"/>
      <c r="D181" s="11"/>
      <c r="E181" s="10"/>
      <c r="F181" s="1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/>
      <c r="V181" s="11"/>
      <c r="W181" s="10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2.75" customHeight="1">
      <c r="A182" s="10"/>
      <c r="B182" s="11"/>
      <c r="C182" s="10"/>
      <c r="D182" s="11"/>
      <c r="E182" s="10"/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/>
      <c r="V182" s="11"/>
      <c r="W182" s="10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2.75" customHeight="1">
      <c r="A183" s="10"/>
      <c r="B183" s="11"/>
      <c r="C183" s="10"/>
      <c r="D183" s="11"/>
      <c r="E183" s="10"/>
      <c r="F183" s="1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/>
      <c r="V183" s="11"/>
      <c r="W183" s="10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2.75" customHeight="1">
      <c r="A184" s="10"/>
      <c r="B184" s="11"/>
      <c r="C184" s="10"/>
      <c r="D184" s="11"/>
      <c r="E184" s="10"/>
      <c r="F184" s="1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/>
      <c r="V184" s="11"/>
      <c r="W184" s="10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2.75" customHeight="1">
      <c r="A185" s="10"/>
      <c r="B185" s="11"/>
      <c r="C185" s="10"/>
      <c r="D185" s="11"/>
      <c r="E185" s="10"/>
      <c r="F185" s="1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/>
      <c r="V185" s="11"/>
      <c r="W185" s="10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2.75" customHeight="1">
      <c r="A186" s="10"/>
      <c r="B186" s="11"/>
      <c r="C186" s="10"/>
      <c r="D186" s="11"/>
      <c r="E186" s="10"/>
      <c r="F186" s="1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/>
      <c r="V186" s="11"/>
      <c r="W186" s="10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2.75" customHeight="1">
      <c r="A187" s="10"/>
      <c r="B187" s="11"/>
      <c r="C187" s="10"/>
      <c r="D187" s="11"/>
      <c r="E187" s="10"/>
      <c r="F187" s="1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/>
      <c r="V187" s="11"/>
      <c r="W187" s="10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2.75" customHeight="1">
      <c r="A188" s="10"/>
      <c r="B188" s="11"/>
      <c r="C188" s="10"/>
      <c r="D188" s="11"/>
      <c r="E188" s="10"/>
      <c r="F188" s="1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/>
      <c r="V188" s="11"/>
      <c r="W188" s="10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2.75" customHeight="1">
      <c r="A189" s="10"/>
      <c r="B189" s="11"/>
      <c r="C189" s="10"/>
      <c r="D189" s="11"/>
      <c r="E189" s="10"/>
      <c r="F189" s="1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/>
      <c r="V189" s="11"/>
      <c r="W189" s="10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2.75" customHeight="1">
      <c r="A190" s="10"/>
      <c r="B190" s="11"/>
      <c r="C190" s="10"/>
      <c r="D190" s="11"/>
      <c r="E190" s="10"/>
      <c r="F190" s="1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/>
      <c r="V190" s="11"/>
      <c r="W190" s="10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2.75" customHeight="1">
      <c r="A191" s="10"/>
      <c r="B191" s="11"/>
      <c r="C191" s="10"/>
      <c r="D191" s="11"/>
      <c r="E191" s="10"/>
      <c r="F191" s="1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/>
      <c r="V191" s="11"/>
      <c r="W191" s="10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2.75" customHeight="1">
      <c r="A192" s="10"/>
      <c r="B192" s="11"/>
      <c r="C192" s="10"/>
      <c r="D192" s="11"/>
      <c r="E192" s="10"/>
      <c r="F192" s="1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/>
      <c r="V192" s="11"/>
      <c r="W192" s="10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2.75" customHeight="1">
      <c r="A193" s="10"/>
      <c r="B193" s="11"/>
      <c r="C193" s="10"/>
      <c r="D193" s="11"/>
      <c r="E193" s="10"/>
      <c r="F193" s="1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/>
      <c r="V193" s="11"/>
      <c r="W193" s="10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2.75" customHeight="1">
      <c r="A194" s="10"/>
      <c r="B194" s="11"/>
      <c r="C194" s="10"/>
      <c r="D194" s="11"/>
      <c r="E194" s="10"/>
      <c r="F194" s="1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/>
      <c r="V194" s="11"/>
      <c r="W194" s="10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2.75" customHeight="1">
      <c r="A195" s="10"/>
      <c r="B195" s="11"/>
      <c r="C195" s="10"/>
      <c r="D195" s="11"/>
      <c r="E195" s="10"/>
      <c r="F195" s="1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/>
      <c r="V195" s="11"/>
      <c r="W195" s="10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2.75" customHeight="1">
      <c r="A196" s="10"/>
      <c r="B196" s="11"/>
      <c r="C196" s="10"/>
      <c r="D196" s="11"/>
      <c r="E196" s="10"/>
      <c r="F196" s="1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/>
      <c r="V196" s="11"/>
      <c r="W196" s="10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2.75" customHeight="1">
      <c r="A197" s="10"/>
      <c r="B197" s="11"/>
      <c r="C197" s="10"/>
      <c r="D197" s="11"/>
      <c r="E197" s="10"/>
      <c r="F197" s="1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/>
      <c r="V197" s="11"/>
      <c r="W197" s="10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2.75" customHeight="1">
      <c r="A198" s="10"/>
      <c r="B198" s="11"/>
      <c r="C198" s="10"/>
      <c r="D198" s="11"/>
      <c r="E198" s="10"/>
      <c r="F198" s="1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/>
      <c r="V198" s="11"/>
      <c r="W198" s="10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2.75" customHeight="1">
      <c r="A199" s="10"/>
      <c r="B199" s="11"/>
      <c r="C199" s="10"/>
      <c r="D199" s="11"/>
      <c r="E199" s="10"/>
      <c r="F199" s="1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/>
      <c r="V199" s="11"/>
      <c r="W199" s="10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2.75" customHeight="1">
      <c r="A200" s="10"/>
      <c r="B200" s="11"/>
      <c r="C200" s="10"/>
      <c r="D200" s="11"/>
      <c r="E200" s="10"/>
      <c r="F200" s="1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/>
      <c r="V200" s="11"/>
      <c r="W200" s="10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2.75" customHeight="1">
      <c r="A201" s="10"/>
      <c r="B201" s="11"/>
      <c r="C201" s="10"/>
      <c r="D201" s="11"/>
      <c r="E201" s="10"/>
      <c r="F201" s="1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/>
      <c r="V201" s="11"/>
      <c r="W201" s="10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2.75" customHeight="1">
      <c r="A202" s="10"/>
      <c r="B202" s="11"/>
      <c r="C202" s="10"/>
      <c r="D202" s="11"/>
      <c r="E202" s="10"/>
      <c r="F202" s="1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/>
      <c r="V202" s="11"/>
      <c r="W202" s="10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2.75" customHeight="1">
      <c r="A203" s="10"/>
      <c r="B203" s="11"/>
      <c r="C203" s="10"/>
      <c r="D203" s="11"/>
      <c r="E203" s="10"/>
      <c r="F203" s="1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0"/>
      <c r="V203" s="11"/>
      <c r="W203" s="10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2.75" customHeight="1">
      <c r="A204" s="10"/>
      <c r="B204" s="11"/>
      <c r="C204" s="10"/>
      <c r="D204" s="11"/>
      <c r="E204" s="10"/>
      <c r="F204" s="1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0"/>
      <c r="V204" s="11"/>
      <c r="W204" s="10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2.75" customHeight="1">
      <c r="A205" s="10"/>
      <c r="B205" s="11"/>
      <c r="C205" s="10"/>
      <c r="D205" s="11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0"/>
      <c r="V205" s="11"/>
      <c r="W205" s="10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2.75" customHeight="1">
      <c r="A206" s="10"/>
      <c r="B206" s="11"/>
      <c r="C206" s="10"/>
      <c r="D206" s="11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0"/>
      <c r="V206" s="11"/>
      <c r="W206" s="10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2.75" customHeight="1">
      <c r="A207" s="10"/>
      <c r="B207" s="11"/>
      <c r="C207" s="10"/>
      <c r="D207" s="11"/>
      <c r="E207" s="10"/>
      <c r="F207" s="1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0"/>
      <c r="V207" s="11"/>
      <c r="W207" s="10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2.75" customHeight="1">
      <c r="A208" s="10"/>
      <c r="B208" s="11"/>
      <c r="C208" s="10"/>
      <c r="D208" s="11"/>
      <c r="E208" s="10"/>
      <c r="F208" s="1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0"/>
      <c r="V208" s="11"/>
      <c r="W208" s="10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2.75" customHeight="1">
      <c r="A209" s="10"/>
      <c r="B209" s="11"/>
      <c r="C209" s="10"/>
      <c r="D209" s="11"/>
      <c r="E209" s="10"/>
      <c r="F209" s="1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0"/>
      <c r="V209" s="11"/>
      <c r="W209" s="10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2.75" customHeight="1">
      <c r="A210" s="10"/>
      <c r="B210" s="11"/>
      <c r="C210" s="10"/>
      <c r="D210" s="11"/>
      <c r="E210" s="10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0"/>
      <c r="V210" s="11"/>
      <c r="W210" s="10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2.75" customHeight="1">
      <c r="A211" s="10"/>
      <c r="B211" s="11"/>
      <c r="C211" s="10"/>
      <c r="D211" s="11"/>
      <c r="E211" s="10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0"/>
      <c r="V211" s="11"/>
      <c r="W211" s="10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2.75" customHeight="1">
      <c r="A212" s="10"/>
      <c r="B212" s="11"/>
      <c r="C212" s="10"/>
      <c r="D212" s="11"/>
      <c r="E212" s="10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0"/>
      <c r="V212" s="11"/>
      <c r="W212" s="10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2.75" customHeight="1">
      <c r="A213" s="10"/>
      <c r="B213" s="11"/>
      <c r="C213" s="10"/>
      <c r="D213" s="11"/>
      <c r="E213" s="10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0"/>
      <c r="V213" s="11"/>
      <c r="W213" s="10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2.75" customHeight="1">
      <c r="A214" s="10"/>
      <c r="B214" s="11"/>
      <c r="C214" s="10"/>
      <c r="D214" s="11"/>
      <c r="E214" s="10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0"/>
      <c r="V214" s="11"/>
      <c r="W214" s="10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2.75" customHeight="1">
      <c r="A215" s="10"/>
      <c r="B215" s="11"/>
      <c r="C215" s="10"/>
      <c r="D215" s="11"/>
      <c r="E215" s="10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0"/>
      <c r="V215" s="11"/>
      <c r="W215" s="10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2.75" customHeight="1">
      <c r="A216" s="10"/>
      <c r="B216" s="11"/>
      <c r="C216" s="10"/>
      <c r="D216" s="11"/>
      <c r="E216" s="10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0"/>
      <c r="V216" s="11"/>
      <c r="W216" s="10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2.75" customHeight="1">
      <c r="A217" s="10"/>
      <c r="B217" s="11"/>
      <c r="C217" s="10"/>
      <c r="D217" s="11"/>
      <c r="E217" s="10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0"/>
      <c r="V217" s="11"/>
      <c r="W217" s="10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2.75" customHeight="1">
      <c r="A218" s="10"/>
      <c r="B218" s="11"/>
      <c r="C218" s="10"/>
      <c r="D218" s="11"/>
      <c r="E218" s="10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0"/>
      <c r="V218" s="11"/>
      <c r="W218" s="10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2.75" customHeight="1">
      <c r="A219" s="10"/>
      <c r="B219" s="11"/>
      <c r="C219" s="10"/>
      <c r="D219" s="11"/>
      <c r="E219" s="10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0"/>
      <c r="V219" s="11"/>
      <c r="W219" s="10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2.75" customHeight="1">
      <c r="A220" s="10"/>
      <c r="B220" s="11"/>
      <c r="C220" s="10"/>
      <c r="D220" s="11"/>
      <c r="E220" s="10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0"/>
      <c r="V220" s="11"/>
      <c r="W220" s="10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2.75" customHeight="1">
      <c r="A221" s="10"/>
      <c r="B221" s="11"/>
      <c r="C221" s="10"/>
      <c r="D221" s="11"/>
      <c r="E221" s="10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0"/>
      <c r="V221" s="11"/>
      <c r="W221" s="10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2.75" customHeight="1">
      <c r="A222" s="10"/>
      <c r="B222" s="11"/>
      <c r="C222" s="10"/>
      <c r="D222" s="11"/>
      <c r="E222" s="10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0"/>
      <c r="V222" s="11"/>
      <c r="W222" s="10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2.75" customHeight="1">
      <c r="A223" s="10"/>
      <c r="B223" s="11"/>
      <c r="C223" s="10"/>
      <c r="D223" s="11"/>
      <c r="E223" s="10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0"/>
      <c r="V223" s="11"/>
      <c r="W223" s="10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2.75" customHeight="1">
      <c r="A224" s="10"/>
      <c r="B224" s="11"/>
      <c r="C224" s="10"/>
      <c r="D224" s="11"/>
      <c r="E224" s="10"/>
      <c r="F224" s="1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0"/>
      <c r="V224" s="11"/>
      <c r="W224" s="10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2.75" customHeight="1">
      <c r="A225" s="10"/>
      <c r="B225" s="11"/>
      <c r="C225" s="10"/>
      <c r="D225" s="11"/>
      <c r="E225" s="10"/>
      <c r="F225" s="1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0"/>
      <c r="V225" s="11"/>
      <c r="W225" s="10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2.75" customHeight="1">
      <c r="A226" s="10"/>
      <c r="B226" s="11"/>
      <c r="C226" s="10"/>
      <c r="D226" s="11"/>
      <c r="E226" s="10"/>
      <c r="F226" s="1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0"/>
      <c r="V226" s="11"/>
      <c r="W226" s="10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2.75" customHeight="1">
      <c r="A227" s="10"/>
      <c r="B227" s="11"/>
      <c r="C227" s="10"/>
      <c r="D227" s="11"/>
      <c r="E227" s="10"/>
      <c r="F227" s="1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0"/>
      <c r="V227" s="11"/>
      <c r="W227" s="10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2.75" customHeight="1">
      <c r="A228" s="10"/>
      <c r="B228" s="11"/>
      <c r="C228" s="10"/>
      <c r="D228" s="11"/>
      <c r="E228" s="10"/>
      <c r="F228" s="1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0"/>
      <c r="V228" s="11"/>
      <c r="W228" s="10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2.75" customHeight="1">
      <c r="A229" s="10"/>
      <c r="B229" s="11"/>
      <c r="C229" s="10"/>
      <c r="D229" s="11"/>
      <c r="E229" s="10"/>
      <c r="F229" s="1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0"/>
      <c r="V229" s="11"/>
      <c r="W229" s="10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2.75" customHeight="1">
      <c r="A230" s="10"/>
      <c r="B230" s="11"/>
      <c r="C230" s="10"/>
      <c r="D230" s="11"/>
      <c r="E230" s="10"/>
      <c r="F230" s="1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0"/>
      <c r="V230" s="11"/>
      <c r="W230" s="10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2.75" customHeight="1">
      <c r="A231" s="10"/>
      <c r="B231" s="11"/>
      <c r="C231" s="10"/>
      <c r="D231" s="11"/>
      <c r="E231" s="10"/>
      <c r="F231" s="1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0"/>
      <c r="V231" s="11"/>
      <c r="W231" s="10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2.75" customHeight="1">
      <c r="A232" s="10"/>
      <c r="B232" s="11"/>
      <c r="C232" s="10"/>
      <c r="D232" s="11"/>
      <c r="E232" s="10"/>
      <c r="F232" s="1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0"/>
      <c r="V232" s="11"/>
      <c r="W232" s="10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2.75" customHeight="1">
      <c r="A233" s="10"/>
      <c r="B233" s="11"/>
      <c r="C233" s="10"/>
      <c r="D233" s="11"/>
      <c r="E233" s="10"/>
      <c r="F233" s="1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0"/>
      <c r="V233" s="11"/>
      <c r="W233" s="10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2.75" customHeight="1">
      <c r="A234" s="10"/>
      <c r="B234" s="11"/>
      <c r="C234" s="10"/>
      <c r="D234" s="11"/>
      <c r="E234" s="10"/>
      <c r="F234" s="1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0"/>
      <c r="V234" s="11"/>
      <c r="W234" s="10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2.75" customHeight="1">
      <c r="A235" s="10"/>
      <c r="B235" s="11"/>
      <c r="C235" s="10"/>
      <c r="D235" s="11"/>
      <c r="E235" s="10"/>
      <c r="F235" s="1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0"/>
      <c r="V235" s="11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2.75" customHeight="1">
      <c r="A236" s="10"/>
      <c r="B236" s="11"/>
      <c r="C236" s="10"/>
      <c r="D236" s="11"/>
      <c r="E236" s="10"/>
      <c r="F236" s="1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0"/>
      <c r="V236" s="11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2.75" customHeight="1">
      <c r="A237" s="10"/>
      <c r="B237" s="11"/>
      <c r="C237" s="10"/>
      <c r="D237" s="11"/>
      <c r="E237" s="10"/>
      <c r="F237" s="1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0"/>
      <c r="V237" s="11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2.75" customHeight="1">
      <c r="A238" s="10"/>
      <c r="B238" s="11"/>
      <c r="C238" s="10"/>
      <c r="D238" s="11"/>
      <c r="E238" s="10"/>
      <c r="F238" s="1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0"/>
      <c r="V238" s="11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2.75" customHeight="1">
      <c r="A239" s="10"/>
      <c r="B239" s="11"/>
      <c r="C239" s="10"/>
      <c r="D239" s="11"/>
      <c r="E239" s="10"/>
      <c r="F239" s="1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0"/>
      <c r="V239" s="11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2.75" customHeight="1">
      <c r="A240" s="10"/>
      <c r="B240" s="11"/>
      <c r="C240" s="10"/>
      <c r="D240" s="11"/>
      <c r="E240" s="10"/>
      <c r="F240" s="1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0"/>
      <c r="V240" s="11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2.75" customHeight="1">
      <c r="A241" s="10"/>
      <c r="B241" s="11"/>
      <c r="C241" s="10"/>
      <c r="D241" s="11"/>
      <c r="E241" s="10"/>
      <c r="F241" s="1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0"/>
      <c r="V241" s="11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2.75" customHeight="1">
      <c r="A242" s="10"/>
      <c r="B242" s="11"/>
      <c r="C242" s="10"/>
      <c r="D242" s="11"/>
      <c r="E242" s="10"/>
      <c r="F242" s="1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0"/>
      <c r="V242" s="11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2.75" customHeight="1">
      <c r="A243" s="10"/>
      <c r="B243" s="11"/>
      <c r="C243" s="10"/>
      <c r="D243" s="11"/>
      <c r="E243" s="10"/>
      <c r="F243" s="1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0"/>
      <c r="V243" s="11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2.75" customHeight="1">
      <c r="A244" s="10"/>
      <c r="B244" s="11"/>
      <c r="C244" s="10"/>
      <c r="D244" s="11"/>
      <c r="E244" s="10"/>
      <c r="F244" s="1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0"/>
      <c r="V244" s="11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2.75" customHeight="1">
      <c r="A245" s="10"/>
      <c r="B245" s="11"/>
      <c r="C245" s="10"/>
      <c r="D245" s="11"/>
      <c r="E245" s="10"/>
      <c r="F245" s="1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0"/>
      <c r="V245" s="11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2.75" customHeight="1">
      <c r="A246" s="10"/>
      <c r="B246" s="11"/>
      <c r="C246" s="10"/>
      <c r="D246" s="11"/>
      <c r="E246" s="10"/>
      <c r="F246" s="1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0"/>
      <c r="V246" s="11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2.75" customHeight="1">
      <c r="A247" s="10"/>
      <c r="B247" s="11"/>
      <c r="C247" s="10"/>
      <c r="D247" s="11"/>
      <c r="E247" s="10"/>
      <c r="F247" s="1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0"/>
      <c r="V247" s="11"/>
      <c r="W247" s="10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2.75" customHeight="1">
      <c r="A248" s="10"/>
      <c r="B248" s="11"/>
      <c r="C248" s="10"/>
      <c r="D248" s="11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0"/>
      <c r="V248" s="11"/>
      <c r="W248" s="10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2.75" customHeight="1">
      <c r="A249" s="10"/>
      <c r="B249" s="11"/>
      <c r="C249" s="10"/>
      <c r="D249" s="11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0"/>
      <c r="V249" s="11"/>
      <c r="W249" s="10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2.75" customHeight="1">
      <c r="A250" s="10"/>
      <c r="B250" s="11"/>
      <c r="C250" s="10"/>
      <c r="D250" s="11"/>
      <c r="E250" s="10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0"/>
      <c r="V250" s="11"/>
      <c r="W250" s="10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2.75" customHeight="1">
      <c r="A251" s="10"/>
      <c r="B251" s="11"/>
      <c r="C251" s="10"/>
      <c r="D251" s="11"/>
      <c r="E251" s="10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0"/>
      <c r="V251" s="11"/>
      <c r="W251" s="10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2.75" customHeight="1">
      <c r="A252" s="10"/>
      <c r="B252" s="11"/>
      <c r="C252" s="10"/>
      <c r="D252" s="11"/>
      <c r="E252" s="10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0"/>
      <c r="V252" s="11"/>
      <c r="W252" s="10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2.75" customHeight="1">
      <c r="A253" s="10"/>
      <c r="B253" s="11"/>
      <c r="C253" s="10"/>
      <c r="D253" s="11"/>
      <c r="E253" s="10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0"/>
      <c r="V253" s="11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2.75" customHeight="1">
      <c r="A254" s="10"/>
      <c r="B254" s="11"/>
      <c r="C254" s="10"/>
      <c r="D254" s="11"/>
      <c r="E254" s="10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0"/>
      <c r="V254" s="11"/>
      <c r="W254" s="10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2.75" customHeight="1">
      <c r="A255" s="10"/>
      <c r="B255" s="11"/>
      <c r="C255" s="10"/>
      <c r="D255" s="11"/>
      <c r="E255" s="10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0"/>
      <c r="V255" s="11"/>
      <c r="W255" s="10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2.75" customHeight="1">
      <c r="A256" s="10"/>
      <c r="B256" s="11"/>
      <c r="C256" s="10"/>
      <c r="D256" s="11"/>
      <c r="E256" s="10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0"/>
      <c r="V256" s="11"/>
      <c r="W256" s="10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2.75" customHeight="1">
      <c r="A257" s="10"/>
      <c r="B257" s="11"/>
      <c r="C257" s="10"/>
      <c r="D257" s="11"/>
      <c r="E257" s="10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0"/>
      <c r="V257" s="11"/>
      <c r="W257" s="10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2.75" customHeight="1">
      <c r="A258" s="10"/>
      <c r="B258" s="11"/>
      <c r="C258" s="10"/>
      <c r="D258" s="11"/>
      <c r="E258" s="10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0"/>
      <c r="V258" s="11"/>
      <c r="W258" s="10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2.75" customHeight="1">
      <c r="A259" s="10"/>
      <c r="B259" s="11"/>
      <c r="C259" s="10"/>
      <c r="D259" s="11"/>
      <c r="E259" s="10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0"/>
      <c r="V259" s="11"/>
      <c r="W259" s="10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2.75" customHeight="1">
      <c r="A260" s="10"/>
      <c r="B260" s="11"/>
      <c r="C260" s="10"/>
      <c r="D260" s="11"/>
      <c r="E260" s="10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0"/>
      <c r="V260" s="11"/>
      <c r="W260" s="10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2.75" customHeight="1">
      <c r="A261" s="10"/>
      <c r="B261" s="11"/>
      <c r="C261" s="10"/>
      <c r="D261" s="11"/>
      <c r="E261" s="10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0"/>
      <c r="V261" s="11"/>
      <c r="W261" s="10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2.75" customHeight="1">
      <c r="A262" s="10"/>
      <c r="B262" s="11"/>
      <c r="C262" s="10"/>
      <c r="D262" s="11"/>
      <c r="E262" s="10"/>
      <c r="F262" s="1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0"/>
      <c r="V262" s="11"/>
      <c r="W262" s="10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2.75" customHeight="1">
      <c r="A263" s="10"/>
      <c r="B263" s="11"/>
      <c r="C263" s="10"/>
      <c r="D263" s="11"/>
      <c r="E263" s="10"/>
      <c r="F263" s="1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0"/>
      <c r="V263" s="11"/>
      <c r="W263" s="10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2.75" customHeight="1">
      <c r="A264" s="10"/>
      <c r="B264" s="11"/>
      <c r="C264" s="10"/>
      <c r="D264" s="11"/>
      <c r="E264" s="10"/>
      <c r="F264" s="1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0"/>
      <c r="V264" s="11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2.75" customHeight="1">
      <c r="A265" s="10"/>
      <c r="B265" s="11"/>
      <c r="C265" s="10"/>
      <c r="D265" s="11"/>
      <c r="E265" s="10"/>
      <c r="F265" s="1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0"/>
      <c r="V265" s="11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2.75" customHeight="1">
      <c r="A266" s="10"/>
      <c r="B266" s="11"/>
      <c r="C266" s="10"/>
      <c r="D266" s="11"/>
      <c r="E266" s="10"/>
      <c r="F266" s="1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0"/>
      <c r="V266" s="11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2.75" customHeight="1">
      <c r="A267" s="10"/>
      <c r="B267" s="11"/>
      <c r="C267" s="10"/>
      <c r="D267" s="11"/>
      <c r="E267" s="10"/>
      <c r="F267" s="1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0"/>
      <c r="V267" s="11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2.75" customHeight="1">
      <c r="A268" s="10"/>
      <c r="B268" s="11"/>
      <c r="C268" s="10"/>
      <c r="D268" s="11"/>
      <c r="E268" s="10"/>
      <c r="F268" s="1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0"/>
      <c r="V268" s="11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2.75" customHeight="1">
      <c r="A269" s="10"/>
      <c r="B269" s="11"/>
      <c r="C269" s="10"/>
      <c r="D269" s="11"/>
      <c r="E269" s="10"/>
      <c r="F269" s="1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0"/>
      <c r="V269" s="11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2.75" customHeight="1">
      <c r="A270" s="10"/>
      <c r="B270" s="11"/>
      <c r="C270" s="10"/>
      <c r="D270" s="11"/>
      <c r="E270" s="10"/>
      <c r="F270" s="1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0"/>
      <c r="V270" s="11"/>
      <c r="W270" s="10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2.75" customHeight="1">
      <c r="A271" s="10"/>
      <c r="B271" s="11"/>
      <c r="C271" s="10"/>
      <c r="D271" s="11"/>
      <c r="E271" s="10"/>
      <c r="F271" s="1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0"/>
      <c r="V271" s="11"/>
      <c r="W271" s="10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2.75" customHeight="1">
      <c r="A272" s="10"/>
      <c r="B272" s="11"/>
      <c r="C272" s="10"/>
      <c r="D272" s="11"/>
      <c r="E272" s="10"/>
      <c r="F272" s="1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0"/>
      <c r="V272" s="11"/>
      <c r="W272" s="10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2.75" customHeight="1">
      <c r="A273" s="10"/>
      <c r="B273" s="11"/>
      <c r="C273" s="10"/>
      <c r="D273" s="11"/>
      <c r="E273" s="10"/>
      <c r="F273" s="1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0"/>
      <c r="V273" s="11"/>
      <c r="W273" s="10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2.75" customHeight="1">
      <c r="A274" s="10"/>
      <c r="B274" s="11"/>
      <c r="C274" s="10"/>
      <c r="D274" s="11"/>
      <c r="E274" s="10"/>
      <c r="F274" s="1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0"/>
      <c r="V274" s="11"/>
      <c r="W274" s="10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2.75" customHeight="1">
      <c r="A275" s="10"/>
      <c r="B275" s="11"/>
      <c r="C275" s="10"/>
      <c r="D275" s="11"/>
      <c r="E275" s="10"/>
      <c r="F275" s="1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0"/>
      <c r="V275" s="11"/>
      <c r="W275" s="10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2.75" customHeight="1">
      <c r="A276" s="10"/>
      <c r="B276" s="11"/>
      <c r="C276" s="10"/>
      <c r="D276" s="11"/>
      <c r="E276" s="10"/>
      <c r="F276" s="1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0"/>
      <c r="V276" s="11"/>
      <c r="W276" s="10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2.75" customHeight="1">
      <c r="A277" s="10"/>
      <c r="B277" s="11"/>
      <c r="C277" s="10"/>
      <c r="D277" s="11"/>
      <c r="E277" s="10"/>
      <c r="F277" s="1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0"/>
      <c r="V277" s="11"/>
      <c r="W277" s="10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2.75" customHeight="1">
      <c r="A278" s="10"/>
      <c r="B278" s="11"/>
      <c r="C278" s="10"/>
      <c r="D278" s="11"/>
      <c r="E278" s="10"/>
      <c r="F278" s="1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0"/>
      <c r="V278" s="11"/>
      <c r="W278" s="10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2.75" customHeight="1">
      <c r="A279" s="10"/>
      <c r="B279" s="11"/>
      <c r="C279" s="10"/>
      <c r="D279" s="11"/>
      <c r="E279" s="10"/>
      <c r="F279" s="1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0"/>
      <c r="V279" s="11"/>
      <c r="W279" s="10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2.75" customHeight="1">
      <c r="A280" s="10"/>
      <c r="B280" s="11"/>
      <c r="C280" s="10"/>
      <c r="D280" s="11"/>
      <c r="E280" s="10"/>
      <c r="F280" s="1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0"/>
      <c r="V280" s="11"/>
      <c r="W280" s="10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2.75" customHeight="1">
      <c r="A281" s="10"/>
      <c r="B281" s="11"/>
      <c r="C281" s="10"/>
      <c r="D281" s="11"/>
      <c r="E281" s="10"/>
      <c r="F281" s="1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0"/>
      <c r="V281" s="11"/>
      <c r="W281" s="10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2.75" customHeight="1">
      <c r="A282" s="10"/>
      <c r="B282" s="11"/>
      <c r="C282" s="10"/>
      <c r="D282" s="11"/>
      <c r="E282" s="10"/>
      <c r="F282" s="1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0"/>
      <c r="V282" s="11"/>
      <c r="W282" s="10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2.75" customHeight="1">
      <c r="A283" s="10"/>
      <c r="B283" s="11"/>
      <c r="C283" s="10"/>
      <c r="D283" s="11"/>
      <c r="E283" s="10"/>
      <c r="F283" s="1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0"/>
      <c r="V283" s="11"/>
      <c r="W283" s="10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2.75" customHeight="1">
      <c r="A284" s="10"/>
      <c r="B284" s="11"/>
      <c r="C284" s="10"/>
      <c r="D284" s="11"/>
      <c r="E284" s="10"/>
      <c r="F284" s="1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0"/>
      <c r="V284" s="11"/>
      <c r="W284" s="10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2.75" customHeight="1">
      <c r="A285" s="10"/>
      <c r="B285" s="11"/>
      <c r="C285" s="10"/>
      <c r="D285" s="11"/>
      <c r="E285" s="10"/>
      <c r="F285" s="1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0"/>
      <c r="V285" s="11"/>
      <c r="W285" s="10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2.75" customHeight="1">
      <c r="A286" s="10"/>
      <c r="B286" s="11"/>
      <c r="C286" s="10"/>
      <c r="D286" s="11"/>
      <c r="E286" s="10"/>
      <c r="F286" s="1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0"/>
      <c r="V286" s="11"/>
      <c r="W286" s="10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2.75" customHeight="1">
      <c r="A287" s="10"/>
      <c r="B287" s="11"/>
      <c r="C287" s="10"/>
      <c r="D287" s="11"/>
      <c r="E287" s="10"/>
      <c r="F287" s="1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0"/>
      <c r="V287" s="11"/>
      <c r="W287" s="10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2.75" customHeight="1">
      <c r="A288" s="10"/>
      <c r="B288" s="11"/>
      <c r="C288" s="10"/>
      <c r="D288" s="11"/>
      <c r="E288" s="10"/>
      <c r="F288" s="1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0"/>
      <c r="V288" s="11"/>
      <c r="W288" s="10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2.75" customHeight="1">
      <c r="A289" s="10"/>
      <c r="B289" s="11"/>
      <c r="C289" s="10"/>
      <c r="D289" s="11"/>
      <c r="E289" s="10"/>
      <c r="F289" s="1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0"/>
      <c r="V289" s="11"/>
      <c r="W289" s="10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2.75" customHeight="1">
      <c r="A290" s="10"/>
      <c r="B290" s="11"/>
      <c r="C290" s="10"/>
      <c r="D290" s="11"/>
      <c r="E290" s="10"/>
      <c r="F290" s="1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0"/>
      <c r="V290" s="11"/>
      <c r="W290" s="10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2.75" customHeight="1">
      <c r="A291" s="10"/>
      <c r="B291" s="11"/>
      <c r="C291" s="10"/>
      <c r="D291" s="11"/>
      <c r="E291" s="10"/>
      <c r="F291" s="1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0"/>
      <c r="V291" s="11"/>
      <c r="W291" s="10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2.75" customHeight="1">
      <c r="A292" s="10"/>
      <c r="B292" s="11"/>
      <c r="C292" s="10"/>
      <c r="D292" s="11"/>
      <c r="E292" s="10"/>
      <c r="F292" s="1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0"/>
      <c r="V292" s="11"/>
      <c r="W292" s="10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2.75" customHeight="1">
      <c r="A293" s="10"/>
      <c r="B293" s="11"/>
      <c r="C293" s="10"/>
      <c r="D293" s="11"/>
      <c r="E293" s="10"/>
      <c r="F293" s="1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0"/>
      <c r="V293" s="11"/>
      <c r="W293" s="10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2.75" customHeight="1">
      <c r="A294" s="10"/>
      <c r="B294" s="11"/>
      <c r="C294" s="10"/>
      <c r="D294" s="11"/>
      <c r="E294" s="10"/>
      <c r="F294" s="1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0"/>
      <c r="V294" s="11"/>
      <c r="W294" s="10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2.75" customHeight="1">
      <c r="A295" s="10"/>
      <c r="B295" s="11"/>
      <c r="C295" s="10"/>
      <c r="D295" s="11"/>
      <c r="E295" s="10"/>
      <c r="F295" s="1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0"/>
      <c r="V295" s="11"/>
      <c r="W295" s="10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2.75" customHeight="1">
      <c r="A296" s="10"/>
      <c r="B296" s="11"/>
      <c r="C296" s="10"/>
      <c r="D296" s="11"/>
      <c r="E296" s="10"/>
      <c r="F296" s="1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0"/>
      <c r="V296" s="11"/>
      <c r="W296" s="10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2.75" customHeight="1">
      <c r="A297" s="10"/>
      <c r="B297" s="11"/>
      <c r="C297" s="10"/>
      <c r="D297" s="11"/>
      <c r="E297" s="10"/>
      <c r="F297" s="1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0"/>
      <c r="V297" s="11"/>
      <c r="W297" s="10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2.75" customHeight="1">
      <c r="A298" s="10"/>
      <c r="B298" s="11"/>
      <c r="C298" s="10"/>
      <c r="D298" s="11"/>
      <c r="E298" s="10"/>
      <c r="F298" s="1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0"/>
      <c r="V298" s="11"/>
      <c r="W298" s="10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2.75" customHeight="1">
      <c r="A299" s="10"/>
      <c r="B299" s="11"/>
      <c r="C299" s="10"/>
      <c r="D299" s="11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0"/>
      <c r="V299" s="11"/>
      <c r="W299" s="10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2.75" customHeight="1">
      <c r="A300" s="10"/>
      <c r="B300" s="11"/>
      <c r="C300" s="10"/>
      <c r="D300" s="11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0"/>
      <c r="V300" s="11"/>
      <c r="W300" s="10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2.75" customHeight="1">
      <c r="A301" s="10"/>
      <c r="B301" s="11"/>
      <c r="C301" s="10"/>
      <c r="D301" s="11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0"/>
      <c r="V301" s="11"/>
      <c r="W301" s="10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2.75" customHeight="1">
      <c r="A302" s="10"/>
      <c r="B302" s="11"/>
      <c r="C302" s="10"/>
      <c r="D302" s="11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0"/>
      <c r="V302" s="11"/>
      <c r="W302" s="10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2.75" customHeight="1">
      <c r="A303" s="10"/>
      <c r="B303" s="11"/>
      <c r="C303" s="10"/>
      <c r="D303" s="11"/>
      <c r="E303" s="10"/>
      <c r="F303" s="1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0"/>
      <c r="V303" s="11"/>
      <c r="W303" s="10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2.75" customHeight="1">
      <c r="A304" s="10"/>
      <c r="B304" s="11"/>
      <c r="C304" s="10"/>
      <c r="D304" s="11"/>
      <c r="E304" s="10"/>
      <c r="F304" s="1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0"/>
      <c r="V304" s="11"/>
      <c r="W304" s="10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2.75" customHeight="1">
      <c r="A305" s="10"/>
      <c r="B305" s="11"/>
      <c r="C305" s="10"/>
      <c r="D305" s="11"/>
      <c r="E305" s="10"/>
      <c r="F305" s="1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0"/>
      <c r="V305" s="11"/>
      <c r="W305" s="10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2.75" customHeight="1">
      <c r="A306" s="10"/>
      <c r="B306" s="11"/>
      <c r="C306" s="10"/>
      <c r="D306" s="11"/>
      <c r="E306" s="10"/>
      <c r="F306" s="1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/>
      <c r="V306" s="11"/>
      <c r="W306" s="10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2.75" customHeight="1">
      <c r="A307" s="10"/>
      <c r="B307" s="11"/>
      <c r="C307" s="10"/>
      <c r="D307" s="11"/>
      <c r="E307" s="10"/>
      <c r="F307" s="1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0"/>
      <c r="V307" s="11"/>
      <c r="W307" s="10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2.75" customHeight="1">
      <c r="A308" s="10"/>
      <c r="B308" s="11"/>
      <c r="C308" s="10"/>
      <c r="D308" s="11"/>
      <c r="E308" s="10"/>
      <c r="F308" s="1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0"/>
      <c r="V308" s="11"/>
      <c r="W308" s="10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2.75" customHeight="1">
      <c r="A309" s="10"/>
      <c r="B309" s="11"/>
      <c r="C309" s="10"/>
      <c r="D309" s="11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0"/>
      <c r="V309" s="11"/>
      <c r="W309" s="10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2.75" customHeight="1">
      <c r="A310" s="10"/>
      <c r="B310" s="11"/>
      <c r="C310" s="10"/>
      <c r="D310" s="11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0"/>
      <c r="V310" s="11"/>
      <c r="W310" s="10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2.75" customHeight="1">
      <c r="A311" s="10"/>
      <c r="B311" s="11"/>
      <c r="C311" s="10"/>
      <c r="D311" s="11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0"/>
      <c r="V311" s="11"/>
      <c r="W311" s="10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2.75" customHeight="1">
      <c r="A312" s="10"/>
      <c r="B312" s="11"/>
      <c r="C312" s="10"/>
      <c r="D312" s="11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0"/>
      <c r="V312" s="11"/>
      <c r="W312" s="10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2.75" customHeight="1">
      <c r="A313" s="10"/>
      <c r="B313" s="11"/>
      <c r="C313" s="10"/>
      <c r="D313" s="11"/>
      <c r="E313" s="10"/>
      <c r="F313" s="1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0"/>
      <c r="V313" s="11"/>
      <c r="W313" s="10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2.75" customHeight="1">
      <c r="A314" s="10"/>
      <c r="B314" s="11"/>
      <c r="C314" s="10"/>
      <c r="D314" s="11"/>
      <c r="E314" s="10"/>
      <c r="F314" s="1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0"/>
      <c r="V314" s="11"/>
      <c r="W314" s="10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2.75" customHeight="1">
      <c r="A315" s="10"/>
      <c r="B315" s="11"/>
      <c r="C315" s="10"/>
      <c r="D315" s="11"/>
      <c r="E315" s="10"/>
      <c r="F315" s="1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0"/>
      <c r="V315" s="11"/>
      <c r="W315" s="10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2.75" customHeight="1">
      <c r="A316" s="10"/>
      <c r="B316" s="11"/>
      <c r="C316" s="10"/>
      <c r="D316" s="11"/>
      <c r="E316" s="10"/>
      <c r="F316" s="1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/>
      <c r="V316" s="11"/>
      <c r="W316" s="10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2.75" customHeight="1">
      <c r="A317" s="10"/>
      <c r="B317" s="11"/>
      <c r="C317" s="10"/>
      <c r="D317" s="11"/>
      <c r="E317" s="10"/>
      <c r="F317" s="1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0"/>
      <c r="V317" s="11"/>
      <c r="W317" s="10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2.75" customHeight="1">
      <c r="A318" s="10"/>
      <c r="B318" s="11"/>
      <c r="C318" s="10"/>
      <c r="D318" s="11"/>
      <c r="E318" s="10"/>
      <c r="F318" s="1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0"/>
      <c r="V318" s="11"/>
      <c r="W318" s="10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2.75" customHeight="1">
      <c r="A319" s="10"/>
      <c r="B319" s="11"/>
      <c r="C319" s="10"/>
      <c r="D319" s="11"/>
      <c r="E319" s="10"/>
      <c r="F319" s="1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0"/>
      <c r="V319" s="11"/>
      <c r="W319" s="10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2.75" customHeight="1">
      <c r="A320" s="10"/>
      <c r="B320" s="11"/>
      <c r="C320" s="10"/>
      <c r="D320" s="11"/>
      <c r="E320" s="10"/>
      <c r="F320" s="1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0"/>
      <c r="V320" s="11"/>
      <c r="W320" s="10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2.75" customHeight="1">
      <c r="A321" s="10"/>
      <c r="B321" s="11"/>
      <c r="C321" s="10"/>
      <c r="D321" s="11"/>
      <c r="E321" s="10"/>
      <c r="F321" s="1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0"/>
      <c r="V321" s="11"/>
      <c r="W321" s="10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2.75" customHeight="1">
      <c r="A322" s="10"/>
      <c r="B322" s="11"/>
      <c r="C322" s="10"/>
      <c r="D322" s="11"/>
      <c r="E322" s="10"/>
      <c r="F322" s="1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0"/>
      <c r="V322" s="11"/>
      <c r="W322" s="10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2.75" customHeight="1">
      <c r="A323" s="10"/>
      <c r="B323" s="11"/>
      <c r="C323" s="10"/>
      <c r="D323" s="11"/>
      <c r="E323" s="10"/>
      <c r="F323" s="1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0"/>
      <c r="V323" s="11"/>
      <c r="W323" s="10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2.75" customHeight="1">
      <c r="A324" s="10"/>
      <c r="B324" s="11"/>
      <c r="C324" s="10"/>
      <c r="D324" s="11"/>
      <c r="E324" s="10"/>
      <c r="F324" s="1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0"/>
      <c r="V324" s="11"/>
      <c r="W324" s="10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2.75" customHeight="1">
      <c r="A325" s="10"/>
      <c r="B325" s="11"/>
      <c r="C325" s="10"/>
      <c r="D325" s="11"/>
      <c r="E325" s="10"/>
      <c r="F325" s="1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0"/>
      <c r="V325" s="11"/>
      <c r="W325" s="10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2.75" customHeight="1">
      <c r="A326" s="10"/>
      <c r="B326" s="11"/>
      <c r="C326" s="10"/>
      <c r="D326" s="11"/>
      <c r="E326" s="10"/>
      <c r="F326" s="1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0"/>
      <c r="V326" s="11"/>
      <c r="W326" s="10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2.75" customHeight="1">
      <c r="A327" s="10"/>
      <c r="B327" s="11"/>
      <c r="C327" s="10"/>
      <c r="D327" s="11"/>
      <c r="E327" s="10"/>
      <c r="F327" s="1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0"/>
      <c r="V327" s="11"/>
      <c r="W327" s="10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2.75" customHeight="1">
      <c r="A328" s="10"/>
      <c r="B328" s="11"/>
      <c r="C328" s="10"/>
      <c r="D328" s="11"/>
      <c r="E328" s="10"/>
      <c r="F328" s="1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0"/>
      <c r="V328" s="11"/>
      <c r="W328" s="10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2.75" customHeight="1">
      <c r="A329" s="10"/>
      <c r="B329" s="11"/>
      <c r="C329" s="10"/>
      <c r="D329" s="11"/>
      <c r="E329" s="10"/>
      <c r="F329" s="1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0"/>
      <c r="V329" s="11"/>
      <c r="W329" s="10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2.75" customHeight="1">
      <c r="A330" s="10"/>
      <c r="B330" s="11"/>
      <c r="C330" s="10"/>
      <c r="D330" s="11"/>
      <c r="E330" s="10"/>
      <c r="F330" s="1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0"/>
      <c r="V330" s="11"/>
      <c r="W330" s="10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2.75" customHeight="1">
      <c r="A331" s="10"/>
      <c r="B331" s="11"/>
      <c r="C331" s="10"/>
      <c r="D331" s="11"/>
      <c r="E331" s="10"/>
      <c r="F331" s="1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0"/>
      <c r="V331" s="11"/>
      <c r="W331" s="10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2.75" customHeight="1">
      <c r="A332" s="10"/>
      <c r="B332" s="11"/>
      <c r="C332" s="10"/>
      <c r="D332" s="11"/>
      <c r="E332" s="10"/>
      <c r="F332" s="1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0"/>
      <c r="V332" s="11"/>
      <c r="W332" s="10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2.75" customHeight="1">
      <c r="A333" s="10"/>
      <c r="B333" s="11"/>
      <c r="C333" s="10"/>
      <c r="D333" s="11"/>
      <c r="E333" s="10"/>
      <c r="F333" s="1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0"/>
      <c r="V333" s="11"/>
      <c r="W333" s="10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2.75" customHeight="1">
      <c r="A334" s="10"/>
      <c r="B334" s="11"/>
      <c r="C334" s="10"/>
      <c r="D334" s="11"/>
      <c r="E334" s="10"/>
      <c r="F334" s="1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0"/>
      <c r="V334" s="11"/>
      <c r="W334" s="10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2.75" customHeight="1">
      <c r="A335" s="10"/>
      <c r="B335" s="11"/>
      <c r="C335" s="10"/>
      <c r="D335" s="11"/>
      <c r="E335" s="10"/>
      <c r="F335" s="1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0"/>
      <c r="V335" s="11"/>
      <c r="W335" s="10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2.75" customHeight="1">
      <c r="A336" s="10"/>
      <c r="B336" s="11"/>
      <c r="C336" s="10"/>
      <c r="D336" s="11"/>
      <c r="E336" s="10"/>
      <c r="F336" s="1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0"/>
      <c r="V336" s="11"/>
      <c r="W336" s="10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2.75" customHeight="1">
      <c r="A337" s="10"/>
      <c r="B337" s="11"/>
      <c r="C337" s="10"/>
      <c r="D337" s="11"/>
      <c r="E337" s="10"/>
      <c r="F337" s="1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0"/>
      <c r="V337" s="11"/>
      <c r="W337" s="10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2.75" customHeight="1">
      <c r="A338" s="10"/>
      <c r="B338" s="11"/>
      <c r="C338" s="10"/>
      <c r="D338" s="11"/>
      <c r="E338" s="10"/>
      <c r="F338" s="1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0"/>
      <c r="V338" s="11"/>
      <c r="W338" s="10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2.75" customHeight="1">
      <c r="A339" s="10"/>
      <c r="B339" s="11"/>
      <c r="C339" s="10"/>
      <c r="D339" s="11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0"/>
      <c r="V339" s="11"/>
      <c r="W339" s="10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2.75" customHeight="1">
      <c r="A340" s="10"/>
      <c r="B340" s="11"/>
      <c r="C340" s="10"/>
      <c r="D340" s="11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0"/>
      <c r="V340" s="11"/>
      <c r="W340" s="10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2.75" customHeight="1">
      <c r="A341" s="10"/>
      <c r="B341" s="11"/>
      <c r="C341" s="10"/>
      <c r="D341" s="11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0"/>
      <c r="V341" s="11"/>
      <c r="W341" s="10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2.75" customHeight="1">
      <c r="A342" s="10"/>
      <c r="B342" s="11"/>
      <c r="C342" s="10"/>
      <c r="D342" s="11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0"/>
      <c r="V342" s="11"/>
      <c r="W342" s="10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2.75" customHeight="1">
      <c r="A343" s="10"/>
      <c r="B343" s="11"/>
      <c r="C343" s="10"/>
      <c r="D343" s="11"/>
      <c r="E343" s="10"/>
      <c r="F343" s="1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0"/>
      <c r="V343" s="11"/>
      <c r="W343" s="10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2.75" customHeight="1">
      <c r="A344" s="10"/>
      <c r="B344" s="11"/>
      <c r="C344" s="10"/>
      <c r="D344" s="11"/>
      <c r="E344" s="10"/>
      <c r="F344" s="1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0"/>
      <c r="V344" s="11"/>
      <c r="W344" s="10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2.75" customHeight="1">
      <c r="A345" s="10"/>
      <c r="B345" s="11"/>
      <c r="C345" s="10"/>
      <c r="D345" s="11"/>
      <c r="E345" s="10"/>
      <c r="F345" s="1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0"/>
      <c r="V345" s="11"/>
      <c r="W345" s="10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2.75" customHeight="1">
      <c r="A346" s="10"/>
      <c r="B346" s="11"/>
      <c r="C346" s="10"/>
      <c r="D346" s="11"/>
      <c r="E346" s="10"/>
      <c r="F346" s="1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0"/>
      <c r="V346" s="11"/>
      <c r="W346" s="10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2.75" customHeight="1">
      <c r="A347" s="10"/>
      <c r="B347" s="11"/>
      <c r="C347" s="10"/>
      <c r="D347" s="11"/>
      <c r="E347" s="10"/>
      <c r="F347" s="1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0"/>
      <c r="V347" s="11"/>
      <c r="W347" s="10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2.75" customHeight="1">
      <c r="A348" s="10"/>
      <c r="B348" s="11"/>
      <c r="C348" s="10"/>
      <c r="D348" s="11"/>
      <c r="E348" s="10"/>
      <c r="F348" s="1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0"/>
      <c r="V348" s="11"/>
      <c r="W348" s="10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2.75" customHeight="1">
      <c r="A349" s="10"/>
      <c r="B349" s="11"/>
      <c r="C349" s="10"/>
      <c r="D349" s="11"/>
      <c r="E349" s="10"/>
      <c r="F349" s="1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0"/>
      <c r="V349" s="11"/>
      <c r="W349" s="10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2.75" customHeight="1">
      <c r="A350" s="10"/>
      <c r="B350" s="11"/>
      <c r="C350" s="10"/>
      <c r="D350" s="11"/>
      <c r="E350" s="10"/>
      <c r="F350" s="1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0"/>
      <c r="V350" s="11"/>
      <c r="W350" s="10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2.75" customHeight="1">
      <c r="A351" s="10"/>
      <c r="B351" s="11"/>
      <c r="C351" s="10"/>
      <c r="D351" s="11"/>
      <c r="E351" s="10"/>
      <c r="F351" s="1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0"/>
      <c r="V351" s="11"/>
      <c r="W351" s="10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2.75" customHeight="1">
      <c r="A352" s="10"/>
      <c r="B352" s="11"/>
      <c r="C352" s="10"/>
      <c r="D352" s="11"/>
      <c r="E352" s="10"/>
      <c r="F352" s="1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0"/>
      <c r="V352" s="11"/>
      <c r="W352" s="10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2.75" customHeight="1">
      <c r="A353" s="10"/>
      <c r="B353" s="11"/>
      <c r="C353" s="10"/>
      <c r="D353" s="11"/>
      <c r="E353" s="10"/>
      <c r="F353" s="1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0"/>
      <c r="V353" s="11"/>
      <c r="W353" s="10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2.75" customHeight="1">
      <c r="A354" s="10"/>
      <c r="B354" s="11"/>
      <c r="C354" s="10"/>
      <c r="D354" s="11"/>
      <c r="E354" s="10"/>
      <c r="F354" s="1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0"/>
      <c r="V354" s="11"/>
      <c r="W354" s="10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2.75" customHeight="1">
      <c r="A355" s="10"/>
      <c r="B355" s="11"/>
      <c r="C355" s="10"/>
      <c r="D355" s="11"/>
      <c r="E355" s="10"/>
      <c r="F355" s="1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0"/>
      <c r="V355" s="11"/>
      <c r="W355" s="10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2.75" customHeight="1">
      <c r="A356" s="10"/>
      <c r="B356" s="11"/>
      <c r="C356" s="10"/>
      <c r="D356" s="11"/>
      <c r="E356" s="10"/>
      <c r="F356" s="1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0"/>
      <c r="V356" s="11"/>
      <c r="W356" s="10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2.75" customHeight="1">
      <c r="A357" s="10"/>
      <c r="B357" s="11"/>
      <c r="C357" s="10"/>
      <c r="D357" s="11"/>
      <c r="E357" s="10"/>
      <c r="F357" s="1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0"/>
      <c r="V357" s="11"/>
      <c r="W357" s="10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2.75" customHeight="1">
      <c r="A358" s="10"/>
      <c r="B358" s="11"/>
      <c r="C358" s="10"/>
      <c r="D358" s="11"/>
      <c r="E358" s="10"/>
      <c r="F358" s="1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0"/>
      <c r="V358" s="11"/>
      <c r="W358" s="10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2.75" customHeight="1">
      <c r="A359" s="10"/>
      <c r="B359" s="11"/>
      <c r="C359" s="10"/>
      <c r="D359" s="11"/>
      <c r="E359" s="10"/>
      <c r="F359" s="1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0"/>
      <c r="V359" s="11"/>
      <c r="W359" s="10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2.75" customHeight="1">
      <c r="A360" s="10"/>
      <c r="B360" s="11"/>
      <c r="C360" s="10"/>
      <c r="D360" s="11"/>
      <c r="E360" s="10"/>
      <c r="F360" s="1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0"/>
      <c r="V360" s="11"/>
      <c r="W360" s="10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2.75" customHeight="1">
      <c r="A361" s="10"/>
      <c r="B361" s="11"/>
      <c r="C361" s="10"/>
      <c r="D361" s="11"/>
      <c r="E361" s="10"/>
      <c r="F361" s="1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0"/>
      <c r="V361" s="11"/>
      <c r="W361" s="10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2.75" customHeight="1">
      <c r="A362" s="10"/>
      <c r="B362" s="11"/>
      <c r="C362" s="10"/>
      <c r="D362" s="11"/>
      <c r="E362" s="10"/>
      <c r="F362" s="1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0"/>
      <c r="V362" s="11"/>
      <c r="W362" s="10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2.75" customHeight="1">
      <c r="A363" s="10"/>
      <c r="B363" s="11"/>
      <c r="C363" s="10"/>
      <c r="D363" s="11"/>
      <c r="E363" s="10"/>
      <c r="F363" s="1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0"/>
      <c r="V363" s="11"/>
      <c r="W363" s="10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2.75" customHeight="1">
      <c r="A364" s="10"/>
      <c r="B364" s="11"/>
      <c r="C364" s="10"/>
      <c r="D364" s="11"/>
      <c r="E364" s="10"/>
      <c r="F364" s="1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0"/>
      <c r="V364" s="11"/>
      <c r="W364" s="10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2.75" customHeight="1">
      <c r="A365" s="10"/>
      <c r="B365" s="11"/>
      <c r="C365" s="10"/>
      <c r="D365" s="11"/>
      <c r="E365" s="10"/>
      <c r="F365" s="1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0"/>
      <c r="V365" s="11"/>
      <c r="W365" s="10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2.75" customHeight="1">
      <c r="A366" s="10"/>
      <c r="B366" s="11"/>
      <c r="C366" s="10"/>
      <c r="D366" s="11"/>
      <c r="E366" s="10"/>
      <c r="F366" s="1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0"/>
      <c r="V366" s="11"/>
      <c r="W366" s="10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2.75" customHeight="1">
      <c r="A367" s="10"/>
      <c r="B367" s="11"/>
      <c r="C367" s="10"/>
      <c r="D367" s="11"/>
      <c r="E367" s="10"/>
      <c r="F367" s="1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0"/>
      <c r="V367" s="11"/>
      <c r="W367" s="10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2.75" customHeight="1">
      <c r="A368" s="10"/>
      <c r="B368" s="11"/>
      <c r="C368" s="10"/>
      <c r="D368" s="11"/>
      <c r="E368" s="10"/>
      <c r="F368" s="1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0"/>
      <c r="V368" s="11"/>
      <c r="W368" s="10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2.75" customHeight="1">
      <c r="A369" s="10"/>
      <c r="B369" s="11"/>
      <c r="C369" s="10"/>
      <c r="D369" s="11"/>
      <c r="E369" s="10"/>
      <c r="F369" s="1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0"/>
      <c r="V369" s="11"/>
      <c r="W369" s="10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2.75" customHeight="1">
      <c r="A370" s="10"/>
      <c r="B370" s="11"/>
      <c r="C370" s="10"/>
      <c r="D370" s="11"/>
      <c r="E370" s="10"/>
      <c r="F370" s="1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0"/>
      <c r="V370" s="11"/>
      <c r="W370" s="10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2.75" customHeight="1">
      <c r="A371" s="10"/>
      <c r="B371" s="11"/>
      <c r="C371" s="10"/>
      <c r="D371" s="11"/>
      <c r="E371" s="10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0"/>
      <c r="V371" s="11"/>
      <c r="W371" s="10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2.75" customHeight="1">
      <c r="A372" s="10"/>
      <c r="B372" s="11"/>
      <c r="C372" s="10"/>
      <c r="D372" s="11"/>
      <c r="E372" s="10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0"/>
      <c r="V372" s="11"/>
      <c r="W372" s="10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2.75" customHeight="1">
      <c r="A373" s="10"/>
      <c r="B373" s="11"/>
      <c r="C373" s="10"/>
      <c r="D373" s="11"/>
      <c r="E373" s="10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0"/>
      <c r="V373" s="11"/>
      <c r="W373" s="10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2.75" customHeight="1">
      <c r="A374" s="10"/>
      <c r="B374" s="11"/>
      <c r="C374" s="10"/>
      <c r="D374" s="11"/>
      <c r="E374" s="10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0"/>
      <c r="V374" s="11"/>
      <c r="W374" s="10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2.75" customHeight="1">
      <c r="A375" s="10"/>
      <c r="B375" s="11"/>
      <c r="C375" s="10"/>
      <c r="D375" s="11"/>
      <c r="E375" s="10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0"/>
      <c r="V375" s="11"/>
      <c r="W375" s="10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2.75" customHeight="1">
      <c r="A376" s="10"/>
      <c r="B376" s="11"/>
      <c r="C376" s="10"/>
      <c r="D376" s="11"/>
      <c r="E376" s="10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0"/>
      <c r="V376" s="11"/>
      <c r="W376" s="10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2.75" customHeight="1">
      <c r="A377" s="10"/>
      <c r="B377" s="11"/>
      <c r="C377" s="10"/>
      <c r="D377" s="11"/>
      <c r="E377" s="10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0"/>
      <c r="V377" s="11"/>
      <c r="W377" s="10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2.75" customHeight="1">
      <c r="A378" s="10"/>
      <c r="B378" s="11"/>
      <c r="C378" s="10"/>
      <c r="D378" s="11"/>
      <c r="E378" s="10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0"/>
      <c r="V378" s="11"/>
      <c r="W378" s="10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2.75" customHeight="1">
      <c r="A379" s="10"/>
      <c r="B379" s="11"/>
      <c r="C379" s="10"/>
      <c r="D379" s="11"/>
      <c r="E379" s="10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0"/>
      <c r="V379" s="11"/>
      <c r="W379" s="10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2.75" customHeight="1">
      <c r="A380" s="10"/>
      <c r="B380" s="11"/>
      <c r="C380" s="10"/>
      <c r="D380" s="11"/>
      <c r="E380" s="10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0"/>
      <c r="V380" s="11"/>
      <c r="W380" s="10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2.75" customHeight="1">
      <c r="A381" s="10"/>
      <c r="B381" s="11"/>
      <c r="C381" s="10"/>
      <c r="D381" s="11"/>
      <c r="E381" s="10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0"/>
      <c r="V381" s="11"/>
      <c r="W381" s="10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2.75" customHeight="1">
      <c r="A382" s="10"/>
      <c r="B382" s="11"/>
      <c r="C382" s="10"/>
      <c r="D382" s="11"/>
      <c r="E382" s="10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0"/>
      <c r="V382" s="11"/>
      <c r="W382" s="10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2.75" customHeight="1">
      <c r="A383" s="10"/>
      <c r="B383" s="11"/>
      <c r="C383" s="10"/>
      <c r="D383" s="11"/>
      <c r="E383" s="10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0"/>
      <c r="V383" s="11"/>
      <c r="W383" s="10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2.75" customHeight="1">
      <c r="A384" s="10"/>
      <c r="B384" s="11"/>
      <c r="C384" s="10"/>
      <c r="D384" s="11"/>
      <c r="E384" s="10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0"/>
      <c r="V384" s="11"/>
      <c r="W384" s="10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2.75" customHeight="1">
      <c r="A385" s="10"/>
      <c r="B385" s="11"/>
      <c r="C385" s="10"/>
      <c r="D385" s="11"/>
      <c r="E385" s="10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0"/>
      <c r="V385" s="11"/>
      <c r="W385" s="10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2.75" customHeight="1">
      <c r="A386" s="10"/>
      <c r="B386" s="11"/>
      <c r="C386" s="10"/>
      <c r="D386" s="11"/>
      <c r="E386" s="10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0"/>
      <c r="V386" s="11"/>
      <c r="W386" s="10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2.75" customHeight="1">
      <c r="A387" s="10"/>
      <c r="B387" s="11"/>
      <c r="C387" s="10"/>
      <c r="D387" s="11"/>
      <c r="E387" s="10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0"/>
      <c r="V387" s="11"/>
      <c r="W387" s="10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2.75" customHeight="1">
      <c r="A388" s="10"/>
      <c r="B388" s="11"/>
      <c r="C388" s="10"/>
      <c r="D388" s="11"/>
      <c r="E388" s="10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0"/>
      <c r="V388" s="11"/>
      <c r="W388" s="10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2.75" customHeight="1">
      <c r="A389" s="10"/>
      <c r="B389" s="11"/>
      <c r="C389" s="10"/>
      <c r="D389" s="11"/>
      <c r="E389" s="10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0"/>
      <c r="V389" s="11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2.75" customHeight="1">
      <c r="A390" s="10"/>
      <c r="B390" s="11"/>
      <c r="C390" s="10"/>
      <c r="D390" s="11"/>
      <c r="E390" s="10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0"/>
      <c r="V390" s="11"/>
      <c r="W390" s="10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2.75" customHeight="1">
      <c r="A391" s="10"/>
      <c r="B391" s="11"/>
      <c r="C391" s="10"/>
      <c r="D391" s="11"/>
      <c r="E391" s="10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0"/>
      <c r="V391" s="11"/>
      <c r="W391" s="10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2.75" customHeight="1">
      <c r="A392" s="10"/>
      <c r="B392" s="11"/>
      <c r="C392" s="10"/>
      <c r="D392" s="11"/>
      <c r="E392" s="10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0"/>
      <c r="V392" s="11"/>
      <c r="W392" s="10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2.75" customHeight="1">
      <c r="A393" s="10"/>
      <c r="B393" s="11"/>
      <c r="C393" s="10"/>
      <c r="D393" s="11"/>
      <c r="E393" s="10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0"/>
      <c r="V393" s="11"/>
      <c r="W393" s="10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2.75" customHeight="1">
      <c r="A394" s="10"/>
      <c r="B394" s="11"/>
      <c r="C394" s="10"/>
      <c r="D394" s="11"/>
      <c r="E394" s="10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0"/>
      <c r="V394" s="11"/>
      <c r="W394" s="10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2.75" customHeight="1">
      <c r="A395" s="10"/>
      <c r="B395" s="11"/>
      <c r="C395" s="10"/>
      <c r="D395" s="11"/>
      <c r="E395" s="10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0"/>
      <c r="V395" s="11"/>
      <c r="W395" s="10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2.75" customHeight="1">
      <c r="A396" s="10"/>
      <c r="B396" s="11"/>
      <c r="C396" s="10"/>
      <c r="D396" s="11"/>
      <c r="E396" s="10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0"/>
      <c r="V396" s="11"/>
      <c r="W396" s="10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2.75" customHeight="1">
      <c r="A397" s="10"/>
      <c r="B397" s="11"/>
      <c r="C397" s="10"/>
      <c r="D397" s="11"/>
      <c r="E397" s="10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0"/>
      <c r="V397" s="11"/>
      <c r="W397" s="10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2.75" customHeight="1">
      <c r="A398" s="10"/>
      <c r="B398" s="11"/>
      <c r="C398" s="10"/>
      <c r="D398" s="11"/>
      <c r="E398" s="10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0"/>
      <c r="V398" s="11"/>
      <c r="W398" s="10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2.75" customHeight="1">
      <c r="A399" s="10"/>
      <c r="B399" s="11"/>
      <c r="C399" s="10"/>
      <c r="D399" s="11"/>
      <c r="E399" s="10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0"/>
      <c r="V399" s="11"/>
      <c r="W399" s="10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2.75" customHeight="1">
      <c r="A400" s="10"/>
      <c r="B400" s="11"/>
      <c r="C400" s="10"/>
      <c r="D400" s="11"/>
      <c r="E400" s="10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0"/>
      <c r="V400" s="11"/>
      <c r="W400" s="10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2.75" customHeight="1">
      <c r="A401" s="10"/>
      <c r="B401" s="11"/>
      <c r="C401" s="10"/>
      <c r="D401" s="11"/>
      <c r="E401" s="10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0"/>
      <c r="V401" s="11"/>
      <c r="W401" s="10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2.75" customHeight="1">
      <c r="A402" s="10"/>
      <c r="B402" s="11"/>
      <c r="C402" s="10"/>
      <c r="D402" s="11"/>
      <c r="E402" s="10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0"/>
      <c r="V402" s="11"/>
      <c r="W402" s="10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2.75" customHeight="1">
      <c r="A403" s="10"/>
      <c r="B403" s="11"/>
      <c r="C403" s="10"/>
      <c r="D403" s="11"/>
      <c r="E403" s="10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0"/>
      <c r="V403" s="11"/>
      <c r="W403" s="10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2.75" customHeight="1">
      <c r="A404" s="10"/>
      <c r="B404" s="11"/>
      <c r="C404" s="10"/>
      <c r="D404" s="11"/>
      <c r="E404" s="10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0"/>
      <c r="V404" s="11"/>
      <c r="W404" s="10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2.75" customHeight="1">
      <c r="A405" s="10"/>
      <c r="B405" s="11"/>
      <c r="C405" s="10"/>
      <c r="D405" s="11"/>
      <c r="E405" s="10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0"/>
      <c r="V405" s="11"/>
      <c r="W405" s="10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2.75" customHeight="1">
      <c r="A406" s="10"/>
      <c r="B406" s="11"/>
      <c r="C406" s="10"/>
      <c r="D406" s="11"/>
      <c r="E406" s="10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0"/>
      <c r="V406" s="11"/>
      <c r="W406" s="10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2.75" customHeight="1">
      <c r="A407" s="10"/>
      <c r="B407" s="11"/>
      <c r="C407" s="10"/>
      <c r="D407" s="11"/>
      <c r="E407" s="10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0"/>
      <c r="V407" s="11"/>
      <c r="W407" s="10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2.75" customHeight="1">
      <c r="A408" s="10"/>
      <c r="B408" s="11"/>
      <c r="C408" s="10"/>
      <c r="D408" s="11"/>
      <c r="E408" s="10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0"/>
      <c r="V408" s="11"/>
      <c r="W408" s="10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2.75" customHeight="1">
      <c r="A409" s="10"/>
      <c r="B409" s="11"/>
      <c r="C409" s="10"/>
      <c r="D409" s="11"/>
      <c r="E409" s="10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0"/>
      <c r="V409" s="11"/>
      <c r="W409" s="10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2.75" customHeight="1">
      <c r="A410" s="10"/>
      <c r="B410" s="11"/>
      <c r="C410" s="10"/>
      <c r="D410" s="11"/>
      <c r="E410" s="10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0"/>
      <c r="V410" s="11"/>
      <c r="W410" s="10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2.75" customHeight="1">
      <c r="A411" s="10"/>
      <c r="B411" s="11"/>
      <c r="C411" s="10"/>
      <c r="D411" s="11"/>
      <c r="E411" s="10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0"/>
      <c r="V411" s="11"/>
      <c r="W411" s="10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2.75" customHeight="1">
      <c r="A412" s="10"/>
      <c r="B412" s="11"/>
      <c r="C412" s="10"/>
      <c r="D412" s="11"/>
      <c r="E412" s="10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0"/>
      <c r="V412" s="11"/>
      <c r="W412" s="10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2.75" customHeight="1">
      <c r="A413" s="10"/>
      <c r="B413" s="11"/>
      <c r="C413" s="10"/>
      <c r="D413" s="11"/>
      <c r="E413" s="10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0"/>
      <c r="V413" s="11"/>
      <c r="W413" s="10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2.75" customHeight="1">
      <c r="A414" s="10"/>
      <c r="B414" s="11"/>
      <c r="C414" s="10"/>
      <c r="D414" s="11"/>
      <c r="E414" s="10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0"/>
      <c r="V414" s="11"/>
      <c r="W414" s="10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2.75" customHeight="1">
      <c r="A415" s="10"/>
      <c r="B415" s="11"/>
      <c r="C415" s="10"/>
      <c r="D415" s="11"/>
      <c r="E415" s="10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0"/>
      <c r="V415" s="11"/>
      <c r="W415" s="10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2.75" customHeight="1">
      <c r="A416" s="10"/>
      <c r="B416" s="11"/>
      <c r="C416" s="10"/>
      <c r="D416" s="11"/>
      <c r="E416" s="10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0"/>
      <c r="V416" s="11"/>
      <c r="W416" s="10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2.75" customHeight="1">
      <c r="A417" s="10"/>
      <c r="B417" s="11"/>
      <c r="C417" s="10"/>
      <c r="D417" s="11"/>
      <c r="E417" s="10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0"/>
      <c r="V417" s="11"/>
      <c r="W417" s="10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2.75" customHeight="1">
      <c r="A418" s="10"/>
      <c r="B418" s="11"/>
      <c r="C418" s="10"/>
      <c r="D418" s="11"/>
      <c r="E418" s="10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0"/>
      <c r="V418" s="11"/>
      <c r="W418" s="10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2.75" customHeight="1">
      <c r="A419" s="10"/>
      <c r="B419" s="11"/>
      <c r="C419" s="10"/>
      <c r="D419" s="11"/>
      <c r="E419" s="10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0"/>
      <c r="V419" s="11"/>
      <c r="W419" s="10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2.75" customHeight="1">
      <c r="A420" s="10"/>
      <c r="B420" s="11"/>
      <c r="C420" s="10"/>
      <c r="D420" s="11"/>
      <c r="E420" s="10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0"/>
      <c r="V420" s="11"/>
      <c r="W420" s="10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2.75" customHeight="1">
      <c r="A421" s="10"/>
      <c r="B421" s="11"/>
      <c r="C421" s="10"/>
      <c r="D421" s="11"/>
      <c r="E421" s="10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0"/>
      <c r="V421" s="11"/>
      <c r="W421" s="10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2.75" customHeight="1">
      <c r="A422" s="10"/>
      <c r="B422" s="11"/>
      <c r="C422" s="10"/>
      <c r="D422" s="11"/>
      <c r="E422" s="10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0"/>
      <c r="V422" s="11"/>
      <c r="W422" s="10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2.75" customHeight="1">
      <c r="A423" s="10"/>
      <c r="B423" s="11"/>
      <c r="C423" s="10"/>
      <c r="D423" s="11"/>
      <c r="E423" s="10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0"/>
      <c r="V423" s="11"/>
      <c r="W423" s="10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2.75" customHeight="1">
      <c r="A424" s="10"/>
      <c r="B424" s="11"/>
      <c r="C424" s="10"/>
      <c r="D424" s="11"/>
      <c r="E424" s="10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0"/>
      <c r="V424" s="11"/>
      <c r="W424" s="10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2.75" customHeight="1">
      <c r="A425" s="10"/>
      <c r="B425" s="11"/>
      <c r="C425" s="10"/>
      <c r="D425" s="11"/>
      <c r="E425" s="10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0"/>
      <c r="V425" s="11"/>
      <c r="W425" s="10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2.75" customHeight="1">
      <c r="A426" s="10"/>
      <c r="B426" s="11"/>
      <c r="C426" s="10"/>
      <c r="D426" s="11"/>
      <c r="E426" s="10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0"/>
      <c r="V426" s="11"/>
      <c r="W426" s="10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2.75" customHeight="1">
      <c r="A427" s="10"/>
      <c r="B427" s="11"/>
      <c r="C427" s="10"/>
      <c r="D427" s="11"/>
      <c r="E427" s="10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0"/>
      <c r="V427" s="11"/>
      <c r="W427" s="10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2.75" customHeight="1">
      <c r="A428" s="10"/>
      <c r="B428" s="11"/>
      <c r="C428" s="10"/>
      <c r="D428" s="11"/>
      <c r="E428" s="10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0"/>
      <c r="V428" s="11"/>
      <c r="W428" s="10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2.75" customHeight="1">
      <c r="A429" s="10"/>
      <c r="B429" s="11"/>
      <c r="C429" s="10"/>
      <c r="D429" s="11"/>
      <c r="E429" s="10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0"/>
      <c r="V429" s="11"/>
      <c r="W429" s="10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2.75" customHeight="1">
      <c r="A430" s="10"/>
      <c r="B430" s="11"/>
      <c r="C430" s="10"/>
      <c r="D430" s="11"/>
      <c r="E430" s="10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0"/>
      <c r="V430" s="11"/>
      <c r="W430" s="10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2.75" customHeight="1">
      <c r="A431" s="10"/>
      <c r="B431" s="11"/>
      <c r="C431" s="10"/>
      <c r="D431" s="11"/>
      <c r="E431" s="10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0"/>
      <c r="V431" s="11"/>
      <c r="W431" s="10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2.75" customHeight="1">
      <c r="A432" s="10"/>
      <c r="B432" s="11"/>
      <c r="C432" s="10"/>
      <c r="D432" s="11"/>
      <c r="E432" s="10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0"/>
      <c r="V432" s="11"/>
      <c r="W432" s="10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2.75" customHeight="1">
      <c r="A433" s="10"/>
      <c r="B433" s="11"/>
      <c r="C433" s="10"/>
      <c r="D433" s="11"/>
      <c r="E433" s="10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0"/>
      <c r="V433" s="11"/>
      <c r="W433" s="10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2.75" customHeight="1">
      <c r="A434" s="10"/>
      <c r="B434" s="11"/>
      <c r="C434" s="10"/>
      <c r="D434" s="11"/>
      <c r="E434" s="10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0"/>
      <c r="V434" s="11"/>
      <c r="W434" s="10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2.75" customHeight="1">
      <c r="A435" s="10"/>
      <c r="B435" s="11"/>
      <c r="C435" s="10"/>
      <c r="D435" s="11"/>
      <c r="E435" s="10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0"/>
      <c r="V435" s="11"/>
      <c r="W435" s="10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2.75" customHeight="1">
      <c r="A436" s="10"/>
      <c r="B436" s="11"/>
      <c r="C436" s="10"/>
      <c r="D436" s="11"/>
      <c r="E436" s="10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0"/>
      <c r="V436" s="11"/>
      <c r="W436" s="10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2.75" customHeight="1">
      <c r="A437" s="10"/>
      <c r="B437" s="11"/>
      <c r="C437" s="10"/>
      <c r="D437" s="11"/>
      <c r="E437" s="10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0"/>
      <c r="V437" s="11"/>
      <c r="W437" s="10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2.75" customHeight="1">
      <c r="A438" s="10"/>
      <c r="B438" s="11"/>
      <c r="C438" s="10"/>
      <c r="D438" s="11"/>
      <c r="E438" s="10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0"/>
      <c r="V438" s="11"/>
      <c r="W438" s="10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2.75" customHeight="1">
      <c r="A439" s="10"/>
      <c r="B439" s="11"/>
      <c r="C439" s="10"/>
      <c r="D439" s="11"/>
      <c r="E439" s="10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0"/>
      <c r="V439" s="11"/>
      <c r="W439" s="10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2.75" customHeight="1">
      <c r="A440" s="10"/>
      <c r="B440" s="11"/>
      <c r="C440" s="10"/>
      <c r="D440" s="11"/>
      <c r="E440" s="10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0"/>
      <c r="V440" s="11"/>
      <c r="W440" s="10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2.75" customHeight="1">
      <c r="A441" s="10"/>
      <c r="B441" s="11"/>
      <c r="C441" s="10"/>
      <c r="D441" s="11"/>
      <c r="E441" s="10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0"/>
      <c r="V441" s="11"/>
      <c r="W441" s="10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2.75" customHeight="1">
      <c r="A442" s="10"/>
      <c r="B442" s="11"/>
      <c r="C442" s="10"/>
      <c r="D442" s="11"/>
      <c r="E442" s="10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0"/>
      <c r="V442" s="11"/>
      <c r="W442" s="10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2.75" customHeight="1">
      <c r="A443" s="10"/>
      <c r="B443" s="11"/>
      <c r="C443" s="10"/>
      <c r="D443" s="11"/>
      <c r="E443" s="10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0"/>
      <c r="V443" s="11"/>
      <c r="W443" s="10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2.75" customHeight="1">
      <c r="A444" s="10"/>
      <c r="B444" s="11"/>
      <c r="C444" s="10"/>
      <c r="D444" s="11"/>
      <c r="E444" s="10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0"/>
      <c r="V444" s="11"/>
      <c r="W444" s="10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2.75" customHeight="1">
      <c r="A445" s="10"/>
      <c r="B445" s="11"/>
      <c r="C445" s="10"/>
      <c r="D445" s="11"/>
      <c r="E445" s="10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0"/>
      <c r="V445" s="11"/>
      <c r="W445" s="10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2.75" customHeight="1">
      <c r="A446" s="10"/>
      <c r="B446" s="11"/>
      <c r="C446" s="10"/>
      <c r="D446" s="11"/>
      <c r="E446" s="10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0"/>
      <c r="V446" s="11"/>
      <c r="W446" s="10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2.75" customHeight="1">
      <c r="A447" s="10"/>
      <c r="B447" s="11"/>
      <c r="C447" s="10"/>
      <c r="D447" s="11"/>
      <c r="E447" s="10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0"/>
      <c r="V447" s="11"/>
      <c r="W447" s="10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2.75" customHeight="1">
      <c r="A448" s="10"/>
      <c r="B448" s="11"/>
      <c r="C448" s="10"/>
      <c r="D448" s="11"/>
      <c r="E448" s="10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0"/>
      <c r="V448" s="11"/>
      <c r="W448" s="10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2.75" customHeight="1">
      <c r="A449" s="10"/>
      <c r="B449" s="11"/>
      <c r="C449" s="10"/>
      <c r="D449" s="11"/>
      <c r="E449" s="10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0"/>
      <c r="V449" s="11"/>
      <c r="W449" s="10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2.75" customHeight="1">
      <c r="A450" s="10"/>
      <c r="B450" s="11"/>
      <c r="C450" s="10"/>
      <c r="D450" s="11"/>
      <c r="E450" s="10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0"/>
      <c r="V450" s="11"/>
      <c r="W450" s="10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2.75" customHeight="1">
      <c r="A451" s="10"/>
      <c r="B451" s="11"/>
      <c r="C451" s="10"/>
      <c r="D451" s="11"/>
      <c r="E451" s="10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0"/>
      <c r="V451" s="11"/>
      <c r="W451" s="10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2.75" customHeight="1">
      <c r="A452" s="10"/>
      <c r="B452" s="11"/>
      <c r="C452" s="10"/>
      <c r="D452" s="11"/>
      <c r="E452" s="10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0"/>
      <c r="V452" s="11"/>
      <c r="W452" s="10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2.75" customHeight="1">
      <c r="A453" s="10"/>
      <c r="B453" s="11"/>
      <c r="C453" s="10"/>
      <c r="D453" s="11"/>
      <c r="E453" s="10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0"/>
      <c r="V453" s="11"/>
      <c r="W453" s="10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2.75" customHeight="1">
      <c r="A454" s="10"/>
      <c r="B454" s="11"/>
      <c r="C454" s="10"/>
      <c r="D454" s="11"/>
      <c r="E454" s="10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0"/>
      <c r="V454" s="11"/>
      <c r="W454" s="10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2.75" customHeight="1">
      <c r="A455" s="10"/>
      <c r="B455" s="11"/>
      <c r="C455" s="10"/>
      <c r="D455" s="11"/>
      <c r="E455" s="10"/>
      <c r="F455" s="1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0"/>
      <c r="V455" s="11"/>
      <c r="W455" s="10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2.75" customHeight="1">
      <c r="A456" s="10"/>
      <c r="B456" s="11"/>
      <c r="C456" s="10"/>
      <c r="D456" s="11"/>
      <c r="E456" s="10"/>
      <c r="F456" s="1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0"/>
      <c r="V456" s="11"/>
      <c r="W456" s="10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2.75" customHeight="1">
      <c r="A457" s="10"/>
      <c r="B457" s="11"/>
      <c r="C457" s="10"/>
      <c r="D457" s="11"/>
      <c r="E457" s="10"/>
      <c r="F457" s="1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0"/>
      <c r="V457" s="11"/>
      <c r="W457" s="10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2.75" customHeight="1">
      <c r="A458" s="10"/>
      <c r="B458" s="11"/>
      <c r="C458" s="10"/>
      <c r="D458" s="11"/>
      <c r="E458" s="10"/>
      <c r="F458" s="1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0"/>
      <c r="V458" s="11"/>
      <c r="W458" s="10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2.75" customHeight="1">
      <c r="A459" s="10"/>
      <c r="B459" s="11"/>
      <c r="C459" s="10"/>
      <c r="D459" s="11"/>
      <c r="E459" s="10"/>
      <c r="F459" s="1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0"/>
      <c r="V459" s="11"/>
      <c r="W459" s="10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2.75" customHeight="1">
      <c r="A460" s="10"/>
      <c r="B460" s="11"/>
      <c r="C460" s="10"/>
      <c r="D460" s="11"/>
      <c r="E460" s="10"/>
      <c r="F460" s="1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0"/>
      <c r="V460" s="11"/>
      <c r="W460" s="10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2.75" customHeight="1">
      <c r="A461" s="10"/>
      <c r="B461" s="11"/>
      <c r="C461" s="10"/>
      <c r="D461" s="11"/>
      <c r="E461" s="10"/>
      <c r="F461" s="1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0"/>
      <c r="V461" s="11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2.75" customHeight="1">
      <c r="A462" s="10"/>
      <c r="B462" s="11"/>
      <c r="C462" s="10"/>
      <c r="D462" s="11"/>
      <c r="E462" s="10"/>
      <c r="F462" s="1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0"/>
      <c r="V462" s="11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2.75" customHeight="1">
      <c r="A463" s="10"/>
      <c r="B463" s="11"/>
      <c r="C463" s="10"/>
      <c r="D463" s="11"/>
      <c r="E463" s="10"/>
      <c r="F463" s="1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0"/>
      <c r="V463" s="11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2.75" customHeight="1">
      <c r="A464" s="10"/>
      <c r="B464" s="11"/>
      <c r="C464" s="10"/>
      <c r="D464" s="11"/>
      <c r="E464" s="10"/>
      <c r="F464" s="1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0"/>
      <c r="V464" s="11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2.75" customHeight="1">
      <c r="A465" s="10"/>
      <c r="B465" s="11"/>
      <c r="C465" s="10"/>
      <c r="D465" s="11"/>
      <c r="E465" s="10"/>
      <c r="F465" s="1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0"/>
      <c r="V465" s="11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2.75" customHeight="1">
      <c r="A466" s="10"/>
      <c r="B466" s="11"/>
      <c r="C466" s="10"/>
      <c r="D466" s="11"/>
      <c r="E466" s="10"/>
      <c r="F466" s="1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0"/>
      <c r="V466" s="11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2.75" customHeight="1">
      <c r="A467" s="10"/>
      <c r="B467" s="11"/>
      <c r="C467" s="10"/>
      <c r="D467" s="11"/>
      <c r="E467" s="10"/>
      <c r="F467" s="1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0"/>
      <c r="V467" s="11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2.75" customHeight="1">
      <c r="A468" s="10"/>
      <c r="B468" s="11"/>
      <c r="C468" s="10"/>
      <c r="D468" s="11"/>
      <c r="E468" s="10"/>
      <c r="F468" s="1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0"/>
      <c r="V468" s="11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2.75" customHeight="1">
      <c r="A469" s="10"/>
      <c r="B469" s="11"/>
      <c r="C469" s="10"/>
      <c r="D469" s="11"/>
      <c r="E469" s="10"/>
      <c r="F469" s="1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0"/>
      <c r="V469" s="11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2.75" customHeight="1">
      <c r="A470" s="10"/>
      <c r="B470" s="11"/>
      <c r="C470" s="10"/>
      <c r="D470" s="11"/>
      <c r="E470" s="10"/>
      <c r="F470" s="1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0"/>
      <c r="V470" s="11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2.75" customHeight="1">
      <c r="A471" s="10"/>
      <c r="B471" s="11"/>
      <c r="C471" s="10"/>
      <c r="D471" s="11"/>
      <c r="E471" s="10"/>
      <c r="F471" s="1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0"/>
      <c r="V471" s="11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2.75" customHeight="1">
      <c r="A472" s="10"/>
      <c r="B472" s="11"/>
      <c r="C472" s="10"/>
      <c r="D472" s="11"/>
      <c r="E472" s="10"/>
      <c r="F472" s="1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0"/>
      <c r="V472" s="11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2.75" customHeight="1">
      <c r="A473" s="10"/>
      <c r="B473" s="11"/>
      <c r="C473" s="10"/>
      <c r="D473" s="11"/>
      <c r="E473" s="10"/>
      <c r="F473" s="1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0"/>
      <c r="V473" s="11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2.75" customHeight="1">
      <c r="A474" s="10"/>
      <c r="B474" s="11"/>
      <c r="C474" s="10"/>
      <c r="D474" s="11"/>
      <c r="E474" s="10"/>
      <c r="F474" s="1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0"/>
      <c r="V474" s="11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2.75" customHeight="1">
      <c r="A475" s="10"/>
      <c r="B475" s="11"/>
      <c r="C475" s="10"/>
      <c r="D475" s="11"/>
      <c r="E475" s="10"/>
      <c r="F475" s="1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0"/>
      <c r="V475" s="11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2.75" customHeight="1">
      <c r="A476" s="10"/>
      <c r="B476" s="11"/>
      <c r="C476" s="10"/>
      <c r="D476" s="11"/>
      <c r="E476" s="10"/>
      <c r="F476" s="1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0"/>
      <c r="V476" s="11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2.75" customHeight="1">
      <c r="A477" s="10"/>
      <c r="B477" s="11"/>
      <c r="C477" s="10"/>
      <c r="D477" s="11"/>
      <c r="E477" s="10"/>
      <c r="F477" s="1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0"/>
      <c r="V477" s="11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2.75" customHeight="1">
      <c r="A478" s="10"/>
      <c r="B478" s="11"/>
      <c r="C478" s="10"/>
      <c r="D478" s="11"/>
      <c r="E478" s="10"/>
      <c r="F478" s="1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0"/>
      <c r="V478" s="11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2.75" customHeight="1">
      <c r="A479" s="10"/>
      <c r="B479" s="11"/>
      <c r="C479" s="10"/>
      <c r="D479" s="11"/>
      <c r="E479" s="10"/>
      <c r="F479" s="1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0"/>
      <c r="V479" s="11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2.75" customHeight="1">
      <c r="A480" s="10"/>
      <c r="B480" s="11"/>
      <c r="C480" s="10"/>
      <c r="D480" s="11"/>
      <c r="E480" s="10"/>
      <c r="F480" s="1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0"/>
      <c r="V480" s="11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2.75" customHeight="1">
      <c r="A481" s="10"/>
      <c r="B481" s="11"/>
      <c r="C481" s="10"/>
      <c r="D481" s="11"/>
      <c r="E481" s="10"/>
      <c r="F481" s="1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0"/>
      <c r="V481" s="11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2.75" customHeight="1">
      <c r="A482" s="10"/>
      <c r="B482" s="11"/>
      <c r="C482" s="10"/>
      <c r="D482" s="11"/>
      <c r="E482" s="10"/>
      <c r="F482" s="1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0"/>
      <c r="V482" s="11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2.75" customHeight="1">
      <c r="A483" s="10"/>
      <c r="B483" s="11"/>
      <c r="C483" s="10"/>
      <c r="D483" s="11"/>
      <c r="E483" s="10"/>
      <c r="F483" s="1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0"/>
      <c r="V483" s="11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2.75" customHeight="1">
      <c r="A484" s="10"/>
      <c r="B484" s="11"/>
      <c r="C484" s="10"/>
      <c r="D484" s="11"/>
      <c r="E484" s="10"/>
      <c r="F484" s="1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0"/>
      <c r="V484" s="11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2.75" customHeight="1">
      <c r="A485" s="10"/>
      <c r="B485" s="11"/>
      <c r="C485" s="10"/>
      <c r="D485" s="11"/>
      <c r="E485" s="10"/>
      <c r="F485" s="1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0"/>
      <c r="V485" s="11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2.75" customHeight="1">
      <c r="A486" s="10"/>
      <c r="B486" s="11"/>
      <c r="C486" s="10"/>
      <c r="D486" s="11"/>
      <c r="E486" s="10"/>
      <c r="F486" s="1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0"/>
      <c r="V486" s="11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2.75" customHeight="1">
      <c r="A487" s="10"/>
      <c r="B487" s="11"/>
      <c r="C487" s="10"/>
      <c r="D487" s="11"/>
      <c r="E487" s="10"/>
      <c r="F487" s="1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0"/>
      <c r="V487" s="11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2.75" customHeight="1">
      <c r="A488" s="10"/>
      <c r="B488" s="11"/>
      <c r="C488" s="10"/>
      <c r="D488" s="11"/>
      <c r="E488" s="10"/>
      <c r="F488" s="1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0"/>
      <c r="V488" s="11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2.75" customHeight="1">
      <c r="A489" s="10"/>
      <c r="B489" s="11"/>
      <c r="C489" s="10"/>
      <c r="D489" s="11"/>
      <c r="E489" s="10"/>
      <c r="F489" s="1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0"/>
      <c r="V489" s="11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2.75" customHeight="1">
      <c r="A490" s="10"/>
      <c r="B490" s="11"/>
      <c r="C490" s="10"/>
      <c r="D490" s="11"/>
      <c r="E490" s="10"/>
      <c r="F490" s="1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0"/>
      <c r="V490" s="11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2.75" customHeight="1">
      <c r="A491" s="10"/>
      <c r="B491" s="11"/>
      <c r="C491" s="10"/>
      <c r="D491" s="11"/>
      <c r="E491" s="10"/>
      <c r="F491" s="1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0"/>
      <c r="V491" s="11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2.75" customHeight="1">
      <c r="A492" s="10"/>
      <c r="B492" s="11"/>
      <c r="C492" s="10"/>
      <c r="D492" s="11"/>
      <c r="E492" s="10"/>
      <c r="F492" s="1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0"/>
      <c r="V492" s="11"/>
      <c r="W492" s="10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2.75" customHeight="1">
      <c r="A493" s="10"/>
      <c r="B493" s="11"/>
      <c r="C493" s="10"/>
      <c r="D493" s="11"/>
      <c r="E493" s="10"/>
      <c r="F493" s="1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0"/>
      <c r="V493" s="11"/>
      <c r="W493" s="10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2.75" customHeight="1">
      <c r="A494" s="10"/>
      <c r="B494" s="11"/>
      <c r="C494" s="10"/>
      <c r="D494" s="11"/>
      <c r="E494" s="10"/>
      <c r="F494" s="1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0"/>
      <c r="V494" s="11"/>
      <c r="W494" s="10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2.75" customHeight="1">
      <c r="A495" s="10"/>
      <c r="B495" s="11"/>
      <c r="C495" s="10"/>
      <c r="D495" s="11"/>
      <c r="E495" s="10"/>
      <c r="F495" s="1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0"/>
      <c r="V495" s="11"/>
      <c r="W495" s="10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2.75" customHeight="1">
      <c r="A496" s="10"/>
      <c r="B496" s="11"/>
      <c r="C496" s="10"/>
      <c r="D496" s="11"/>
      <c r="E496" s="10"/>
      <c r="F496" s="1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0"/>
      <c r="V496" s="11"/>
      <c r="W496" s="10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2.75" customHeight="1">
      <c r="A497" s="10"/>
      <c r="B497" s="11"/>
      <c r="C497" s="10"/>
      <c r="D497" s="11"/>
      <c r="E497" s="10"/>
      <c r="F497" s="1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0"/>
      <c r="V497" s="11"/>
      <c r="W497" s="10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2.75" customHeight="1">
      <c r="A498" s="10"/>
      <c r="B498" s="11"/>
      <c r="C498" s="10"/>
      <c r="D498" s="11"/>
      <c r="E498" s="10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0"/>
      <c r="V498" s="11"/>
      <c r="W498" s="10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2.75" customHeight="1">
      <c r="A499" s="10"/>
      <c r="B499" s="11"/>
      <c r="C499" s="10"/>
      <c r="D499" s="11"/>
      <c r="E499" s="10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0"/>
      <c r="V499" s="11"/>
      <c r="W499" s="10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2.75" customHeight="1">
      <c r="A500" s="10"/>
      <c r="B500" s="11"/>
      <c r="C500" s="10"/>
      <c r="D500" s="11"/>
      <c r="E500" s="10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0"/>
      <c r="V500" s="11"/>
      <c r="W500" s="10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2.75" customHeight="1">
      <c r="A501" s="10"/>
      <c r="B501" s="11"/>
      <c r="C501" s="10"/>
      <c r="D501" s="11"/>
      <c r="E501" s="10"/>
      <c r="F501" s="1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0"/>
      <c r="V501" s="11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2.75" customHeight="1">
      <c r="A502" s="10"/>
      <c r="B502" s="11"/>
      <c r="C502" s="10"/>
      <c r="D502" s="11"/>
      <c r="E502" s="10"/>
      <c r="F502" s="1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0"/>
      <c r="V502" s="11"/>
      <c r="W502" s="10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2.75" customHeight="1">
      <c r="A503" s="10"/>
      <c r="B503" s="11"/>
      <c r="C503" s="10"/>
      <c r="D503" s="11"/>
      <c r="E503" s="10"/>
      <c r="F503" s="1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0"/>
      <c r="V503" s="11"/>
      <c r="W503" s="10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2.75" customHeight="1">
      <c r="A504" s="10"/>
      <c r="B504" s="11"/>
      <c r="C504" s="10"/>
      <c r="D504" s="11"/>
      <c r="E504" s="10"/>
      <c r="F504" s="1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0"/>
      <c r="V504" s="11"/>
      <c r="W504" s="10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2.75" customHeight="1">
      <c r="A505" s="10"/>
      <c r="B505" s="11"/>
      <c r="C505" s="10"/>
      <c r="D505" s="11"/>
      <c r="E505" s="10"/>
      <c r="F505" s="1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0"/>
      <c r="V505" s="11"/>
      <c r="W505" s="10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2.75" customHeight="1">
      <c r="A506" s="10"/>
      <c r="B506" s="11"/>
      <c r="C506" s="10"/>
      <c r="D506" s="11"/>
      <c r="E506" s="10"/>
      <c r="F506" s="1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0"/>
      <c r="V506" s="11"/>
      <c r="W506" s="10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2.75" customHeight="1">
      <c r="A507" s="10"/>
      <c r="B507" s="11"/>
      <c r="C507" s="10"/>
      <c r="D507" s="11"/>
      <c r="E507" s="10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0"/>
      <c r="V507" s="11"/>
      <c r="W507" s="10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2.75" customHeight="1">
      <c r="A508" s="10"/>
      <c r="B508" s="11"/>
      <c r="C508" s="10"/>
      <c r="D508" s="11"/>
      <c r="E508" s="10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0"/>
      <c r="V508" s="11"/>
      <c r="W508" s="10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2.75" customHeight="1">
      <c r="A509" s="10"/>
      <c r="B509" s="11"/>
      <c r="C509" s="10"/>
      <c r="D509" s="11"/>
      <c r="E509" s="10"/>
      <c r="F509" s="1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0"/>
      <c r="V509" s="11"/>
      <c r="W509" s="10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2.75" customHeight="1">
      <c r="A510" s="10"/>
      <c r="B510" s="11"/>
      <c r="C510" s="10"/>
      <c r="D510" s="11"/>
      <c r="E510" s="10"/>
      <c r="F510" s="1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0"/>
      <c r="V510" s="11"/>
      <c r="W510" s="10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2.75" customHeight="1">
      <c r="A511" s="10"/>
      <c r="B511" s="11"/>
      <c r="C511" s="10"/>
      <c r="D511" s="11"/>
      <c r="E511" s="10"/>
      <c r="F511" s="1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0"/>
      <c r="V511" s="11"/>
      <c r="W511" s="10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2.75" customHeight="1">
      <c r="A512" s="10"/>
      <c r="B512" s="11"/>
      <c r="C512" s="10"/>
      <c r="D512" s="11"/>
      <c r="E512" s="10"/>
      <c r="F512" s="1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0"/>
      <c r="V512" s="11"/>
      <c r="W512" s="10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2.75" customHeight="1">
      <c r="A513" s="10"/>
      <c r="B513" s="11"/>
      <c r="C513" s="10"/>
      <c r="D513" s="11"/>
      <c r="E513" s="10"/>
      <c r="F513" s="1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0"/>
      <c r="V513" s="11"/>
      <c r="W513" s="10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2.75" customHeight="1">
      <c r="A514" s="10"/>
      <c r="B514" s="11"/>
      <c r="C514" s="10"/>
      <c r="D514" s="11"/>
      <c r="E514" s="10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0"/>
      <c r="V514" s="11"/>
      <c r="W514" s="10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2.75" customHeight="1">
      <c r="A515" s="10"/>
      <c r="B515" s="11"/>
      <c r="C515" s="10"/>
      <c r="D515" s="11"/>
      <c r="E515" s="10"/>
      <c r="F515" s="1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0"/>
      <c r="V515" s="11"/>
      <c r="W515" s="10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2.75" customHeight="1">
      <c r="A516" s="10"/>
      <c r="B516" s="11"/>
      <c r="C516" s="10"/>
      <c r="D516" s="11"/>
      <c r="E516" s="10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0"/>
      <c r="V516" s="11"/>
      <c r="W516" s="10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2.75" customHeight="1">
      <c r="A517" s="10"/>
      <c r="B517" s="11"/>
      <c r="C517" s="10"/>
      <c r="D517" s="11"/>
      <c r="E517" s="10"/>
      <c r="F517" s="1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0"/>
      <c r="V517" s="11"/>
      <c r="W517" s="10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2.75" customHeight="1">
      <c r="A518" s="10"/>
      <c r="B518" s="11"/>
      <c r="C518" s="10"/>
      <c r="D518" s="11"/>
      <c r="E518" s="10"/>
      <c r="F518" s="1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0"/>
      <c r="V518" s="11"/>
      <c r="W518" s="10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2.75" customHeight="1">
      <c r="A519" s="10"/>
      <c r="B519" s="11"/>
      <c r="C519" s="10"/>
      <c r="D519" s="11"/>
      <c r="E519" s="10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0"/>
      <c r="V519" s="11"/>
      <c r="W519" s="10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2.75" customHeight="1">
      <c r="A520" s="10"/>
      <c r="B520" s="11"/>
      <c r="C520" s="10"/>
      <c r="D520" s="11"/>
      <c r="E520" s="10"/>
      <c r="F520" s="1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0"/>
      <c r="V520" s="11"/>
      <c r="W520" s="10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2.75" customHeight="1">
      <c r="A521" s="10"/>
      <c r="B521" s="11"/>
      <c r="C521" s="10"/>
      <c r="D521" s="11"/>
      <c r="E521" s="10"/>
      <c r="F521" s="1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0"/>
      <c r="V521" s="11"/>
      <c r="W521" s="10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2.75" customHeight="1">
      <c r="A522" s="10"/>
      <c r="B522" s="11"/>
      <c r="C522" s="10"/>
      <c r="D522" s="11"/>
      <c r="E522" s="10"/>
      <c r="F522" s="1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0"/>
      <c r="V522" s="11"/>
      <c r="W522" s="10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2.75" customHeight="1">
      <c r="A523" s="10"/>
      <c r="B523" s="11"/>
      <c r="C523" s="10"/>
      <c r="D523" s="11"/>
      <c r="E523" s="10"/>
      <c r="F523" s="1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0"/>
      <c r="V523" s="11"/>
      <c r="W523" s="10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2.75" customHeight="1">
      <c r="A524" s="10"/>
      <c r="B524" s="11"/>
      <c r="C524" s="10"/>
      <c r="D524" s="11"/>
      <c r="E524" s="10"/>
      <c r="F524" s="1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0"/>
      <c r="V524" s="11"/>
      <c r="W524" s="10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2.75" customHeight="1">
      <c r="A525" s="10"/>
      <c r="B525" s="11"/>
      <c r="C525" s="10"/>
      <c r="D525" s="11"/>
      <c r="E525" s="10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0"/>
      <c r="V525" s="11"/>
      <c r="W525" s="10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2.75" customHeight="1">
      <c r="A526" s="10"/>
      <c r="B526" s="11"/>
      <c r="C526" s="10"/>
      <c r="D526" s="11"/>
      <c r="E526" s="10"/>
      <c r="F526" s="1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0"/>
      <c r="V526" s="11"/>
      <c r="W526" s="10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2.75" customHeight="1">
      <c r="A527" s="10"/>
      <c r="B527" s="11"/>
      <c r="C527" s="10"/>
      <c r="D527" s="11"/>
      <c r="E527" s="10"/>
      <c r="F527" s="1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0"/>
      <c r="V527" s="11"/>
      <c r="W527" s="10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2.75" customHeight="1">
      <c r="A528" s="10"/>
      <c r="B528" s="11"/>
      <c r="C528" s="10"/>
      <c r="D528" s="11"/>
      <c r="E528" s="10"/>
      <c r="F528" s="1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0"/>
      <c r="V528" s="11"/>
      <c r="W528" s="10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2.75" customHeight="1">
      <c r="A529" s="10"/>
      <c r="B529" s="11"/>
      <c r="C529" s="10"/>
      <c r="D529" s="11"/>
      <c r="E529" s="10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0"/>
      <c r="V529" s="11"/>
      <c r="W529" s="10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2.75" customHeight="1">
      <c r="A530" s="10"/>
      <c r="B530" s="11"/>
      <c r="C530" s="10"/>
      <c r="D530" s="11"/>
      <c r="E530" s="10"/>
      <c r="F530" s="1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0"/>
      <c r="V530" s="11"/>
      <c r="W530" s="10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2.75" customHeight="1">
      <c r="A531" s="10"/>
      <c r="B531" s="11"/>
      <c r="C531" s="10"/>
      <c r="D531" s="11"/>
      <c r="E531" s="10"/>
      <c r="F531" s="1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0"/>
      <c r="V531" s="11"/>
      <c r="W531" s="10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2.75" customHeight="1">
      <c r="A532" s="10"/>
      <c r="B532" s="11"/>
      <c r="C532" s="10"/>
      <c r="D532" s="11"/>
      <c r="E532" s="10"/>
      <c r="F532" s="1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0"/>
      <c r="V532" s="11"/>
      <c r="W532" s="10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2.75" customHeight="1">
      <c r="A533" s="10"/>
      <c r="B533" s="11"/>
      <c r="C533" s="10"/>
      <c r="D533" s="11"/>
      <c r="E533" s="10"/>
      <c r="F533" s="1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0"/>
      <c r="V533" s="11"/>
      <c r="W533" s="10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2.75" customHeight="1">
      <c r="A534" s="10"/>
      <c r="B534" s="11"/>
      <c r="C534" s="10"/>
      <c r="D534" s="11"/>
      <c r="E534" s="10"/>
      <c r="F534" s="1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0"/>
      <c r="V534" s="11"/>
      <c r="W534" s="10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2.75" customHeight="1">
      <c r="A535" s="10"/>
      <c r="B535" s="11"/>
      <c r="C535" s="10"/>
      <c r="D535" s="11"/>
      <c r="E535" s="10"/>
      <c r="F535" s="1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0"/>
      <c r="V535" s="11"/>
      <c r="W535" s="10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2.75" customHeight="1">
      <c r="A536" s="10"/>
      <c r="B536" s="11"/>
      <c r="C536" s="10"/>
      <c r="D536" s="11"/>
      <c r="E536" s="10"/>
      <c r="F536" s="1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0"/>
      <c r="V536" s="11"/>
      <c r="W536" s="10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2.75" customHeight="1">
      <c r="A537" s="10"/>
      <c r="B537" s="11"/>
      <c r="C537" s="10"/>
      <c r="D537" s="11"/>
      <c r="E537" s="10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0"/>
      <c r="V537" s="11"/>
      <c r="W537" s="10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2.75" customHeight="1">
      <c r="A538" s="10"/>
      <c r="B538" s="11"/>
      <c r="C538" s="10"/>
      <c r="D538" s="11"/>
      <c r="E538" s="10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0"/>
      <c r="V538" s="11"/>
      <c r="W538" s="10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2.75" customHeight="1">
      <c r="A539" s="10"/>
      <c r="B539" s="11"/>
      <c r="C539" s="10"/>
      <c r="D539" s="11"/>
      <c r="E539" s="10"/>
      <c r="F539" s="1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0"/>
      <c r="V539" s="11"/>
      <c r="W539" s="10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2.75" customHeight="1">
      <c r="A540" s="10"/>
      <c r="B540" s="11"/>
      <c r="C540" s="10"/>
      <c r="D540" s="11"/>
      <c r="E540" s="10"/>
      <c r="F540" s="1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0"/>
      <c r="V540" s="11"/>
      <c r="W540" s="10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2.75" customHeight="1">
      <c r="A541" s="10"/>
      <c r="B541" s="11"/>
      <c r="C541" s="10"/>
      <c r="D541" s="11"/>
      <c r="E541" s="10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0"/>
      <c r="V541" s="11"/>
      <c r="W541" s="10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2.75" customHeight="1">
      <c r="A542" s="10"/>
      <c r="B542" s="11"/>
      <c r="C542" s="10"/>
      <c r="D542" s="11"/>
      <c r="E542" s="10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0"/>
      <c r="V542" s="11"/>
      <c r="W542" s="10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2.75" customHeight="1">
      <c r="A543" s="10"/>
      <c r="B543" s="11"/>
      <c r="C543" s="10"/>
      <c r="D543" s="11"/>
      <c r="E543" s="10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0"/>
      <c r="V543" s="11"/>
      <c r="W543" s="10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2.75" customHeight="1">
      <c r="A544" s="10"/>
      <c r="B544" s="11"/>
      <c r="C544" s="10"/>
      <c r="D544" s="11"/>
      <c r="E544" s="10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0"/>
      <c r="V544" s="11"/>
      <c r="W544" s="10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2.75" customHeight="1">
      <c r="A545" s="10"/>
      <c r="B545" s="11"/>
      <c r="C545" s="10"/>
      <c r="D545" s="11"/>
      <c r="E545" s="10"/>
      <c r="F545" s="1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0"/>
      <c r="V545" s="11"/>
      <c r="W545" s="10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2.75" customHeight="1">
      <c r="A546" s="10"/>
      <c r="B546" s="11"/>
      <c r="C546" s="10"/>
      <c r="D546" s="11"/>
      <c r="E546" s="10"/>
      <c r="F546" s="1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0"/>
      <c r="V546" s="11"/>
      <c r="W546" s="10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2.75" customHeight="1">
      <c r="A547" s="10"/>
      <c r="B547" s="11"/>
      <c r="C547" s="10"/>
      <c r="D547" s="11"/>
      <c r="E547" s="10"/>
      <c r="F547" s="1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0"/>
      <c r="V547" s="11"/>
      <c r="W547" s="10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2.75" customHeight="1">
      <c r="A548" s="10"/>
      <c r="B548" s="11"/>
      <c r="C548" s="10"/>
      <c r="D548" s="11"/>
      <c r="E548" s="10"/>
      <c r="F548" s="1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0"/>
      <c r="V548" s="11"/>
      <c r="W548" s="10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2.75" customHeight="1">
      <c r="A549" s="10"/>
      <c r="B549" s="11"/>
      <c r="C549" s="10"/>
      <c r="D549" s="11"/>
      <c r="E549" s="10"/>
      <c r="F549" s="1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0"/>
      <c r="V549" s="11"/>
      <c r="W549" s="10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2.75" customHeight="1">
      <c r="A550" s="10"/>
      <c r="B550" s="11"/>
      <c r="C550" s="10"/>
      <c r="D550" s="11"/>
      <c r="E550" s="10"/>
      <c r="F550" s="1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0"/>
      <c r="V550" s="11"/>
      <c r="W550" s="10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2.75" customHeight="1">
      <c r="A551" s="10"/>
      <c r="B551" s="11"/>
      <c r="C551" s="10"/>
      <c r="D551" s="11"/>
      <c r="E551" s="10"/>
      <c r="F551" s="1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0"/>
      <c r="V551" s="11"/>
      <c r="W551" s="10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2.75" customHeight="1">
      <c r="A552" s="10"/>
      <c r="B552" s="11"/>
      <c r="C552" s="10"/>
      <c r="D552" s="11"/>
      <c r="E552" s="10"/>
      <c r="F552" s="1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0"/>
      <c r="V552" s="11"/>
      <c r="W552" s="10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2.75" customHeight="1">
      <c r="A553" s="10"/>
      <c r="B553" s="11"/>
      <c r="C553" s="10"/>
      <c r="D553" s="11"/>
      <c r="E553" s="10"/>
      <c r="F553" s="1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0"/>
      <c r="V553" s="11"/>
      <c r="W553" s="10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2.75" customHeight="1">
      <c r="A554" s="10"/>
      <c r="B554" s="11"/>
      <c r="C554" s="10"/>
      <c r="D554" s="11"/>
      <c r="E554" s="10"/>
      <c r="F554" s="1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0"/>
      <c r="V554" s="11"/>
      <c r="W554" s="10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2.75" customHeight="1">
      <c r="A555" s="10"/>
      <c r="B555" s="11"/>
      <c r="C555" s="10"/>
      <c r="D555" s="11"/>
      <c r="E555" s="10"/>
      <c r="F555" s="1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0"/>
      <c r="V555" s="11"/>
      <c r="W555" s="10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2.75" customHeight="1">
      <c r="A556" s="10"/>
      <c r="B556" s="11"/>
      <c r="C556" s="10"/>
      <c r="D556" s="11"/>
      <c r="E556" s="10"/>
      <c r="F556" s="1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0"/>
      <c r="V556" s="11"/>
      <c r="W556" s="10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2.75" customHeight="1">
      <c r="A557" s="10"/>
      <c r="B557" s="11"/>
      <c r="C557" s="10"/>
      <c r="D557" s="11"/>
      <c r="E557" s="10"/>
      <c r="F557" s="1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0"/>
      <c r="V557" s="11"/>
      <c r="W557" s="10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2.75" customHeight="1">
      <c r="A558" s="10"/>
      <c r="B558" s="11"/>
      <c r="C558" s="10"/>
      <c r="D558" s="11"/>
      <c r="E558" s="10"/>
      <c r="F558" s="1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0"/>
      <c r="V558" s="11"/>
      <c r="W558" s="10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2.75" customHeight="1">
      <c r="A559" s="10"/>
      <c r="B559" s="11"/>
      <c r="C559" s="10"/>
      <c r="D559" s="11"/>
      <c r="E559" s="10"/>
      <c r="F559" s="1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0"/>
      <c r="V559" s="11"/>
      <c r="W559" s="10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2.75" customHeight="1">
      <c r="A560" s="10"/>
      <c r="B560" s="11"/>
      <c r="C560" s="10"/>
      <c r="D560" s="11"/>
      <c r="E560" s="10"/>
      <c r="F560" s="1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0"/>
      <c r="V560" s="11"/>
      <c r="W560" s="10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2.75" customHeight="1">
      <c r="A561" s="10"/>
      <c r="B561" s="11"/>
      <c r="C561" s="10"/>
      <c r="D561" s="11"/>
      <c r="E561" s="10"/>
      <c r="F561" s="1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0"/>
      <c r="V561" s="11"/>
      <c r="W561" s="10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2.75" customHeight="1">
      <c r="A562" s="10"/>
      <c r="B562" s="11"/>
      <c r="C562" s="10"/>
      <c r="D562" s="11"/>
      <c r="E562" s="10"/>
      <c r="F562" s="1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0"/>
      <c r="V562" s="11"/>
      <c r="W562" s="10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2.75" customHeight="1">
      <c r="A563" s="10"/>
      <c r="B563" s="11"/>
      <c r="C563" s="10"/>
      <c r="D563" s="11"/>
      <c r="E563" s="10"/>
      <c r="F563" s="1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0"/>
      <c r="V563" s="11"/>
      <c r="W563" s="10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2.75" customHeight="1">
      <c r="A564" s="10"/>
      <c r="B564" s="11"/>
      <c r="C564" s="10"/>
      <c r="D564" s="11"/>
      <c r="E564" s="10"/>
      <c r="F564" s="1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0"/>
      <c r="V564" s="11"/>
      <c r="W564" s="10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2.75" customHeight="1">
      <c r="A565" s="10"/>
      <c r="B565" s="11"/>
      <c r="C565" s="10"/>
      <c r="D565" s="11"/>
      <c r="E565" s="10"/>
      <c r="F565" s="1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0"/>
      <c r="V565" s="11"/>
      <c r="W565" s="10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2.75" customHeight="1">
      <c r="A566" s="10"/>
      <c r="B566" s="11"/>
      <c r="C566" s="10"/>
      <c r="D566" s="11"/>
      <c r="E566" s="10"/>
      <c r="F566" s="1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0"/>
      <c r="V566" s="11"/>
      <c r="W566" s="10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2.75" customHeight="1">
      <c r="A567" s="10"/>
      <c r="B567" s="11"/>
      <c r="C567" s="10"/>
      <c r="D567" s="11"/>
      <c r="E567" s="10"/>
      <c r="F567" s="1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0"/>
      <c r="V567" s="11"/>
      <c r="W567" s="10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2.75" customHeight="1">
      <c r="A568" s="10"/>
      <c r="B568" s="11"/>
      <c r="C568" s="10"/>
      <c r="D568" s="11"/>
      <c r="E568" s="10"/>
      <c r="F568" s="1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0"/>
      <c r="V568" s="11"/>
      <c r="W568" s="10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2.75" customHeight="1">
      <c r="A569" s="10"/>
      <c r="B569" s="11"/>
      <c r="C569" s="10"/>
      <c r="D569" s="11"/>
      <c r="E569" s="10"/>
      <c r="F569" s="1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0"/>
      <c r="V569" s="11"/>
      <c r="W569" s="10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2.75" customHeight="1">
      <c r="A570" s="10"/>
      <c r="B570" s="11"/>
      <c r="C570" s="10"/>
      <c r="D570" s="11"/>
      <c r="E570" s="10"/>
      <c r="F570" s="1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0"/>
      <c r="V570" s="11"/>
      <c r="W570" s="10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2.75" customHeight="1">
      <c r="A571" s="10"/>
      <c r="B571" s="11"/>
      <c r="C571" s="10"/>
      <c r="D571" s="11"/>
      <c r="E571" s="10"/>
      <c r="F571" s="1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0"/>
      <c r="V571" s="11"/>
      <c r="W571" s="10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2.75" customHeight="1">
      <c r="A572" s="10"/>
      <c r="B572" s="11"/>
      <c r="C572" s="10"/>
      <c r="D572" s="11"/>
      <c r="E572" s="10"/>
      <c r="F572" s="1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0"/>
      <c r="V572" s="11"/>
      <c r="W572" s="10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2.75" customHeight="1">
      <c r="A573" s="10"/>
      <c r="B573" s="11"/>
      <c r="C573" s="10"/>
      <c r="D573" s="11"/>
      <c r="E573" s="10"/>
      <c r="F573" s="1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0"/>
      <c r="V573" s="11"/>
      <c r="W573" s="10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2.75" customHeight="1">
      <c r="A574" s="10"/>
      <c r="B574" s="11"/>
      <c r="C574" s="10"/>
      <c r="D574" s="11"/>
      <c r="E574" s="10"/>
      <c r="F574" s="1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0"/>
      <c r="V574" s="11"/>
      <c r="W574" s="10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2.75" customHeight="1">
      <c r="A575" s="10"/>
      <c r="B575" s="11"/>
      <c r="C575" s="10"/>
      <c r="D575" s="11"/>
      <c r="E575" s="10"/>
      <c r="F575" s="1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0"/>
      <c r="V575" s="11"/>
      <c r="W575" s="10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2.75" customHeight="1">
      <c r="A576" s="10"/>
      <c r="B576" s="11"/>
      <c r="C576" s="10"/>
      <c r="D576" s="11"/>
      <c r="E576" s="10"/>
      <c r="F576" s="1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0"/>
      <c r="V576" s="11"/>
      <c r="W576" s="10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2.75" customHeight="1">
      <c r="A577" s="10"/>
      <c r="B577" s="11"/>
      <c r="C577" s="10"/>
      <c r="D577" s="11"/>
      <c r="E577" s="10"/>
      <c r="F577" s="1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0"/>
      <c r="V577" s="11"/>
      <c r="W577" s="10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2.75" customHeight="1">
      <c r="A578" s="10"/>
      <c r="B578" s="11"/>
      <c r="C578" s="10"/>
      <c r="D578" s="11"/>
      <c r="E578" s="10"/>
      <c r="F578" s="1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0"/>
      <c r="V578" s="11"/>
      <c r="W578" s="10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2.75" customHeight="1">
      <c r="A579" s="10"/>
      <c r="B579" s="11"/>
      <c r="C579" s="10"/>
      <c r="D579" s="11"/>
      <c r="E579" s="10"/>
      <c r="F579" s="1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0"/>
      <c r="V579" s="11"/>
      <c r="W579" s="10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2.75" customHeight="1">
      <c r="A580" s="10"/>
      <c r="B580" s="11"/>
      <c r="C580" s="10"/>
      <c r="D580" s="11"/>
      <c r="E580" s="10"/>
      <c r="F580" s="1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0"/>
      <c r="V580" s="11"/>
      <c r="W580" s="10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2.75" customHeight="1">
      <c r="A581" s="10"/>
      <c r="B581" s="11"/>
      <c r="C581" s="10"/>
      <c r="D581" s="11"/>
      <c r="E581" s="10"/>
      <c r="F581" s="1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0"/>
      <c r="V581" s="11"/>
      <c r="W581" s="10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2.75" customHeight="1">
      <c r="A582" s="10"/>
      <c r="B582" s="11"/>
      <c r="C582" s="10"/>
      <c r="D582" s="11"/>
      <c r="E582" s="10"/>
      <c r="F582" s="1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0"/>
      <c r="V582" s="11"/>
      <c r="W582" s="10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2.75" customHeight="1">
      <c r="A583" s="10"/>
      <c r="B583" s="11"/>
      <c r="C583" s="10"/>
      <c r="D583" s="11"/>
      <c r="E583" s="10"/>
      <c r="F583" s="1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0"/>
      <c r="V583" s="11"/>
      <c r="W583" s="10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2.75" customHeight="1">
      <c r="A584" s="10"/>
      <c r="B584" s="11"/>
      <c r="C584" s="10"/>
      <c r="D584" s="11"/>
      <c r="E584" s="10"/>
      <c r="F584" s="1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0"/>
      <c r="V584" s="11"/>
      <c r="W584" s="10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2.75" customHeight="1">
      <c r="A585" s="10"/>
      <c r="B585" s="11"/>
      <c r="C585" s="10"/>
      <c r="D585" s="11"/>
      <c r="E585" s="10"/>
      <c r="F585" s="1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0"/>
      <c r="V585" s="11"/>
      <c r="W585" s="10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2.75" customHeight="1">
      <c r="A586" s="10"/>
      <c r="B586" s="11"/>
      <c r="C586" s="10"/>
      <c r="D586" s="11"/>
      <c r="E586" s="10"/>
      <c r="F586" s="1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0"/>
      <c r="V586" s="11"/>
      <c r="W586" s="10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2.75" customHeight="1">
      <c r="A587" s="10"/>
      <c r="B587" s="11"/>
      <c r="C587" s="10"/>
      <c r="D587" s="11"/>
      <c r="E587" s="10"/>
      <c r="F587" s="1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0"/>
      <c r="V587" s="11"/>
      <c r="W587" s="10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2.75" customHeight="1">
      <c r="A588" s="10"/>
      <c r="B588" s="11"/>
      <c r="C588" s="10"/>
      <c r="D588" s="11"/>
      <c r="E588" s="10"/>
      <c r="F588" s="1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0"/>
      <c r="V588" s="11"/>
      <c r="W588" s="10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2.75" customHeight="1">
      <c r="A589" s="10"/>
      <c r="B589" s="11"/>
      <c r="C589" s="10"/>
      <c r="D589" s="11"/>
      <c r="E589" s="10"/>
      <c r="F589" s="1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0"/>
      <c r="V589" s="11"/>
      <c r="W589" s="10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2.75" customHeight="1">
      <c r="A590" s="10"/>
      <c r="B590" s="11"/>
      <c r="C590" s="10"/>
      <c r="D590" s="11"/>
      <c r="E590" s="10"/>
      <c r="F590" s="1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0"/>
      <c r="V590" s="11"/>
      <c r="W590" s="10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2.75" customHeight="1">
      <c r="A591" s="10"/>
      <c r="B591" s="11"/>
      <c r="C591" s="10"/>
      <c r="D591" s="11"/>
      <c r="E591" s="10"/>
      <c r="F591" s="1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0"/>
      <c r="V591" s="11"/>
      <c r="W591" s="10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2.75" customHeight="1">
      <c r="A592" s="10"/>
      <c r="B592" s="11"/>
      <c r="C592" s="10"/>
      <c r="D592" s="11"/>
      <c r="E592" s="10"/>
      <c r="F592" s="1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0"/>
      <c r="V592" s="11"/>
      <c r="W592" s="10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2.75" customHeight="1">
      <c r="A593" s="10"/>
      <c r="B593" s="11"/>
      <c r="C593" s="10"/>
      <c r="D593" s="11"/>
      <c r="E593" s="10"/>
      <c r="F593" s="1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0"/>
      <c r="V593" s="11"/>
      <c r="W593" s="10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2.75" customHeight="1">
      <c r="A594" s="10"/>
      <c r="B594" s="11"/>
      <c r="C594" s="10"/>
      <c r="D594" s="11"/>
      <c r="E594" s="10"/>
      <c r="F594" s="1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0"/>
      <c r="V594" s="11"/>
      <c r="W594" s="10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2.75" customHeight="1">
      <c r="A595" s="10"/>
      <c r="B595" s="11"/>
      <c r="C595" s="10"/>
      <c r="D595" s="11"/>
      <c r="E595" s="10"/>
      <c r="F595" s="1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0"/>
      <c r="V595" s="11"/>
      <c r="W595" s="10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2.75" customHeight="1">
      <c r="A596" s="10"/>
      <c r="B596" s="11"/>
      <c r="C596" s="10"/>
      <c r="D596" s="11"/>
      <c r="E596" s="10"/>
      <c r="F596" s="1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0"/>
      <c r="V596" s="11"/>
      <c r="W596" s="10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2.75" customHeight="1">
      <c r="A597" s="10"/>
      <c r="B597" s="11"/>
      <c r="C597" s="10"/>
      <c r="D597" s="11"/>
      <c r="E597" s="10"/>
      <c r="F597" s="1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0"/>
      <c r="V597" s="11"/>
      <c r="W597" s="10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2.75" customHeight="1">
      <c r="A598" s="10"/>
      <c r="B598" s="11"/>
      <c r="C598" s="10"/>
      <c r="D598" s="11"/>
      <c r="E598" s="10"/>
      <c r="F598" s="1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0"/>
      <c r="V598" s="11"/>
      <c r="W598" s="10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2.75" customHeight="1">
      <c r="A599" s="10"/>
      <c r="B599" s="11"/>
      <c r="C599" s="10"/>
      <c r="D599" s="11"/>
      <c r="E599" s="10"/>
      <c r="F599" s="1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0"/>
      <c r="V599" s="11"/>
      <c r="W599" s="10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2.75" customHeight="1">
      <c r="A600" s="10"/>
      <c r="B600" s="11"/>
      <c r="C600" s="10"/>
      <c r="D600" s="11"/>
      <c r="E600" s="10"/>
      <c r="F600" s="1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0"/>
      <c r="V600" s="11"/>
      <c r="W600" s="10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2.75" customHeight="1">
      <c r="A601" s="10"/>
      <c r="B601" s="11"/>
      <c r="C601" s="10"/>
      <c r="D601" s="11"/>
      <c r="E601" s="10"/>
      <c r="F601" s="1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0"/>
      <c r="V601" s="11"/>
      <c r="W601" s="10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2.75" customHeight="1">
      <c r="A602" s="10"/>
      <c r="B602" s="11"/>
      <c r="C602" s="10"/>
      <c r="D602" s="11"/>
      <c r="E602" s="10"/>
      <c r="F602" s="1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0"/>
      <c r="V602" s="11"/>
      <c r="W602" s="10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2.75" customHeight="1">
      <c r="A603" s="10"/>
      <c r="B603" s="11"/>
      <c r="C603" s="10"/>
      <c r="D603" s="11"/>
      <c r="E603" s="10"/>
      <c r="F603" s="1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0"/>
      <c r="V603" s="11"/>
      <c r="W603" s="10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2.75" customHeight="1">
      <c r="A604" s="10"/>
      <c r="B604" s="11"/>
      <c r="C604" s="10"/>
      <c r="D604" s="11"/>
      <c r="E604" s="10"/>
      <c r="F604" s="1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0"/>
      <c r="V604" s="11"/>
      <c r="W604" s="10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2.75" customHeight="1">
      <c r="A605" s="10"/>
      <c r="B605" s="11"/>
      <c r="C605" s="10"/>
      <c r="D605" s="11"/>
      <c r="E605" s="10"/>
      <c r="F605" s="1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0"/>
      <c r="V605" s="11"/>
      <c r="W605" s="10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2.75" customHeight="1">
      <c r="A606" s="10"/>
      <c r="B606" s="11"/>
      <c r="C606" s="10"/>
      <c r="D606" s="11"/>
      <c r="E606" s="10"/>
      <c r="F606" s="1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0"/>
      <c r="V606" s="11"/>
      <c r="W606" s="10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2.75" customHeight="1">
      <c r="A607" s="10"/>
      <c r="B607" s="11"/>
      <c r="C607" s="10"/>
      <c r="D607" s="11"/>
      <c r="E607" s="10"/>
      <c r="F607" s="1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0"/>
      <c r="V607" s="11"/>
      <c r="W607" s="10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2.75" customHeight="1">
      <c r="A608" s="10"/>
      <c r="B608" s="11"/>
      <c r="C608" s="10"/>
      <c r="D608" s="11"/>
      <c r="E608" s="10"/>
      <c r="F608" s="1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0"/>
      <c r="V608" s="11"/>
      <c r="W608" s="10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2.75" customHeight="1">
      <c r="A609" s="10"/>
      <c r="B609" s="11"/>
      <c r="C609" s="10"/>
      <c r="D609" s="11"/>
      <c r="E609" s="10"/>
      <c r="F609" s="1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0"/>
      <c r="V609" s="11"/>
      <c r="W609" s="10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2.75" customHeight="1">
      <c r="A610" s="10"/>
      <c r="B610" s="11"/>
      <c r="C610" s="10"/>
      <c r="D610" s="11"/>
      <c r="E610" s="10"/>
      <c r="F610" s="1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0"/>
      <c r="V610" s="11"/>
      <c r="W610" s="10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2.75" customHeight="1">
      <c r="A611" s="10"/>
      <c r="B611" s="11"/>
      <c r="C611" s="10"/>
      <c r="D611" s="11"/>
      <c r="E611" s="10"/>
      <c r="F611" s="1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0"/>
      <c r="V611" s="11"/>
      <c r="W611" s="10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2.75" customHeight="1">
      <c r="A612" s="10"/>
      <c r="B612" s="11"/>
      <c r="C612" s="10"/>
      <c r="D612" s="11"/>
      <c r="E612" s="10"/>
      <c r="F612" s="1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0"/>
      <c r="V612" s="11"/>
      <c r="W612" s="10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2.75" customHeight="1">
      <c r="A613" s="10"/>
      <c r="B613" s="11"/>
      <c r="C613" s="10"/>
      <c r="D613" s="11"/>
      <c r="E613" s="10"/>
      <c r="F613" s="1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0"/>
      <c r="V613" s="11"/>
      <c r="W613" s="10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2.75" customHeight="1">
      <c r="A614" s="10"/>
      <c r="B614" s="11"/>
      <c r="C614" s="10"/>
      <c r="D614" s="11"/>
      <c r="E614" s="10"/>
      <c r="F614" s="1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0"/>
      <c r="V614" s="11"/>
      <c r="W614" s="10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2.75" customHeight="1">
      <c r="A615" s="10"/>
      <c r="B615" s="11"/>
      <c r="C615" s="10"/>
      <c r="D615" s="11"/>
      <c r="E615" s="10"/>
      <c r="F615" s="1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0"/>
      <c r="V615" s="11"/>
      <c r="W615" s="10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2.75" customHeight="1">
      <c r="A616" s="10"/>
      <c r="B616" s="11"/>
      <c r="C616" s="10"/>
      <c r="D616" s="11"/>
      <c r="E616" s="10"/>
      <c r="F616" s="1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0"/>
      <c r="V616" s="11"/>
      <c r="W616" s="10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2.75" customHeight="1">
      <c r="A617" s="10"/>
      <c r="B617" s="11"/>
      <c r="C617" s="10"/>
      <c r="D617" s="11"/>
      <c r="E617" s="10"/>
      <c r="F617" s="1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0"/>
      <c r="V617" s="11"/>
      <c r="W617" s="10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2.75" customHeight="1">
      <c r="A618" s="10"/>
      <c r="B618" s="11"/>
      <c r="C618" s="10"/>
      <c r="D618" s="11"/>
      <c r="E618" s="10"/>
      <c r="F618" s="1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0"/>
      <c r="V618" s="11"/>
      <c r="W618" s="10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2.75" customHeight="1">
      <c r="A619" s="10"/>
      <c r="B619" s="11"/>
      <c r="C619" s="10"/>
      <c r="D619" s="11"/>
      <c r="E619" s="10"/>
      <c r="F619" s="1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0"/>
      <c r="V619" s="11"/>
      <c r="W619" s="10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2.75" customHeight="1">
      <c r="A620" s="10"/>
      <c r="B620" s="11"/>
      <c r="C620" s="10"/>
      <c r="D620" s="11"/>
      <c r="E620" s="10"/>
      <c r="F620" s="1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0"/>
      <c r="V620" s="11"/>
      <c r="W620" s="10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2.75" customHeight="1">
      <c r="A621" s="10"/>
      <c r="B621" s="11"/>
      <c r="C621" s="10"/>
      <c r="D621" s="11"/>
      <c r="E621" s="10"/>
      <c r="F621" s="1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0"/>
      <c r="V621" s="11"/>
      <c r="W621" s="10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2.75" customHeight="1">
      <c r="A622" s="10"/>
      <c r="B622" s="11"/>
      <c r="C622" s="10"/>
      <c r="D622" s="11"/>
      <c r="E622" s="10"/>
      <c r="F622" s="1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0"/>
      <c r="V622" s="11"/>
      <c r="W622" s="10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2.75" customHeight="1">
      <c r="A623" s="10"/>
      <c r="B623" s="11"/>
      <c r="C623" s="10"/>
      <c r="D623" s="11"/>
      <c r="E623" s="10"/>
      <c r="F623" s="1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0"/>
      <c r="V623" s="11"/>
      <c r="W623" s="10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2.75" customHeight="1">
      <c r="A624" s="10"/>
      <c r="B624" s="11"/>
      <c r="C624" s="10"/>
      <c r="D624" s="11"/>
      <c r="E624" s="10"/>
      <c r="F624" s="1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0"/>
      <c r="V624" s="11"/>
      <c r="W624" s="10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2.75" customHeight="1">
      <c r="A625" s="10"/>
      <c r="B625" s="11"/>
      <c r="C625" s="10"/>
      <c r="D625" s="11"/>
      <c r="E625" s="10"/>
      <c r="F625" s="1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0"/>
      <c r="V625" s="11"/>
      <c r="W625" s="10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2.75" customHeight="1">
      <c r="A626" s="10"/>
      <c r="B626" s="11"/>
      <c r="C626" s="10"/>
      <c r="D626" s="11"/>
      <c r="E626" s="10"/>
      <c r="F626" s="1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0"/>
      <c r="V626" s="11"/>
      <c r="W626" s="10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2.75" customHeight="1">
      <c r="A627" s="10"/>
      <c r="B627" s="11"/>
      <c r="C627" s="10"/>
      <c r="D627" s="11"/>
      <c r="E627" s="10"/>
      <c r="F627" s="1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0"/>
      <c r="V627" s="11"/>
      <c r="W627" s="10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2.75" customHeight="1">
      <c r="A628" s="10"/>
      <c r="B628" s="11"/>
      <c r="C628" s="10"/>
      <c r="D628" s="11"/>
      <c r="E628" s="10"/>
      <c r="F628" s="1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0"/>
      <c r="V628" s="11"/>
      <c r="W628" s="10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2.75" customHeight="1">
      <c r="A629" s="10"/>
      <c r="B629" s="11"/>
      <c r="C629" s="10"/>
      <c r="D629" s="11"/>
      <c r="E629" s="10"/>
      <c r="F629" s="1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0"/>
      <c r="V629" s="11"/>
      <c r="W629" s="10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2.75" customHeight="1">
      <c r="A630" s="10"/>
      <c r="B630" s="11"/>
      <c r="C630" s="10"/>
      <c r="D630" s="11"/>
      <c r="E630" s="10"/>
      <c r="F630" s="1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0"/>
      <c r="V630" s="11"/>
      <c r="W630" s="10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2.75" customHeight="1">
      <c r="A631" s="10"/>
      <c r="B631" s="11"/>
      <c r="C631" s="10"/>
      <c r="D631" s="11"/>
      <c r="E631" s="10"/>
      <c r="F631" s="1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0"/>
      <c r="V631" s="11"/>
      <c r="W631" s="10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2.75" customHeight="1">
      <c r="A632" s="10"/>
      <c r="B632" s="11"/>
      <c r="C632" s="10"/>
      <c r="D632" s="11"/>
      <c r="E632" s="10"/>
      <c r="F632" s="1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0"/>
      <c r="V632" s="11"/>
      <c r="W632" s="10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2.75" customHeight="1">
      <c r="A633" s="10"/>
      <c r="B633" s="11"/>
      <c r="C633" s="10"/>
      <c r="D633" s="11"/>
      <c r="E633" s="10"/>
      <c r="F633" s="1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0"/>
      <c r="V633" s="11"/>
      <c r="W633" s="10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2.75" customHeight="1">
      <c r="A634" s="10"/>
      <c r="B634" s="11"/>
      <c r="C634" s="10"/>
      <c r="D634" s="11"/>
      <c r="E634" s="10"/>
      <c r="F634" s="1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0"/>
      <c r="V634" s="11"/>
      <c r="W634" s="10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2.75" customHeight="1">
      <c r="A635" s="10"/>
      <c r="B635" s="11"/>
      <c r="C635" s="10"/>
      <c r="D635" s="11"/>
      <c r="E635" s="10"/>
      <c r="F635" s="1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0"/>
      <c r="V635" s="11"/>
      <c r="W635" s="10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2.75" customHeight="1">
      <c r="A636" s="10"/>
      <c r="B636" s="11"/>
      <c r="C636" s="10"/>
      <c r="D636" s="11"/>
      <c r="E636" s="10"/>
      <c r="F636" s="1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0"/>
      <c r="V636" s="11"/>
      <c r="W636" s="10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2.75" customHeight="1">
      <c r="A637" s="10"/>
      <c r="B637" s="11"/>
      <c r="C637" s="10"/>
      <c r="D637" s="11"/>
      <c r="E637" s="10"/>
      <c r="F637" s="1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0"/>
      <c r="V637" s="11"/>
      <c r="W637" s="10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2.75" customHeight="1">
      <c r="A638" s="10"/>
      <c r="B638" s="11"/>
      <c r="C638" s="10"/>
      <c r="D638" s="11"/>
      <c r="E638" s="10"/>
      <c r="F638" s="1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0"/>
      <c r="V638" s="11"/>
      <c r="W638" s="10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2.75" customHeight="1">
      <c r="A639" s="10"/>
      <c r="B639" s="11"/>
      <c r="C639" s="10"/>
      <c r="D639" s="11"/>
      <c r="E639" s="10"/>
      <c r="F639" s="1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0"/>
      <c r="V639" s="11"/>
      <c r="W639" s="10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2.75" customHeight="1">
      <c r="A640" s="10"/>
      <c r="B640" s="11"/>
      <c r="C640" s="10"/>
      <c r="D640" s="11"/>
      <c r="E640" s="10"/>
      <c r="F640" s="1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0"/>
      <c r="V640" s="11"/>
      <c r="W640" s="10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2.75" customHeight="1">
      <c r="A641" s="10"/>
      <c r="B641" s="11"/>
      <c r="C641" s="10"/>
      <c r="D641" s="11"/>
      <c r="E641" s="10"/>
      <c r="F641" s="1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0"/>
      <c r="V641" s="11"/>
      <c r="W641" s="10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2.75" customHeight="1">
      <c r="A642" s="10"/>
      <c r="B642" s="11"/>
      <c r="C642" s="10"/>
      <c r="D642" s="11"/>
      <c r="E642" s="10"/>
      <c r="F642" s="1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0"/>
      <c r="V642" s="11"/>
      <c r="W642" s="10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2.75" customHeight="1">
      <c r="A643" s="10"/>
      <c r="B643" s="11"/>
      <c r="C643" s="10"/>
      <c r="D643" s="11"/>
      <c r="E643" s="10"/>
      <c r="F643" s="1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0"/>
      <c r="V643" s="11"/>
      <c r="W643" s="10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2.75" customHeight="1">
      <c r="A644" s="10"/>
      <c r="B644" s="11"/>
      <c r="C644" s="10"/>
      <c r="D644" s="11"/>
      <c r="E644" s="10"/>
      <c r="F644" s="1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0"/>
      <c r="V644" s="11"/>
      <c r="W644" s="10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2.75" customHeight="1">
      <c r="A645" s="10"/>
      <c r="B645" s="11"/>
      <c r="C645" s="10"/>
      <c r="D645" s="11"/>
      <c r="E645" s="10"/>
      <c r="F645" s="1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0"/>
      <c r="V645" s="11"/>
      <c r="W645" s="10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2.75" customHeight="1">
      <c r="A646" s="10"/>
      <c r="B646" s="11"/>
      <c r="C646" s="10"/>
      <c r="D646" s="11"/>
      <c r="E646" s="10"/>
      <c r="F646" s="1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0"/>
      <c r="V646" s="11"/>
      <c r="W646" s="10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2.75" customHeight="1">
      <c r="A647" s="10"/>
      <c r="B647" s="11"/>
      <c r="C647" s="10"/>
      <c r="D647" s="11"/>
      <c r="E647" s="10"/>
      <c r="F647" s="1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0"/>
      <c r="V647" s="11"/>
      <c r="W647" s="10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2.75" customHeight="1">
      <c r="A648" s="10"/>
      <c r="B648" s="11"/>
      <c r="C648" s="10"/>
      <c r="D648" s="11"/>
      <c r="E648" s="10"/>
      <c r="F648" s="1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0"/>
      <c r="V648" s="11"/>
      <c r="W648" s="10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2.75" customHeight="1">
      <c r="A649" s="10"/>
      <c r="B649" s="11"/>
      <c r="C649" s="10"/>
      <c r="D649" s="11"/>
      <c r="E649" s="10"/>
      <c r="F649" s="1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0"/>
      <c r="V649" s="11"/>
      <c r="W649" s="10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2.75" customHeight="1">
      <c r="A650" s="10"/>
      <c r="B650" s="11"/>
      <c r="C650" s="10"/>
      <c r="D650" s="11"/>
      <c r="E650" s="10"/>
      <c r="F650" s="1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0"/>
      <c r="V650" s="11"/>
      <c r="W650" s="10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2.75" customHeight="1">
      <c r="A651" s="10"/>
      <c r="B651" s="11"/>
      <c r="C651" s="10"/>
      <c r="D651" s="11"/>
      <c r="E651" s="10"/>
      <c r="F651" s="1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0"/>
      <c r="V651" s="11"/>
      <c r="W651" s="10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2.75" customHeight="1">
      <c r="A652" s="10"/>
      <c r="B652" s="11"/>
      <c r="C652" s="10"/>
      <c r="D652" s="11"/>
      <c r="E652" s="10"/>
      <c r="F652" s="1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0"/>
      <c r="V652" s="11"/>
      <c r="W652" s="10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2.75" customHeight="1">
      <c r="A653" s="10"/>
      <c r="B653" s="11"/>
      <c r="C653" s="10"/>
      <c r="D653" s="11"/>
      <c r="E653" s="10"/>
      <c r="F653" s="1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0"/>
      <c r="V653" s="11"/>
      <c r="W653" s="10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2.75" customHeight="1">
      <c r="A654" s="10"/>
      <c r="B654" s="11"/>
      <c r="C654" s="10"/>
      <c r="D654" s="11"/>
      <c r="E654" s="10"/>
      <c r="F654" s="1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0"/>
      <c r="V654" s="11"/>
      <c r="W654" s="10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2.75" customHeight="1">
      <c r="A655" s="10"/>
      <c r="B655" s="11"/>
      <c r="C655" s="10"/>
      <c r="D655" s="11"/>
      <c r="E655" s="10"/>
      <c r="F655" s="1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0"/>
      <c r="V655" s="11"/>
      <c r="W655" s="10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2.75" customHeight="1">
      <c r="A656" s="10"/>
      <c r="B656" s="11"/>
      <c r="C656" s="10"/>
      <c r="D656" s="11"/>
      <c r="E656" s="10"/>
      <c r="F656" s="1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0"/>
      <c r="V656" s="11"/>
      <c r="W656" s="10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2.75" customHeight="1">
      <c r="A657" s="10"/>
      <c r="B657" s="11"/>
      <c r="C657" s="10"/>
      <c r="D657" s="11"/>
      <c r="E657" s="10"/>
      <c r="F657" s="1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0"/>
      <c r="V657" s="11"/>
      <c r="W657" s="10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2.75" customHeight="1">
      <c r="A658" s="10"/>
      <c r="B658" s="11"/>
      <c r="C658" s="10"/>
      <c r="D658" s="11"/>
      <c r="E658" s="10"/>
      <c r="F658" s="1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0"/>
      <c r="V658" s="11"/>
      <c r="W658" s="10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2.75" customHeight="1">
      <c r="A659" s="10"/>
      <c r="B659" s="11"/>
      <c r="C659" s="10"/>
      <c r="D659" s="11"/>
      <c r="E659" s="10"/>
      <c r="F659" s="1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0"/>
      <c r="V659" s="11"/>
      <c r="W659" s="10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2.75" customHeight="1">
      <c r="A660" s="10"/>
      <c r="B660" s="11"/>
      <c r="C660" s="10"/>
      <c r="D660" s="11"/>
      <c r="E660" s="10"/>
      <c r="F660" s="1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0"/>
      <c r="V660" s="11"/>
      <c r="W660" s="10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2.75" customHeight="1">
      <c r="A661" s="10"/>
      <c r="B661" s="11"/>
      <c r="C661" s="10"/>
      <c r="D661" s="11"/>
      <c r="E661" s="10"/>
      <c r="F661" s="1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0"/>
      <c r="V661" s="11"/>
      <c r="W661" s="10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2.75" customHeight="1">
      <c r="A662" s="10"/>
      <c r="B662" s="11"/>
      <c r="C662" s="10"/>
      <c r="D662" s="11"/>
      <c r="E662" s="10"/>
      <c r="F662" s="1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0"/>
      <c r="V662" s="11"/>
      <c r="W662" s="10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2.75" customHeight="1">
      <c r="A663" s="10"/>
      <c r="B663" s="11"/>
      <c r="C663" s="10"/>
      <c r="D663" s="11"/>
      <c r="E663" s="10"/>
      <c r="F663" s="1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0"/>
      <c r="V663" s="11"/>
      <c r="W663" s="10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2.75" customHeight="1">
      <c r="A664" s="10"/>
      <c r="B664" s="11"/>
      <c r="C664" s="10"/>
      <c r="D664" s="11"/>
      <c r="E664" s="10"/>
      <c r="F664" s="1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0"/>
      <c r="V664" s="11"/>
      <c r="W664" s="10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2.75" customHeight="1">
      <c r="A665" s="10"/>
      <c r="B665" s="11"/>
      <c r="C665" s="10"/>
      <c r="D665" s="11"/>
      <c r="E665" s="10"/>
      <c r="F665" s="1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0"/>
      <c r="V665" s="11"/>
      <c r="W665" s="10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2.75" customHeight="1">
      <c r="A666" s="10"/>
      <c r="B666" s="11"/>
      <c r="C666" s="10"/>
      <c r="D666" s="11"/>
      <c r="E666" s="10"/>
      <c r="F666" s="1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0"/>
      <c r="V666" s="11"/>
      <c r="W666" s="10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2.75" customHeight="1">
      <c r="A667" s="10"/>
      <c r="B667" s="11"/>
      <c r="C667" s="10"/>
      <c r="D667" s="11"/>
      <c r="E667" s="10"/>
      <c r="F667" s="1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0"/>
      <c r="V667" s="11"/>
      <c r="W667" s="10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2.75" customHeight="1">
      <c r="A668" s="10"/>
      <c r="B668" s="11"/>
      <c r="C668" s="10"/>
      <c r="D668" s="11"/>
      <c r="E668" s="10"/>
      <c r="F668" s="1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0"/>
      <c r="V668" s="11"/>
      <c r="W668" s="10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2.75" customHeight="1">
      <c r="A669" s="10"/>
      <c r="B669" s="11"/>
      <c r="C669" s="10"/>
      <c r="D669" s="11"/>
      <c r="E669" s="10"/>
      <c r="F669" s="1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0"/>
      <c r="V669" s="11"/>
      <c r="W669" s="10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2.75" customHeight="1">
      <c r="A670" s="10"/>
      <c r="B670" s="11"/>
      <c r="C670" s="10"/>
      <c r="D670" s="11"/>
      <c r="E670" s="10"/>
      <c r="F670" s="1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0"/>
      <c r="V670" s="11"/>
      <c r="W670" s="10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2.75" customHeight="1">
      <c r="A671" s="10"/>
      <c r="B671" s="11"/>
      <c r="C671" s="10"/>
      <c r="D671" s="11"/>
      <c r="E671" s="10"/>
      <c r="F671" s="1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0"/>
      <c r="V671" s="11"/>
      <c r="W671" s="10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2.75" customHeight="1">
      <c r="A672" s="10"/>
      <c r="B672" s="11"/>
      <c r="C672" s="10"/>
      <c r="D672" s="11"/>
      <c r="E672" s="10"/>
      <c r="F672" s="1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0"/>
      <c r="V672" s="11"/>
      <c r="W672" s="10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2.75" customHeight="1">
      <c r="A673" s="10"/>
      <c r="B673" s="11"/>
      <c r="C673" s="10"/>
      <c r="D673" s="11"/>
      <c r="E673" s="10"/>
      <c r="F673" s="1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0"/>
      <c r="V673" s="11"/>
      <c r="W673" s="10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2.75" customHeight="1">
      <c r="A674" s="10"/>
      <c r="B674" s="11"/>
      <c r="C674" s="10"/>
      <c r="D674" s="11"/>
      <c r="E674" s="10"/>
      <c r="F674" s="1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0"/>
      <c r="V674" s="11"/>
      <c r="W674" s="10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2.75" customHeight="1">
      <c r="A675" s="10"/>
      <c r="B675" s="11"/>
      <c r="C675" s="10"/>
      <c r="D675" s="11"/>
      <c r="E675" s="10"/>
      <c r="F675" s="1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0"/>
      <c r="V675" s="11"/>
      <c r="W675" s="10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2.75" customHeight="1">
      <c r="A676" s="10"/>
      <c r="B676" s="11"/>
      <c r="C676" s="10"/>
      <c r="D676" s="11"/>
      <c r="E676" s="10"/>
      <c r="F676" s="1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0"/>
      <c r="V676" s="11"/>
      <c r="W676" s="10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2.75" customHeight="1">
      <c r="A677" s="10"/>
      <c r="B677" s="11"/>
      <c r="C677" s="10"/>
      <c r="D677" s="11"/>
      <c r="E677" s="10"/>
      <c r="F677" s="1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0"/>
      <c r="V677" s="11"/>
      <c r="W677" s="10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2.75" customHeight="1">
      <c r="A678" s="10"/>
      <c r="B678" s="11"/>
      <c r="C678" s="10"/>
      <c r="D678" s="11"/>
      <c r="E678" s="10"/>
      <c r="F678" s="1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0"/>
      <c r="V678" s="11"/>
      <c r="W678" s="10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2.75" customHeight="1">
      <c r="A679" s="10"/>
      <c r="B679" s="11"/>
      <c r="C679" s="10"/>
      <c r="D679" s="11"/>
      <c r="E679" s="10"/>
      <c r="F679" s="1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0"/>
      <c r="V679" s="11"/>
      <c r="W679" s="10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2.75" customHeight="1">
      <c r="A680" s="10"/>
      <c r="B680" s="11"/>
      <c r="C680" s="10"/>
      <c r="D680" s="11"/>
      <c r="E680" s="10"/>
      <c r="F680" s="1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0"/>
      <c r="V680" s="11"/>
      <c r="W680" s="10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2.75" customHeight="1">
      <c r="A681" s="10"/>
      <c r="B681" s="11"/>
      <c r="C681" s="10"/>
      <c r="D681" s="11"/>
      <c r="E681" s="10"/>
      <c r="F681" s="1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0"/>
      <c r="V681" s="11"/>
      <c r="W681" s="10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2.75" customHeight="1">
      <c r="A682" s="10"/>
      <c r="B682" s="11"/>
      <c r="C682" s="10"/>
      <c r="D682" s="11"/>
      <c r="E682" s="10"/>
      <c r="F682" s="1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0"/>
      <c r="V682" s="11"/>
      <c r="W682" s="10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2.75" customHeight="1">
      <c r="A683" s="10"/>
      <c r="B683" s="11"/>
      <c r="C683" s="10"/>
      <c r="D683" s="11"/>
      <c r="E683" s="10"/>
      <c r="F683" s="1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0"/>
      <c r="V683" s="11"/>
      <c r="W683" s="10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2.75" customHeight="1">
      <c r="A684" s="10"/>
      <c r="B684" s="11"/>
      <c r="C684" s="10"/>
      <c r="D684" s="11"/>
      <c r="E684" s="10"/>
      <c r="F684" s="1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0"/>
      <c r="V684" s="11"/>
      <c r="W684" s="10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2.75" customHeight="1">
      <c r="A685" s="10"/>
      <c r="B685" s="11"/>
      <c r="C685" s="10"/>
      <c r="D685" s="11"/>
      <c r="E685" s="10"/>
      <c r="F685" s="1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0"/>
      <c r="V685" s="11"/>
      <c r="W685" s="10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2.75" customHeight="1">
      <c r="A686" s="10"/>
      <c r="B686" s="11"/>
      <c r="C686" s="10"/>
      <c r="D686" s="11"/>
      <c r="E686" s="10"/>
      <c r="F686" s="1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0"/>
      <c r="V686" s="11"/>
      <c r="W686" s="10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2.75" customHeight="1">
      <c r="A687" s="10"/>
      <c r="B687" s="11"/>
      <c r="C687" s="10"/>
      <c r="D687" s="11"/>
      <c r="E687" s="10"/>
      <c r="F687" s="1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0"/>
      <c r="V687" s="11"/>
      <c r="W687" s="10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2.75" customHeight="1">
      <c r="A688" s="10"/>
      <c r="B688" s="11"/>
      <c r="C688" s="10"/>
      <c r="D688" s="11"/>
      <c r="E688" s="10"/>
      <c r="F688" s="1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0"/>
      <c r="V688" s="11"/>
      <c r="W688" s="10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2.75" customHeight="1">
      <c r="A689" s="10"/>
      <c r="B689" s="11"/>
      <c r="C689" s="10"/>
      <c r="D689" s="11"/>
      <c r="E689" s="10"/>
      <c r="F689" s="1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0"/>
      <c r="V689" s="11"/>
      <c r="W689" s="10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2.75" customHeight="1">
      <c r="A690" s="10"/>
      <c r="B690" s="11"/>
      <c r="C690" s="10"/>
      <c r="D690" s="11"/>
      <c r="E690" s="10"/>
      <c r="F690" s="1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0"/>
      <c r="V690" s="11"/>
      <c r="W690" s="10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2.75" customHeight="1">
      <c r="A691" s="10"/>
      <c r="B691" s="11"/>
      <c r="C691" s="10"/>
      <c r="D691" s="11"/>
      <c r="E691" s="10"/>
      <c r="F691" s="1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0"/>
      <c r="V691" s="11"/>
      <c r="W691" s="10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2.75" customHeight="1">
      <c r="A692" s="10"/>
      <c r="B692" s="11"/>
      <c r="C692" s="10"/>
      <c r="D692" s="11"/>
      <c r="E692" s="10"/>
      <c r="F692" s="1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0"/>
      <c r="V692" s="11"/>
      <c r="W692" s="10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2.75" customHeight="1">
      <c r="A693" s="10"/>
      <c r="B693" s="11"/>
      <c r="C693" s="10"/>
      <c r="D693" s="11"/>
      <c r="E693" s="10"/>
      <c r="F693" s="1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0"/>
      <c r="V693" s="11"/>
      <c r="W693" s="10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2.75" customHeight="1">
      <c r="A694" s="10"/>
      <c r="B694" s="11"/>
      <c r="C694" s="10"/>
      <c r="D694" s="11"/>
      <c r="E694" s="10"/>
      <c r="F694" s="1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0"/>
      <c r="V694" s="11"/>
      <c r="W694" s="10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2.75" customHeight="1">
      <c r="A695" s="10"/>
      <c r="B695" s="11"/>
      <c r="C695" s="10"/>
      <c r="D695" s="11"/>
      <c r="E695" s="10"/>
      <c r="F695" s="1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0"/>
      <c r="V695" s="11"/>
      <c r="W695" s="10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2.75" customHeight="1">
      <c r="A696" s="10"/>
      <c r="B696" s="11"/>
      <c r="C696" s="10"/>
      <c r="D696" s="11"/>
      <c r="E696" s="10"/>
      <c r="F696" s="1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0"/>
      <c r="V696" s="11"/>
      <c r="W696" s="10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2.75" customHeight="1">
      <c r="A697" s="10"/>
      <c r="B697" s="11"/>
      <c r="C697" s="10"/>
      <c r="D697" s="11"/>
      <c r="E697" s="10"/>
      <c r="F697" s="1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0"/>
      <c r="V697" s="11"/>
      <c r="W697" s="10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2.75" customHeight="1">
      <c r="A698" s="10"/>
      <c r="B698" s="11"/>
      <c r="C698" s="10"/>
      <c r="D698" s="11"/>
      <c r="E698" s="10"/>
      <c r="F698" s="1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0"/>
      <c r="V698" s="11"/>
      <c r="W698" s="10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2.75" customHeight="1">
      <c r="A699" s="10"/>
      <c r="B699" s="11"/>
      <c r="C699" s="10"/>
      <c r="D699" s="11"/>
      <c r="E699" s="10"/>
      <c r="F699" s="1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0"/>
      <c r="V699" s="11"/>
      <c r="W699" s="10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2.75" customHeight="1">
      <c r="A700" s="10"/>
      <c r="B700" s="11"/>
      <c r="C700" s="10"/>
      <c r="D700" s="11"/>
      <c r="E700" s="10"/>
      <c r="F700" s="1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0"/>
      <c r="V700" s="11"/>
      <c r="W700" s="10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2.75" customHeight="1">
      <c r="A701" s="10"/>
      <c r="B701" s="11"/>
      <c r="C701" s="10"/>
      <c r="D701" s="11"/>
      <c r="E701" s="10"/>
      <c r="F701" s="1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0"/>
      <c r="V701" s="11"/>
      <c r="W701" s="10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2.75" customHeight="1">
      <c r="A702" s="10"/>
      <c r="B702" s="11"/>
      <c r="C702" s="10"/>
      <c r="D702" s="11"/>
      <c r="E702" s="10"/>
      <c r="F702" s="1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0"/>
      <c r="V702" s="11"/>
      <c r="W702" s="10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2.75" customHeight="1">
      <c r="A703" s="10"/>
      <c r="B703" s="11"/>
      <c r="C703" s="10"/>
      <c r="D703" s="11"/>
      <c r="E703" s="10"/>
      <c r="F703" s="1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0"/>
      <c r="V703" s="11"/>
      <c r="W703" s="10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2.75" customHeight="1">
      <c r="A704" s="10"/>
      <c r="B704" s="11"/>
      <c r="C704" s="10"/>
      <c r="D704" s="11"/>
      <c r="E704" s="10"/>
      <c r="F704" s="1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0"/>
      <c r="V704" s="11"/>
      <c r="W704" s="10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2.75" customHeight="1">
      <c r="A705" s="10"/>
      <c r="B705" s="11"/>
      <c r="C705" s="10"/>
      <c r="D705" s="11"/>
      <c r="E705" s="10"/>
      <c r="F705" s="1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0"/>
      <c r="V705" s="11"/>
      <c r="W705" s="10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2.75" customHeight="1">
      <c r="A706" s="10"/>
      <c r="B706" s="11"/>
      <c r="C706" s="10"/>
      <c r="D706" s="11"/>
      <c r="E706" s="10"/>
      <c r="F706" s="1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0"/>
      <c r="V706" s="11"/>
      <c r="W706" s="10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2.75" customHeight="1">
      <c r="A707" s="10"/>
      <c r="B707" s="11"/>
      <c r="C707" s="10"/>
      <c r="D707" s="11"/>
      <c r="E707" s="10"/>
      <c r="F707" s="1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0"/>
      <c r="V707" s="11"/>
      <c r="W707" s="10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2.75" customHeight="1">
      <c r="A708" s="10"/>
      <c r="B708" s="11"/>
      <c r="C708" s="10"/>
      <c r="D708" s="11"/>
      <c r="E708" s="10"/>
      <c r="F708" s="1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0"/>
      <c r="V708" s="11"/>
      <c r="W708" s="10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2.75" customHeight="1">
      <c r="A709" s="10"/>
      <c r="B709" s="11"/>
      <c r="C709" s="10"/>
      <c r="D709" s="11"/>
      <c r="E709" s="10"/>
      <c r="F709" s="1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0"/>
      <c r="V709" s="11"/>
      <c r="W709" s="10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2.75" customHeight="1">
      <c r="A710" s="10"/>
      <c r="B710" s="11"/>
      <c r="C710" s="10"/>
      <c r="D710" s="11"/>
      <c r="E710" s="10"/>
      <c r="F710" s="1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0"/>
      <c r="V710" s="11"/>
      <c r="W710" s="10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2.75" customHeight="1">
      <c r="A711" s="10"/>
      <c r="B711" s="11"/>
      <c r="C711" s="10"/>
      <c r="D711" s="11"/>
      <c r="E711" s="10"/>
      <c r="F711" s="1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0"/>
      <c r="V711" s="11"/>
      <c r="W711" s="10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2.75" customHeight="1">
      <c r="A712" s="10"/>
      <c r="B712" s="11"/>
      <c r="C712" s="10"/>
      <c r="D712" s="11"/>
      <c r="E712" s="10"/>
      <c r="F712" s="1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0"/>
      <c r="V712" s="11"/>
      <c r="W712" s="10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2.75" customHeight="1">
      <c r="A713" s="10"/>
      <c r="B713" s="11"/>
      <c r="C713" s="10"/>
      <c r="D713" s="11"/>
      <c r="E713" s="10"/>
      <c r="F713" s="1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0"/>
      <c r="V713" s="11"/>
      <c r="W713" s="10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2.75" customHeight="1">
      <c r="A714" s="10"/>
      <c r="B714" s="11"/>
      <c r="C714" s="10"/>
      <c r="D714" s="11"/>
      <c r="E714" s="10"/>
      <c r="F714" s="1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0"/>
      <c r="V714" s="11"/>
      <c r="W714" s="10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2.75" customHeight="1">
      <c r="A715" s="10"/>
      <c r="B715" s="11"/>
      <c r="C715" s="10"/>
      <c r="D715" s="11"/>
      <c r="E715" s="10"/>
      <c r="F715" s="1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0"/>
      <c r="V715" s="11"/>
      <c r="W715" s="10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2.75" customHeight="1">
      <c r="A716" s="10"/>
      <c r="B716" s="11"/>
      <c r="C716" s="10"/>
      <c r="D716" s="11"/>
      <c r="E716" s="10"/>
      <c r="F716" s="1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0"/>
      <c r="V716" s="11"/>
      <c r="W716" s="10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2.75" customHeight="1">
      <c r="A717" s="10"/>
      <c r="B717" s="11"/>
      <c r="C717" s="10"/>
      <c r="D717" s="11"/>
      <c r="E717" s="10"/>
      <c r="F717" s="1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0"/>
      <c r="V717" s="11"/>
      <c r="W717" s="10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2.75" customHeight="1">
      <c r="A718" s="10"/>
      <c r="B718" s="11"/>
      <c r="C718" s="10"/>
      <c r="D718" s="11"/>
      <c r="E718" s="10"/>
      <c r="F718" s="1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0"/>
      <c r="V718" s="11"/>
      <c r="W718" s="10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2.75" customHeight="1">
      <c r="A719" s="10"/>
      <c r="B719" s="11"/>
      <c r="C719" s="10"/>
      <c r="D719" s="11"/>
      <c r="E719" s="10"/>
      <c r="F719" s="1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0"/>
      <c r="V719" s="11"/>
      <c r="W719" s="10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2.75" customHeight="1">
      <c r="A720" s="10"/>
      <c r="B720" s="11"/>
      <c r="C720" s="10"/>
      <c r="D720" s="11"/>
      <c r="E720" s="10"/>
      <c r="F720" s="1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0"/>
      <c r="V720" s="11"/>
      <c r="W720" s="10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2.75" customHeight="1">
      <c r="A721" s="10"/>
      <c r="B721" s="11"/>
      <c r="C721" s="10"/>
      <c r="D721" s="11"/>
      <c r="E721" s="10"/>
      <c r="F721" s="1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0"/>
      <c r="V721" s="11"/>
      <c r="W721" s="10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2.75" customHeight="1">
      <c r="A722" s="10"/>
      <c r="B722" s="11"/>
      <c r="C722" s="10"/>
      <c r="D722" s="11"/>
      <c r="E722" s="10"/>
      <c r="F722" s="1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0"/>
      <c r="V722" s="11"/>
      <c r="W722" s="10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2.75" customHeight="1">
      <c r="A723" s="10"/>
      <c r="B723" s="11"/>
      <c r="C723" s="10"/>
      <c r="D723" s="11"/>
      <c r="E723" s="10"/>
      <c r="F723" s="1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0"/>
      <c r="V723" s="11"/>
      <c r="W723" s="10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2.75" customHeight="1">
      <c r="A724" s="10"/>
      <c r="B724" s="11"/>
      <c r="C724" s="10"/>
      <c r="D724" s="11"/>
      <c r="E724" s="10"/>
      <c r="F724" s="1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0"/>
      <c r="V724" s="11"/>
      <c r="W724" s="10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2.75" customHeight="1">
      <c r="A725" s="10"/>
      <c r="B725" s="11"/>
      <c r="C725" s="10"/>
      <c r="D725" s="11"/>
      <c r="E725" s="10"/>
      <c r="F725" s="1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0"/>
      <c r="V725" s="11"/>
      <c r="W725" s="10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2.75" customHeight="1">
      <c r="A726" s="10"/>
      <c r="B726" s="11"/>
      <c r="C726" s="10"/>
      <c r="D726" s="11"/>
      <c r="E726" s="10"/>
      <c r="F726" s="1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0"/>
      <c r="V726" s="11"/>
      <c r="W726" s="10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2.75" customHeight="1">
      <c r="A727" s="10"/>
      <c r="B727" s="11"/>
      <c r="C727" s="10"/>
      <c r="D727" s="11"/>
      <c r="E727" s="10"/>
      <c r="F727" s="1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0"/>
      <c r="V727" s="11"/>
      <c r="W727" s="10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2.75" customHeight="1">
      <c r="A728" s="10"/>
      <c r="B728" s="11"/>
      <c r="C728" s="10"/>
      <c r="D728" s="11"/>
      <c r="E728" s="10"/>
      <c r="F728" s="1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0"/>
      <c r="V728" s="11"/>
      <c r="W728" s="10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2.75" customHeight="1">
      <c r="A729" s="10"/>
      <c r="B729" s="11"/>
      <c r="C729" s="10"/>
      <c r="D729" s="11"/>
      <c r="E729" s="10"/>
      <c r="F729" s="1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0"/>
      <c r="V729" s="11"/>
      <c r="W729" s="10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2.75" customHeight="1">
      <c r="A730" s="10"/>
      <c r="B730" s="11"/>
      <c r="C730" s="10"/>
      <c r="D730" s="11"/>
      <c r="E730" s="10"/>
      <c r="F730" s="1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0"/>
      <c r="V730" s="11"/>
      <c r="W730" s="10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2.75" customHeight="1">
      <c r="A731" s="10"/>
      <c r="B731" s="11"/>
      <c r="C731" s="10"/>
      <c r="D731" s="11"/>
      <c r="E731" s="10"/>
      <c r="F731" s="1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0"/>
      <c r="V731" s="11"/>
      <c r="W731" s="10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2.75" customHeight="1">
      <c r="A732" s="10"/>
      <c r="B732" s="11"/>
      <c r="C732" s="10"/>
      <c r="D732" s="11"/>
      <c r="E732" s="10"/>
      <c r="F732" s="1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0"/>
      <c r="V732" s="11"/>
      <c r="W732" s="10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2.75" customHeight="1">
      <c r="A733" s="10"/>
      <c r="B733" s="11"/>
      <c r="C733" s="10"/>
      <c r="D733" s="11"/>
      <c r="E733" s="10"/>
      <c r="F733" s="1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0"/>
      <c r="V733" s="11"/>
      <c r="W733" s="10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2.75" customHeight="1">
      <c r="A734" s="10"/>
      <c r="B734" s="11"/>
      <c r="C734" s="10"/>
      <c r="D734" s="11"/>
      <c r="E734" s="10"/>
      <c r="F734" s="1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0"/>
      <c r="V734" s="11"/>
      <c r="W734" s="10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2.75" customHeight="1">
      <c r="A735" s="10"/>
      <c r="B735" s="11"/>
      <c r="C735" s="10"/>
      <c r="D735" s="11"/>
      <c r="E735" s="10"/>
      <c r="F735" s="1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0"/>
      <c r="V735" s="11"/>
      <c r="W735" s="10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2.75" customHeight="1">
      <c r="A736" s="10"/>
      <c r="B736" s="11"/>
      <c r="C736" s="10"/>
      <c r="D736" s="11"/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0"/>
      <c r="V736" s="11"/>
      <c r="W736" s="10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2.75" customHeight="1">
      <c r="A737" s="10"/>
      <c r="B737" s="11"/>
      <c r="C737" s="10"/>
      <c r="D737" s="11"/>
      <c r="E737" s="10"/>
      <c r="F737" s="1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0"/>
      <c r="V737" s="11"/>
      <c r="W737" s="10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2.75" customHeight="1">
      <c r="A738" s="10"/>
      <c r="B738" s="11"/>
      <c r="C738" s="10"/>
      <c r="D738" s="11"/>
      <c r="E738" s="10"/>
      <c r="F738" s="1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0"/>
      <c r="V738" s="11"/>
      <c r="W738" s="10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2.75" customHeight="1">
      <c r="A739" s="10"/>
      <c r="B739" s="11"/>
      <c r="C739" s="10"/>
      <c r="D739" s="11"/>
      <c r="E739" s="10"/>
      <c r="F739" s="1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0"/>
      <c r="V739" s="11"/>
      <c r="W739" s="10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2.75" customHeight="1">
      <c r="A740" s="10"/>
      <c r="B740" s="11"/>
      <c r="C740" s="10"/>
      <c r="D740" s="11"/>
      <c r="E740" s="10"/>
      <c r="F740" s="1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0"/>
      <c r="V740" s="11"/>
      <c r="W740" s="10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2.75" customHeight="1">
      <c r="A741" s="10"/>
      <c r="B741" s="11"/>
      <c r="C741" s="10"/>
      <c r="D741" s="11"/>
      <c r="E741" s="10"/>
      <c r="F741" s="1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0"/>
      <c r="V741" s="11"/>
      <c r="W741" s="10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2.75" customHeight="1">
      <c r="A742" s="10"/>
      <c r="B742" s="11"/>
      <c r="C742" s="10"/>
      <c r="D742" s="11"/>
      <c r="E742" s="10"/>
      <c r="F742" s="1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0"/>
      <c r="V742" s="11"/>
      <c r="W742" s="10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2.75" customHeight="1">
      <c r="A743" s="10"/>
      <c r="B743" s="11"/>
      <c r="C743" s="10"/>
      <c r="D743" s="11"/>
      <c r="E743" s="10"/>
      <c r="F743" s="1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0"/>
      <c r="V743" s="11"/>
      <c r="W743" s="10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2.75" customHeight="1">
      <c r="A744" s="10"/>
      <c r="B744" s="11"/>
      <c r="C744" s="10"/>
      <c r="D744" s="11"/>
      <c r="E744" s="10"/>
      <c r="F744" s="1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0"/>
      <c r="V744" s="11"/>
      <c r="W744" s="10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2.75" customHeight="1">
      <c r="A745" s="10"/>
      <c r="B745" s="11"/>
      <c r="C745" s="10"/>
      <c r="D745" s="11"/>
      <c r="E745" s="10"/>
      <c r="F745" s="1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0"/>
      <c r="V745" s="11"/>
      <c r="W745" s="10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2.75" customHeight="1">
      <c r="A746" s="10"/>
      <c r="B746" s="11"/>
      <c r="C746" s="10"/>
      <c r="D746" s="11"/>
      <c r="E746" s="10"/>
      <c r="F746" s="1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0"/>
      <c r="V746" s="11"/>
      <c r="W746" s="10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2.75" customHeight="1">
      <c r="A747" s="10"/>
      <c r="B747" s="11"/>
      <c r="C747" s="10"/>
      <c r="D747" s="11"/>
      <c r="E747" s="10"/>
      <c r="F747" s="1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0"/>
      <c r="V747" s="11"/>
      <c r="W747" s="10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2.75" customHeight="1">
      <c r="A748" s="10"/>
      <c r="B748" s="11"/>
      <c r="C748" s="10"/>
      <c r="D748" s="11"/>
      <c r="E748" s="10"/>
      <c r="F748" s="1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0"/>
      <c r="V748" s="11"/>
      <c r="W748" s="10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2.75" customHeight="1">
      <c r="A749" s="10"/>
      <c r="B749" s="11"/>
      <c r="C749" s="10"/>
      <c r="D749" s="11"/>
      <c r="E749" s="10"/>
      <c r="F749" s="1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0"/>
      <c r="V749" s="11"/>
      <c r="W749" s="10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2.75" customHeight="1">
      <c r="A750" s="10"/>
      <c r="B750" s="11"/>
      <c r="C750" s="10"/>
      <c r="D750" s="11"/>
      <c r="E750" s="10"/>
      <c r="F750" s="1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0"/>
      <c r="V750" s="11"/>
      <c r="W750" s="10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2.75" customHeight="1">
      <c r="A751" s="10"/>
      <c r="B751" s="11"/>
      <c r="C751" s="10"/>
      <c r="D751" s="11"/>
      <c r="E751" s="10"/>
      <c r="F751" s="1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0"/>
      <c r="V751" s="11"/>
      <c r="W751" s="10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2.75" customHeight="1">
      <c r="A752" s="10"/>
      <c r="B752" s="11"/>
      <c r="C752" s="10"/>
      <c r="D752" s="11"/>
      <c r="E752" s="10"/>
      <c r="F752" s="1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0"/>
      <c r="V752" s="11"/>
      <c r="W752" s="10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2.75" customHeight="1">
      <c r="A753" s="10"/>
      <c r="B753" s="11"/>
      <c r="C753" s="10"/>
      <c r="D753" s="11"/>
      <c r="E753" s="10"/>
      <c r="F753" s="1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0"/>
      <c r="V753" s="11"/>
      <c r="W753" s="10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2.75" customHeight="1">
      <c r="A754" s="10"/>
      <c r="B754" s="11"/>
      <c r="C754" s="10"/>
      <c r="D754" s="11"/>
      <c r="E754" s="10"/>
      <c r="F754" s="1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0"/>
      <c r="V754" s="11"/>
      <c r="W754" s="10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2.75" customHeight="1">
      <c r="A755" s="10"/>
      <c r="B755" s="11"/>
      <c r="C755" s="10"/>
      <c r="D755" s="11"/>
      <c r="E755" s="10"/>
      <c r="F755" s="1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0"/>
      <c r="V755" s="11"/>
      <c r="W755" s="10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2.75" customHeight="1">
      <c r="A756" s="10"/>
      <c r="B756" s="11"/>
      <c r="C756" s="10"/>
      <c r="D756" s="11"/>
      <c r="E756" s="10"/>
      <c r="F756" s="1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0"/>
      <c r="V756" s="11"/>
      <c r="W756" s="10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2.75" customHeight="1">
      <c r="A757" s="10"/>
      <c r="B757" s="11"/>
      <c r="C757" s="10"/>
      <c r="D757" s="11"/>
      <c r="E757" s="10"/>
      <c r="F757" s="1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0"/>
      <c r="V757" s="11"/>
      <c r="W757" s="10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2.75" customHeight="1">
      <c r="A758" s="10"/>
      <c r="B758" s="11"/>
      <c r="C758" s="10"/>
      <c r="D758" s="11"/>
      <c r="E758" s="10"/>
      <c r="F758" s="1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0"/>
      <c r="V758" s="11"/>
      <c r="W758" s="10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2.75" customHeight="1">
      <c r="A759" s="10"/>
      <c r="B759" s="11"/>
      <c r="C759" s="10"/>
      <c r="D759" s="11"/>
      <c r="E759" s="10"/>
      <c r="F759" s="1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0"/>
      <c r="V759" s="11"/>
      <c r="W759" s="10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2.75" customHeight="1">
      <c r="A760" s="10"/>
      <c r="B760" s="11"/>
      <c r="C760" s="10"/>
      <c r="D760" s="11"/>
      <c r="E760" s="10"/>
      <c r="F760" s="1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0"/>
      <c r="V760" s="11"/>
      <c r="W760" s="10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2.75" customHeight="1">
      <c r="A761" s="10"/>
      <c r="B761" s="11"/>
      <c r="C761" s="10"/>
      <c r="D761" s="11"/>
      <c r="E761" s="10"/>
      <c r="F761" s="1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0"/>
      <c r="V761" s="11"/>
      <c r="W761" s="10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2.75" customHeight="1">
      <c r="A762" s="10"/>
      <c r="B762" s="11"/>
      <c r="C762" s="10"/>
      <c r="D762" s="11"/>
      <c r="E762" s="10"/>
      <c r="F762" s="1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0"/>
      <c r="V762" s="11"/>
      <c r="W762" s="10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2.75" customHeight="1">
      <c r="A763" s="10"/>
      <c r="B763" s="11"/>
      <c r="C763" s="10"/>
      <c r="D763" s="11"/>
      <c r="E763" s="10"/>
      <c r="F763" s="1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0"/>
      <c r="V763" s="11"/>
      <c r="W763" s="10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2.75" customHeight="1">
      <c r="A764" s="10"/>
      <c r="B764" s="11"/>
      <c r="C764" s="10"/>
      <c r="D764" s="11"/>
      <c r="E764" s="10"/>
      <c r="F764" s="1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0"/>
      <c r="V764" s="11"/>
      <c r="W764" s="10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2.75" customHeight="1">
      <c r="A765" s="10"/>
      <c r="B765" s="11"/>
      <c r="C765" s="10"/>
      <c r="D765" s="11"/>
      <c r="E765" s="10"/>
      <c r="F765" s="1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0"/>
      <c r="V765" s="11"/>
      <c r="W765" s="10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2.75" customHeight="1">
      <c r="A766" s="10"/>
      <c r="B766" s="11"/>
      <c r="C766" s="10"/>
      <c r="D766" s="11"/>
      <c r="E766" s="10"/>
      <c r="F766" s="1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0"/>
      <c r="V766" s="11"/>
      <c r="W766" s="10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2.75" customHeight="1">
      <c r="A767" s="10"/>
      <c r="B767" s="11"/>
      <c r="C767" s="10"/>
      <c r="D767" s="11"/>
      <c r="E767" s="10"/>
      <c r="F767" s="1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0"/>
      <c r="V767" s="11"/>
      <c r="W767" s="10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2.75" customHeight="1">
      <c r="A768" s="10"/>
      <c r="B768" s="11"/>
      <c r="C768" s="10"/>
      <c r="D768" s="11"/>
      <c r="E768" s="10"/>
      <c r="F768" s="1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0"/>
      <c r="V768" s="11"/>
      <c r="W768" s="10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2.75" customHeight="1">
      <c r="A769" s="10"/>
      <c r="B769" s="11"/>
      <c r="C769" s="10"/>
      <c r="D769" s="11"/>
      <c r="E769" s="10"/>
      <c r="F769" s="1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0"/>
      <c r="V769" s="11"/>
      <c r="W769" s="10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2.75" customHeight="1">
      <c r="A770" s="10"/>
      <c r="B770" s="11"/>
      <c r="C770" s="10"/>
      <c r="D770" s="11"/>
      <c r="E770" s="10"/>
      <c r="F770" s="1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0"/>
      <c r="V770" s="11"/>
      <c r="W770" s="10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2.75" customHeight="1">
      <c r="A771" s="10"/>
      <c r="B771" s="11"/>
      <c r="C771" s="10"/>
      <c r="D771" s="11"/>
      <c r="E771" s="10"/>
      <c r="F771" s="1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0"/>
      <c r="V771" s="11"/>
      <c r="W771" s="10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2.75" customHeight="1">
      <c r="A772" s="10"/>
      <c r="B772" s="11"/>
      <c r="C772" s="10"/>
      <c r="D772" s="11"/>
      <c r="E772" s="10"/>
      <c r="F772" s="1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0"/>
      <c r="V772" s="11"/>
      <c r="W772" s="10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2.75" customHeight="1">
      <c r="A773" s="10"/>
      <c r="B773" s="11"/>
      <c r="C773" s="10"/>
      <c r="D773" s="11"/>
      <c r="E773" s="10"/>
      <c r="F773" s="1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0"/>
      <c r="V773" s="11"/>
      <c r="W773" s="10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2.75" customHeight="1">
      <c r="A774" s="10"/>
      <c r="B774" s="11"/>
      <c r="C774" s="10"/>
      <c r="D774" s="11"/>
      <c r="E774" s="10"/>
      <c r="F774" s="1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0"/>
      <c r="V774" s="11"/>
      <c r="W774" s="10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2.75" customHeight="1">
      <c r="A775" s="10"/>
      <c r="B775" s="11"/>
      <c r="C775" s="10"/>
      <c r="D775" s="11"/>
      <c r="E775" s="10"/>
      <c r="F775" s="1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0"/>
      <c r="V775" s="11"/>
      <c r="W775" s="10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2.75" customHeight="1">
      <c r="A776" s="10"/>
      <c r="B776" s="11"/>
      <c r="C776" s="10"/>
      <c r="D776" s="11"/>
      <c r="E776" s="10"/>
      <c r="F776" s="1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0"/>
      <c r="V776" s="11"/>
      <c r="W776" s="10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2.75" customHeight="1">
      <c r="A777" s="10"/>
      <c r="B777" s="11"/>
      <c r="C777" s="10"/>
      <c r="D777" s="11"/>
      <c r="E777" s="10"/>
      <c r="F777" s="1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0"/>
      <c r="V777" s="11"/>
      <c r="W777" s="10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2.75" customHeight="1">
      <c r="A778" s="10"/>
      <c r="B778" s="11"/>
      <c r="C778" s="10"/>
      <c r="D778" s="11"/>
      <c r="E778" s="10"/>
      <c r="F778" s="1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0"/>
      <c r="V778" s="11"/>
      <c r="W778" s="10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2.75" customHeight="1">
      <c r="A779" s="10"/>
      <c r="B779" s="11"/>
      <c r="C779" s="10"/>
      <c r="D779" s="11"/>
      <c r="E779" s="10"/>
      <c r="F779" s="1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0"/>
      <c r="V779" s="11"/>
      <c r="W779" s="10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2.75" customHeight="1">
      <c r="A780" s="10"/>
      <c r="B780" s="11"/>
      <c r="C780" s="10"/>
      <c r="D780" s="11"/>
      <c r="E780" s="10"/>
      <c r="F780" s="1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0"/>
      <c r="V780" s="11"/>
      <c r="W780" s="10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2.75" customHeight="1">
      <c r="A781" s="10"/>
      <c r="B781" s="11"/>
      <c r="C781" s="10"/>
      <c r="D781" s="11"/>
      <c r="E781" s="10"/>
      <c r="F781" s="1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0"/>
      <c r="V781" s="11"/>
      <c r="W781" s="10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2.75" customHeight="1">
      <c r="A782" s="10"/>
      <c r="B782" s="11"/>
      <c r="C782" s="10"/>
      <c r="D782" s="11"/>
      <c r="E782" s="10"/>
      <c r="F782" s="1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0"/>
      <c r="V782" s="11"/>
      <c r="W782" s="10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2.75" customHeight="1">
      <c r="A783" s="10"/>
      <c r="B783" s="11"/>
      <c r="C783" s="10"/>
      <c r="D783" s="11"/>
      <c r="E783" s="10"/>
      <c r="F783" s="1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0"/>
      <c r="V783" s="11"/>
      <c r="W783" s="10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2.75" customHeight="1">
      <c r="A784" s="10"/>
      <c r="B784" s="11"/>
      <c r="C784" s="10"/>
      <c r="D784" s="11"/>
      <c r="E784" s="10"/>
      <c r="F784" s="1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0"/>
      <c r="V784" s="11"/>
      <c r="W784" s="10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2.75" customHeight="1">
      <c r="A785" s="10"/>
      <c r="B785" s="11"/>
      <c r="C785" s="10"/>
      <c r="D785" s="11"/>
      <c r="E785" s="10"/>
      <c r="F785" s="1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0"/>
      <c r="V785" s="11"/>
      <c r="W785" s="10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2.75" customHeight="1">
      <c r="A786" s="10"/>
      <c r="B786" s="11"/>
      <c r="C786" s="10"/>
      <c r="D786" s="11"/>
      <c r="E786" s="10"/>
      <c r="F786" s="1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0"/>
      <c r="V786" s="11"/>
      <c r="W786" s="10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2.75" customHeight="1">
      <c r="A787" s="10"/>
      <c r="B787" s="11"/>
      <c r="C787" s="10"/>
      <c r="D787" s="11"/>
      <c r="E787" s="10"/>
      <c r="F787" s="1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0"/>
      <c r="V787" s="11"/>
      <c r="W787" s="10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2.75" customHeight="1">
      <c r="A788" s="10"/>
      <c r="B788" s="11"/>
      <c r="C788" s="10"/>
      <c r="D788" s="11"/>
      <c r="E788" s="10"/>
      <c r="F788" s="1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0"/>
      <c r="V788" s="11"/>
      <c r="W788" s="10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2.75" customHeight="1">
      <c r="A789" s="10"/>
      <c r="B789" s="11"/>
      <c r="C789" s="10"/>
      <c r="D789" s="11"/>
      <c r="E789" s="10"/>
      <c r="F789" s="1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0"/>
      <c r="V789" s="11"/>
      <c r="W789" s="10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2.75" customHeight="1">
      <c r="A790" s="10"/>
      <c r="B790" s="11"/>
      <c r="C790" s="10"/>
      <c r="D790" s="11"/>
      <c r="E790" s="10"/>
      <c r="F790" s="1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0"/>
      <c r="V790" s="11"/>
      <c r="W790" s="10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2.75" customHeight="1">
      <c r="A791" s="10"/>
      <c r="B791" s="11"/>
      <c r="C791" s="10"/>
      <c r="D791" s="11"/>
      <c r="E791" s="10"/>
      <c r="F791" s="1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0"/>
      <c r="V791" s="11"/>
      <c r="W791" s="10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2.75" customHeight="1">
      <c r="A792" s="10"/>
      <c r="B792" s="11"/>
      <c r="C792" s="10"/>
      <c r="D792" s="11"/>
      <c r="E792" s="10"/>
      <c r="F792" s="1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0"/>
      <c r="V792" s="11"/>
      <c r="W792" s="10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2.75" customHeight="1">
      <c r="A793" s="10"/>
      <c r="B793" s="11"/>
      <c r="C793" s="10"/>
      <c r="D793" s="11"/>
      <c r="E793" s="10"/>
      <c r="F793" s="1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0"/>
      <c r="V793" s="11"/>
      <c r="W793" s="10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2.75" customHeight="1">
      <c r="A794" s="10"/>
      <c r="B794" s="11"/>
      <c r="C794" s="10"/>
      <c r="D794" s="11"/>
      <c r="E794" s="10"/>
      <c r="F794" s="1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0"/>
      <c r="V794" s="11"/>
      <c r="W794" s="10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2.75" customHeight="1">
      <c r="A795" s="10"/>
      <c r="B795" s="11"/>
      <c r="C795" s="10"/>
      <c r="D795" s="11"/>
      <c r="E795" s="10"/>
      <c r="F795" s="1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0"/>
      <c r="V795" s="11"/>
      <c r="W795" s="10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2.75" customHeight="1">
      <c r="A796" s="10"/>
      <c r="B796" s="11"/>
      <c r="C796" s="10"/>
      <c r="D796" s="11"/>
      <c r="E796" s="10"/>
      <c r="F796" s="1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0"/>
      <c r="V796" s="11"/>
      <c r="W796" s="10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2.75" customHeight="1">
      <c r="A797" s="10"/>
      <c r="B797" s="11"/>
      <c r="C797" s="10"/>
      <c r="D797" s="11"/>
      <c r="E797" s="10"/>
      <c r="F797" s="1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0"/>
      <c r="V797" s="11"/>
      <c r="W797" s="10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2.75" customHeight="1">
      <c r="A798" s="10"/>
      <c r="B798" s="11"/>
      <c r="C798" s="10"/>
      <c r="D798" s="11"/>
      <c r="E798" s="10"/>
      <c r="F798" s="1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0"/>
      <c r="V798" s="11"/>
      <c r="W798" s="10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2.75" customHeight="1">
      <c r="A799" s="10"/>
      <c r="B799" s="11"/>
      <c r="C799" s="10"/>
      <c r="D799" s="11"/>
      <c r="E799" s="10"/>
      <c r="F799" s="1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0"/>
      <c r="V799" s="11"/>
      <c r="W799" s="10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2.75" customHeight="1">
      <c r="A800" s="10"/>
      <c r="B800" s="11"/>
      <c r="C800" s="10"/>
      <c r="D800" s="11"/>
      <c r="E800" s="10"/>
      <c r="F800" s="1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0"/>
      <c r="V800" s="11"/>
      <c r="W800" s="10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2.75" customHeight="1">
      <c r="A801" s="10"/>
      <c r="B801" s="11"/>
      <c r="C801" s="10"/>
      <c r="D801" s="11"/>
      <c r="E801" s="10"/>
      <c r="F801" s="1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0"/>
      <c r="V801" s="11"/>
      <c r="W801" s="10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2.75" customHeight="1">
      <c r="A802" s="10"/>
      <c r="B802" s="11"/>
      <c r="C802" s="10"/>
      <c r="D802" s="11"/>
      <c r="E802" s="10"/>
      <c r="F802" s="1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0"/>
      <c r="V802" s="11"/>
      <c r="W802" s="10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2.75" customHeight="1">
      <c r="A803" s="10"/>
      <c r="B803" s="11"/>
      <c r="C803" s="10"/>
      <c r="D803" s="11"/>
      <c r="E803" s="10"/>
      <c r="F803" s="1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0"/>
      <c r="V803" s="11"/>
      <c r="W803" s="10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2.75" customHeight="1">
      <c r="A804" s="10"/>
      <c r="B804" s="11"/>
      <c r="C804" s="10"/>
      <c r="D804" s="11"/>
      <c r="E804" s="10"/>
      <c r="F804" s="1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0"/>
      <c r="V804" s="11"/>
      <c r="W804" s="10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2.75" customHeight="1">
      <c r="A805" s="10"/>
      <c r="B805" s="11"/>
      <c r="C805" s="10"/>
      <c r="D805" s="11"/>
      <c r="E805" s="10"/>
      <c r="F805" s="1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0"/>
      <c r="V805" s="11"/>
      <c r="W805" s="10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2.75" customHeight="1">
      <c r="A806" s="10"/>
      <c r="B806" s="11"/>
      <c r="C806" s="10"/>
      <c r="D806" s="11"/>
      <c r="E806" s="10"/>
      <c r="F806" s="1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0"/>
      <c r="V806" s="11"/>
      <c r="W806" s="10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2.75" customHeight="1">
      <c r="A807" s="10"/>
      <c r="B807" s="11"/>
      <c r="C807" s="10"/>
      <c r="D807" s="11"/>
      <c r="E807" s="10"/>
      <c r="F807" s="1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0"/>
      <c r="V807" s="11"/>
      <c r="W807" s="10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2.75" customHeight="1">
      <c r="A808" s="10"/>
      <c r="B808" s="11"/>
      <c r="C808" s="10"/>
      <c r="D808" s="11"/>
      <c r="E808" s="10"/>
      <c r="F808" s="1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0"/>
      <c r="V808" s="11"/>
      <c r="W808" s="10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2.75" customHeight="1">
      <c r="A809" s="10"/>
      <c r="B809" s="11"/>
      <c r="C809" s="10"/>
      <c r="D809" s="11"/>
      <c r="E809" s="10"/>
      <c r="F809" s="1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0"/>
      <c r="V809" s="11"/>
      <c r="W809" s="10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2.75" customHeight="1">
      <c r="A810" s="10"/>
      <c r="B810" s="11"/>
      <c r="C810" s="10"/>
      <c r="D810" s="11"/>
      <c r="E810" s="10"/>
      <c r="F810" s="1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0"/>
      <c r="V810" s="11"/>
      <c r="W810" s="10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2.75" customHeight="1">
      <c r="A811" s="10"/>
      <c r="B811" s="11"/>
      <c r="C811" s="10"/>
      <c r="D811" s="11"/>
      <c r="E811" s="10"/>
      <c r="F811" s="1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0"/>
      <c r="V811" s="11"/>
      <c r="W811" s="10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2.75" customHeight="1">
      <c r="A812" s="10"/>
      <c r="B812" s="11"/>
      <c r="C812" s="10"/>
      <c r="D812" s="11"/>
      <c r="E812" s="10"/>
      <c r="F812" s="1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0"/>
      <c r="V812" s="11"/>
      <c r="W812" s="10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2.75" customHeight="1">
      <c r="A813" s="10"/>
      <c r="B813" s="11"/>
      <c r="C813" s="10"/>
      <c r="D813" s="11"/>
      <c r="E813" s="10"/>
      <c r="F813" s="1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0"/>
      <c r="V813" s="11"/>
      <c r="W813" s="10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2.75" customHeight="1">
      <c r="A814" s="10"/>
      <c r="B814" s="11"/>
      <c r="C814" s="10"/>
      <c r="D814" s="11"/>
      <c r="E814" s="10"/>
      <c r="F814" s="1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0"/>
      <c r="V814" s="11"/>
      <c r="W814" s="10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2.75" customHeight="1">
      <c r="A815" s="10"/>
      <c r="B815" s="11"/>
      <c r="C815" s="10"/>
      <c r="D815" s="11"/>
      <c r="E815" s="10"/>
      <c r="F815" s="1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0"/>
      <c r="V815" s="11"/>
      <c r="W815" s="10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2.75" customHeight="1">
      <c r="A816" s="10"/>
      <c r="B816" s="11"/>
      <c r="C816" s="10"/>
      <c r="D816" s="11"/>
      <c r="E816" s="10"/>
      <c r="F816" s="1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0"/>
      <c r="V816" s="11"/>
      <c r="W816" s="10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2.75" customHeight="1">
      <c r="A817" s="10"/>
      <c r="B817" s="11"/>
      <c r="C817" s="10"/>
      <c r="D817" s="11"/>
      <c r="E817" s="10"/>
      <c r="F817" s="1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0"/>
      <c r="V817" s="11"/>
      <c r="W817" s="10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2.75" customHeight="1">
      <c r="A818" s="10"/>
      <c r="B818" s="11"/>
      <c r="C818" s="10"/>
      <c r="D818" s="11"/>
      <c r="E818" s="10"/>
      <c r="F818" s="1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0"/>
      <c r="V818" s="11"/>
      <c r="W818" s="10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2.75" customHeight="1">
      <c r="A819" s="10"/>
      <c r="B819" s="11"/>
      <c r="C819" s="10"/>
      <c r="D819" s="11"/>
      <c r="E819" s="10"/>
      <c r="F819" s="1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0"/>
      <c r="V819" s="11"/>
      <c r="W819" s="10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2.75" customHeight="1">
      <c r="A820" s="10"/>
      <c r="B820" s="11"/>
      <c r="C820" s="10"/>
      <c r="D820" s="11"/>
      <c r="E820" s="10"/>
      <c r="F820" s="1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0"/>
      <c r="V820" s="11"/>
      <c r="W820" s="10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2.75" customHeight="1">
      <c r="A821" s="10"/>
      <c r="B821" s="11"/>
      <c r="C821" s="10"/>
      <c r="D821" s="11"/>
      <c r="E821" s="10"/>
      <c r="F821" s="1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0"/>
      <c r="V821" s="11"/>
      <c r="W821" s="10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2.75" customHeight="1">
      <c r="A822" s="10"/>
      <c r="B822" s="11"/>
      <c r="C822" s="10"/>
      <c r="D822" s="11"/>
      <c r="E822" s="10"/>
      <c r="F822" s="1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0"/>
      <c r="V822" s="11"/>
      <c r="W822" s="10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2.75" customHeight="1">
      <c r="A823" s="10"/>
      <c r="B823" s="11"/>
      <c r="C823" s="10"/>
      <c r="D823" s="11"/>
      <c r="E823" s="10"/>
      <c r="F823" s="1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0"/>
      <c r="V823" s="11"/>
      <c r="W823" s="10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2.75" customHeight="1">
      <c r="A824" s="10"/>
      <c r="B824" s="11"/>
      <c r="C824" s="10"/>
      <c r="D824" s="11"/>
      <c r="E824" s="10"/>
      <c r="F824" s="1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0"/>
      <c r="V824" s="11"/>
      <c r="W824" s="10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2.75" customHeight="1">
      <c r="A825" s="10"/>
      <c r="B825" s="11"/>
      <c r="C825" s="10"/>
      <c r="D825" s="11"/>
      <c r="E825" s="10"/>
      <c r="F825" s="1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0"/>
      <c r="V825" s="11"/>
      <c r="W825" s="10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2.75" customHeight="1">
      <c r="A826" s="10"/>
      <c r="B826" s="11"/>
      <c r="C826" s="10"/>
      <c r="D826" s="11"/>
      <c r="E826" s="10"/>
      <c r="F826" s="1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0"/>
      <c r="V826" s="11"/>
      <c r="W826" s="10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2.75" customHeight="1">
      <c r="A827" s="10"/>
      <c r="B827" s="11"/>
      <c r="C827" s="10"/>
      <c r="D827" s="11"/>
      <c r="E827" s="10"/>
      <c r="F827" s="1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0"/>
      <c r="V827" s="11"/>
      <c r="W827" s="10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2.75" customHeight="1">
      <c r="A828" s="10"/>
      <c r="B828" s="11"/>
      <c r="C828" s="10"/>
      <c r="D828" s="11"/>
      <c r="E828" s="10"/>
      <c r="F828" s="1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0"/>
      <c r="V828" s="11"/>
      <c r="W828" s="10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2.75" customHeight="1">
      <c r="A829" s="10"/>
      <c r="B829" s="11"/>
      <c r="C829" s="10"/>
      <c r="D829" s="11"/>
      <c r="E829" s="10"/>
      <c r="F829" s="1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0"/>
      <c r="V829" s="11"/>
      <c r="W829" s="10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2.75" customHeight="1">
      <c r="A830" s="10"/>
      <c r="B830" s="11"/>
      <c r="C830" s="10"/>
      <c r="D830" s="11"/>
      <c r="E830" s="10"/>
      <c r="F830" s="1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0"/>
      <c r="V830" s="11"/>
      <c r="W830" s="10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2.75" customHeight="1">
      <c r="A831" s="10"/>
      <c r="B831" s="11"/>
      <c r="C831" s="10"/>
      <c r="D831" s="11"/>
      <c r="E831" s="10"/>
      <c r="F831" s="1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0"/>
      <c r="V831" s="11"/>
      <c r="W831" s="10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2.75" customHeight="1">
      <c r="A832" s="10"/>
      <c r="B832" s="11"/>
      <c r="C832" s="10"/>
      <c r="D832" s="11"/>
      <c r="E832" s="10"/>
      <c r="F832" s="1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0"/>
      <c r="V832" s="11"/>
      <c r="W832" s="10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2.75" customHeight="1">
      <c r="A833" s="10"/>
      <c r="B833" s="11"/>
      <c r="C833" s="10"/>
      <c r="D833" s="11"/>
      <c r="E833" s="10"/>
      <c r="F833" s="1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0"/>
      <c r="V833" s="11"/>
      <c r="W833" s="10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2.75" customHeight="1">
      <c r="A834" s="10"/>
      <c r="B834" s="11"/>
      <c r="C834" s="10"/>
      <c r="D834" s="11"/>
      <c r="E834" s="10"/>
      <c r="F834" s="1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0"/>
      <c r="V834" s="11"/>
      <c r="W834" s="10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2.75" customHeight="1">
      <c r="A835" s="10"/>
      <c r="B835" s="11"/>
      <c r="C835" s="10"/>
      <c r="D835" s="11"/>
      <c r="E835" s="10"/>
      <c r="F835" s="1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0"/>
      <c r="V835" s="11"/>
      <c r="W835" s="10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2.75" customHeight="1">
      <c r="A836" s="10"/>
      <c r="B836" s="11"/>
      <c r="C836" s="10"/>
      <c r="D836" s="11"/>
      <c r="E836" s="10"/>
      <c r="F836" s="1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0"/>
      <c r="V836" s="11"/>
      <c r="W836" s="10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2.75" customHeight="1">
      <c r="A837" s="10"/>
      <c r="B837" s="11"/>
      <c r="C837" s="10"/>
      <c r="D837" s="11"/>
      <c r="E837" s="10"/>
      <c r="F837" s="1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0"/>
      <c r="V837" s="11"/>
      <c r="W837" s="10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2.75" customHeight="1">
      <c r="A838" s="10"/>
      <c r="B838" s="11"/>
      <c r="C838" s="10"/>
      <c r="D838" s="11"/>
      <c r="E838" s="10"/>
      <c r="F838" s="1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0"/>
      <c r="V838" s="11"/>
      <c r="W838" s="10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2.75" customHeight="1">
      <c r="A839" s="10"/>
      <c r="B839" s="11"/>
      <c r="C839" s="10"/>
      <c r="D839" s="11"/>
      <c r="E839" s="10"/>
      <c r="F839" s="1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0"/>
      <c r="V839" s="11"/>
      <c r="W839" s="10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2.75" customHeight="1">
      <c r="A840" s="10"/>
      <c r="B840" s="11"/>
      <c r="C840" s="10"/>
      <c r="D840" s="11"/>
      <c r="E840" s="10"/>
      <c r="F840" s="1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0"/>
      <c r="V840" s="11"/>
      <c r="W840" s="10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2.75" customHeight="1">
      <c r="A841" s="10"/>
      <c r="B841" s="11"/>
      <c r="C841" s="10"/>
      <c r="D841" s="11"/>
      <c r="E841" s="10"/>
      <c r="F841" s="1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0"/>
      <c r="V841" s="11"/>
      <c r="W841" s="10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2.75" customHeight="1">
      <c r="A842" s="10"/>
      <c r="B842" s="11"/>
      <c r="C842" s="10"/>
      <c r="D842" s="11"/>
      <c r="E842" s="10"/>
      <c r="F842" s="1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0"/>
      <c r="V842" s="11"/>
      <c r="W842" s="10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2.75" customHeight="1">
      <c r="A843" s="10"/>
      <c r="B843" s="11"/>
      <c r="C843" s="10"/>
      <c r="D843" s="11"/>
      <c r="E843" s="10"/>
      <c r="F843" s="1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0"/>
      <c r="V843" s="11"/>
      <c r="W843" s="10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2.75" customHeight="1">
      <c r="A844" s="10"/>
      <c r="B844" s="11"/>
      <c r="C844" s="10"/>
      <c r="D844" s="11"/>
      <c r="E844" s="10"/>
      <c r="F844" s="1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0"/>
      <c r="V844" s="11"/>
      <c r="W844" s="10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2.75" customHeight="1">
      <c r="A845" s="10"/>
      <c r="B845" s="11"/>
      <c r="C845" s="10"/>
      <c r="D845" s="11"/>
      <c r="E845" s="10"/>
      <c r="F845" s="1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0"/>
      <c r="V845" s="11"/>
      <c r="W845" s="10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2.75" customHeight="1">
      <c r="A846" s="10"/>
      <c r="B846" s="11"/>
      <c r="C846" s="10"/>
      <c r="D846" s="11"/>
      <c r="E846" s="10"/>
      <c r="F846" s="1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0"/>
      <c r="V846" s="11"/>
      <c r="W846" s="10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2.75" customHeight="1">
      <c r="A847" s="10"/>
      <c r="B847" s="11"/>
      <c r="C847" s="10"/>
      <c r="D847" s="11"/>
      <c r="E847" s="10"/>
      <c r="F847" s="1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0"/>
      <c r="V847" s="11"/>
      <c r="W847" s="10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2.75" customHeight="1">
      <c r="A848" s="10"/>
      <c r="B848" s="11"/>
      <c r="C848" s="10"/>
      <c r="D848" s="11"/>
      <c r="E848" s="10"/>
      <c r="F848" s="1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0"/>
      <c r="V848" s="11"/>
      <c r="W848" s="10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2.75" customHeight="1">
      <c r="A849" s="10"/>
      <c r="B849" s="11"/>
      <c r="C849" s="10"/>
      <c r="D849" s="11"/>
      <c r="E849" s="10"/>
      <c r="F849" s="1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0"/>
      <c r="V849" s="11"/>
      <c r="W849" s="10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2.75" customHeight="1">
      <c r="A850" s="10"/>
      <c r="B850" s="11"/>
      <c r="C850" s="10"/>
      <c r="D850" s="11"/>
      <c r="E850" s="10"/>
      <c r="F850" s="1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0"/>
      <c r="V850" s="11"/>
      <c r="W850" s="10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2.75" customHeight="1">
      <c r="A851" s="10"/>
      <c r="B851" s="11"/>
      <c r="C851" s="10"/>
      <c r="D851" s="11"/>
      <c r="E851" s="10"/>
      <c r="F851" s="1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0"/>
      <c r="V851" s="11"/>
      <c r="W851" s="10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2.75" customHeight="1">
      <c r="A852" s="10"/>
      <c r="B852" s="11"/>
      <c r="C852" s="10"/>
      <c r="D852" s="11"/>
      <c r="E852" s="10"/>
      <c r="F852" s="1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0"/>
      <c r="V852" s="11"/>
      <c r="W852" s="10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2.75" customHeight="1">
      <c r="A853" s="10"/>
      <c r="B853" s="11"/>
      <c r="C853" s="10"/>
      <c r="D853" s="11"/>
      <c r="E853" s="10"/>
      <c r="F853" s="1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0"/>
      <c r="V853" s="11"/>
      <c r="W853" s="10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2.75" customHeight="1">
      <c r="A854" s="10"/>
      <c r="B854" s="11"/>
      <c r="C854" s="10"/>
      <c r="D854" s="11"/>
      <c r="E854" s="10"/>
      <c r="F854" s="1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0"/>
      <c r="V854" s="11"/>
      <c r="W854" s="10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2.75" customHeight="1">
      <c r="A855" s="10"/>
      <c r="B855" s="11"/>
      <c r="C855" s="10"/>
      <c r="D855" s="11"/>
      <c r="E855" s="10"/>
      <c r="F855" s="1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0"/>
      <c r="V855" s="11"/>
      <c r="W855" s="10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2.75" customHeight="1">
      <c r="A856" s="10"/>
      <c r="B856" s="11"/>
      <c r="C856" s="10"/>
      <c r="D856" s="11"/>
      <c r="E856" s="10"/>
      <c r="F856" s="1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0"/>
      <c r="V856" s="11"/>
      <c r="W856" s="10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2.75" customHeight="1">
      <c r="A857" s="10"/>
      <c r="B857" s="11"/>
      <c r="C857" s="10"/>
      <c r="D857" s="11"/>
      <c r="E857" s="10"/>
      <c r="F857" s="1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0"/>
      <c r="V857" s="11"/>
      <c r="W857" s="10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2.75" customHeight="1">
      <c r="A858" s="10"/>
      <c r="B858" s="11"/>
      <c r="C858" s="10"/>
      <c r="D858" s="11"/>
      <c r="E858" s="10"/>
      <c r="F858" s="1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0"/>
      <c r="V858" s="11"/>
      <c r="W858" s="10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2.75" customHeight="1">
      <c r="A859" s="10"/>
      <c r="B859" s="11"/>
      <c r="C859" s="10"/>
      <c r="D859" s="11"/>
      <c r="E859" s="10"/>
      <c r="F859" s="1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0"/>
      <c r="V859" s="11"/>
      <c r="W859" s="10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2.75" customHeight="1">
      <c r="A860" s="10"/>
      <c r="B860" s="11"/>
      <c r="C860" s="10"/>
      <c r="D860" s="11"/>
      <c r="E860" s="10"/>
      <c r="F860" s="1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0"/>
      <c r="V860" s="11"/>
      <c r="W860" s="10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2.75" customHeight="1">
      <c r="A861" s="10"/>
      <c r="B861" s="11"/>
      <c r="C861" s="10"/>
      <c r="D861" s="11"/>
      <c r="E861" s="10"/>
      <c r="F861" s="1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0"/>
      <c r="V861" s="11"/>
      <c r="W861" s="10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2.75" customHeight="1">
      <c r="A862" s="10"/>
      <c r="B862" s="11"/>
      <c r="C862" s="10"/>
      <c r="D862" s="11"/>
      <c r="E862" s="10"/>
      <c r="F862" s="1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0"/>
      <c r="V862" s="11"/>
      <c r="W862" s="10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2.75" customHeight="1">
      <c r="A863" s="10"/>
      <c r="B863" s="11"/>
      <c r="C863" s="10"/>
      <c r="D863" s="11"/>
      <c r="E863" s="10"/>
      <c r="F863" s="1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0"/>
      <c r="V863" s="11"/>
      <c r="W863" s="10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2.75" customHeight="1">
      <c r="A864" s="10"/>
      <c r="B864" s="11"/>
      <c r="C864" s="10"/>
      <c r="D864" s="11"/>
      <c r="E864" s="10"/>
      <c r="F864" s="1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0"/>
      <c r="V864" s="11"/>
      <c r="W864" s="10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2.75" customHeight="1">
      <c r="A865" s="10"/>
      <c r="B865" s="11"/>
      <c r="C865" s="10"/>
      <c r="D865" s="11"/>
      <c r="E865" s="10"/>
      <c r="F865" s="1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0"/>
      <c r="V865" s="11"/>
      <c r="W865" s="10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2.75" customHeight="1">
      <c r="A866" s="10"/>
      <c r="B866" s="11"/>
      <c r="C866" s="10"/>
      <c r="D866" s="11"/>
      <c r="E866" s="10"/>
      <c r="F866" s="1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0"/>
      <c r="V866" s="11"/>
      <c r="W866" s="10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2.75" customHeight="1">
      <c r="A867" s="10"/>
      <c r="B867" s="11"/>
      <c r="C867" s="10"/>
      <c r="D867" s="11"/>
      <c r="E867" s="10"/>
      <c r="F867" s="1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0"/>
      <c r="V867" s="11"/>
      <c r="W867" s="10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2.75" customHeight="1">
      <c r="A868" s="10"/>
      <c r="B868" s="11"/>
      <c r="C868" s="10"/>
      <c r="D868" s="11"/>
      <c r="E868" s="10"/>
      <c r="F868" s="1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0"/>
      <c r="V868" s="11"/>
      <c r="W868" s="10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2.75" customHeight="1">
      <c r="A869" s="10"/>
      <c r="B869" s="11"/>
      <c r="C869" s="10"/>
      <c r="D869" s="11"/>
      <c r="E869" s="10"/>
      <c r="F869" s="1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0"/>
      <c r="V869" s="11"/>
      <c r="W869" s="10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2.75" customHeight="1">
      <c r="A870" s="10"/>
      <c r="B870" s="11"/>
      <c r="C870" s="10"/>
      <c r="D870" s="11"/>
      <c r="E870" s="10"/>
      <c r="F870" s="1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0"/>
      <c r="V870" s="11"/>
      <c r="W870" s="10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2.75" customHeight="1">
      <c r="A871" s="10"/>
      <c r="B871" s="11"/>
      <c r="C871" s="10"/>
      <c r="D871" s="11"/>
      <c r="E871" s="10"/>
      <c r="F871" s="1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0"/>
      <c r="V871" s="11"/>
      <c r="W871" s="10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2.75" customHeight="1">
      <c r="A872" s="10"/>
      <c r="B872" s="11"/>
      <c r="C872" s="10"/>
      <c r="D872" s="11"/>
      <c r="E872" s="10"/>
      <c r="F872" s="1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0"/>
      <c r="V872" s="11"/>
      <c r="W872" s="10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2.75" customHeight="1">
      <c r="A873" s="10"/>
      <c r="B873" s="11"/>
      <c r="C873" s="10"/>
      <c r="D873" s="11"/>
      <c r="E873" s="10"/>
      <c r="F873" s="1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0"/>
      <c r="V873" s="11"/>
      <c r="W873" s="10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2.75" customHeight="1">
      <c r="A874" s="10"/>
      <c r="B874" s="11"/>
      <c r="C874" s="10"/>
      <c r="D874" s="11"/>
      <c r="E874" s="10"/>
      <c r="F874" s="1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0"/>
      <c r="V874" s="11"/>
      <c r="W874" s="10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2.75" customHeight="1">
      <c r="A875" s="10"/>
      <c r="B875" s="11"/>
      <c r="C875" s="10"/>
      <c r="D875" s="11"/>
      <c r="E875" s="10"/>
      <c r="F875" s="1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0"/>
      <c r="V875" s="11"/>
      <c r="W875" s="10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2.75" customHeight="1">
      <c r="A876" s="10"/>
      <c r="B876" s="11"/>
      <c r="C876" s="10"/>
      <c r="D876" s="11"/>
      <c r="E876" s="10"/>
      <c r="F876" s="1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0"/>
      <c r="V876" s="11"/>
      <c r="W876" s="10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2.75" customHeight="1">
      <c r="A877" s="10"/>
      <c r="B877" s="11"/>
      <c r="C877" s="10"/>
      <c r="D877" s="11"/>
      <c r="E877" s="10"/>
      <c r="F877" s="1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0"/>
      <c r="V877" s="11"/>
      <c r="W877" s="10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2.75" customHeight="1">
      <c r="A878" s="10"/>
      <c r="B878" s="11"/>
      <c r="C878" s="10"/>
      <c r="D878" s="11"/>
      <c r="E878" s="10"/>
      <c r="F878" s="1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0"/>
      <c r="V878" s="11"/>
      <c r="W878" s="10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2.75" customHeight="1">
      <c r="A879" s="10"/>
      <c r="B879" s="11"/>
      <c r="C879" s="10"/>
      <c r="D879" s="11"/>
      <c r="E879" s="10"/>
      <c r="F879" s="1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0"/>
      <c r="V879" s="11"/>
      <c r="W879" s="10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2.75" customHeight="1">
      <c r="A880" s="10"/>
      <c r="B880" s="11"/>
      <c r="C880" s="10"/>
      <c r="D880" s="11"/>
      <c r="E880" s="10"/>
      <c r="F880" s="1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0"/>
      <c r="V880" s="11"/>
      <c r="W880" s="10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2.75" customHeight="1">
      <c r="A881" s="10"/>
      <c r="B881" s="11"/>
      <c r="C881" s="10"/>
      <c r="D881" s="11"/>
      <c r="E881" s="10"/>
      <c r="F881" s="1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0"/>
      <c r="V881" s="11"/>
      <c r="W881" s="10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2.75" customHeight="1">
      <c r="A882" s="10"/>
      <c r="B882" s="11"/>
      <c r="C882" s="10"/>
      <c r="D882" s="11"/>
      <c r="E882" s="10"/>
      <c r="F882" s="1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0"/>
      <c r="V882" s="11"/>
      <c r="W882" s="10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2.75" customHeight="1">
      <c r="A883" s="10"/>
      <c r="B883" s="11"/>
      <c r="C883" s="10"/>
      <c r="D883" s="11"/>
      <c r="E883" s="10"/>
      <c r="F883" s="1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0"/>
      <c r="V883" s="11"/>
      <c r="W883" s="10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2.75" customHeight="1">
      <c r="A884" s="10"/>
      <c r="B884" s="11"/>
      <c r="C884" s="10"/>
      <c r="D884" s="11"/>
      <c r="E884" s="10"/>
      <c r="F884" s="1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0"/>
      <c r="V884" s="11"/>
      <c r="W884" s="10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2.75" customHeight="1">
      <c r="A885" s="10"/>
      <c r="B885" s="11"/>
      <c r="C885" s="10"/>
      <c r="D885" s="11"/>
      <c r="E885" s="10"/>
      <c r="F885" s="1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0"/>
      <c r="V885" s="11"/>
      <c r="W885" s="10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2.75" customHeight="1">
      <c r="A886" s="10"/>
      <c r="B886" s="11"/>
      <c r="C886" s="10"/>
      <c r="D886" s="11"/>
      <c r="E886" s="10"/>
      <c r="F886" s="1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0"/>
      <c r="V886" s="11"/>
      <c r="W886" s="10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2.75" customHeight="1">
      <c r="A887" s="10"/>
      <c r="B887" s="11"/>
      <c r="C887" s="10"/>
      <c r="D887" s="11"/>
      <c r="E887" s="10"/>
      <c r="F887" s="1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0"/>
      <c r="V887" s="11"/>
      <c r="W887" s="10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2.75" customHeight="1">
      <c r="A888" s="10"/>
      <c r="B888" s="11"/>
      <c r="C888" s="10"/>
      <c r="D888" s="11"/>
      <c r="E888" s="10"/>
      <c r="F888" s="1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0"/>
      <c r="V888" s="11"/>
      <c r="W888" s="10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2.75" customHeight="1">
      <c r="A889" s="10"/>
      <c r="B889" s="11"/>
      <c r="C889" s="10"/>
      <c r="D889" s="11"/>
      <c r="E889" s="10"/>
      <c r="F889" s="1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0"/>
      <c r="V889" s="11"/>
      <c r="W889" s="10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2.75" customHeight="1">
      <c r="A890" s="10"/>
      <c r="B890" s="11"/>
      <c r="C890" s="10"/>
      <c r="D890" s="11"/>
      <c r="E890" s="10"/>
      <c r="F890" s="1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0"/>
      <c r="V890" s="11"/>
      <c r="W890" s="10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2.75" customHeight="1">
      <c r="A891" s="10"/>
      <c r="B891" s="11"/>
      <c r="C891" s="10"/>
      <c r="D891" s="11"/>
      <c r="E891" s="10"/>
      <c r="F891" s="1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0"/>
      <c r="V891" s="11"/>
      <c r="W891" s="10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2.75" customHeight="1">
      <c r="A892" s="10"/>
      <c r="B892" s="11"/>
      <c r="C892" s="10"/>
      <c r="D892" s="11"/>
      <c r="E892" s="10"/>
      <c r="F892" s="1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0"/>
      <c r="V892" s="11"/>
      <c r="W892" s="10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2.75" customHeight="1">
      <c r="A893" s="10"/>
      <c r="B893" s="11"/>
      <c r="C893" s="10"/>
      <c r="D893" s="11"/>
      <c r="E893" s="10"/>
      <c r="F893" s="1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0"/>
      <c r="V893" s="11"/>
      <c r="W893" s="10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2.75" customHeight="1">
      <c r="A894" s="10"/>
      <c r="B894" s="11"/>
      <c r="C894" s="10"/>
      <c r="D894" s="11"/>
      <c r="E894" s="10"/>
      <c r="F894" s="1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0"/>
      <c r="V894" s="11"/>
      <c r="W894" s="10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2.75" customHeight="1">
      <c r="A895" s="10"/>
      <c r="B895" s="11"/>
      <c r="C895" s="10"/>
      <c r="D895" s="11"/>
      <c r="E895" s="10"/>
      <c r="F895" s="1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0"/>
      <c r="V895" s="11"/>
      <c r="W895" s="10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2.75" customHeight="1">
      <c r="A896" s="10"/>
      <c r="B896" s="11"/>
      <c r="C896" s="10"/>
      <c r="D896" s="11"/>
      <c r="E896" s="10"/>
      <c r="F896" s="1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0"/>
      <c r="V896" s="11"/>
      <c r="W896" s="10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2.75" customHeight="1">
      <c r="A897" s="10"/>
      <c r="B897" s="11"/>
      <c r="C897" s="10"/>
      <c r="D897" s="11"/>
      <c r="E897" s="10"/>
      <c r="F897" s="1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0"/>
      <c r="V897" s="11"/>
      <c r="W897" s="10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2.75" customHeight="1">
      <c r="A898" s="10"/>
      <c r="B898" s="11"/>
      <c r="C898" s="10"/>
      <c r="D898" s="11"/>
      <c r="E898" s="10"/>
      <c r="F898" s="1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0"/>
      <c r="V898" s="11"/>
      <c r="W898" s="10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2.75" customHeight="1">
      <c r="A899" s="10"/>
      <c r="B899" s="11"/>
      <c r="C899" s="10"/>
      <c r="D899" s="11"/>
      <c r="E899" s="10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0"/>
      <c r="V899" s="11"/>
      <c r="W899" s="10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2.75" customHeight="1">
      <c r="A900" s="10"/>
      <c r="B900" s="11"/>
      <c r="C900" s="10"/>
      <c r="D900" s="11"/>
      <c r="E900" s="10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0"/>
      <c r="V900" s="11"/>
      <c r="W900" s="10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2.75" customHeight="1">
      <c r="A901" s="10"/>
      <c r="B901" s="11"/>
      <c r="C901" s="10"/>
      <c r="D901" s="11"/>
      <c r="E901" s="10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0"/>
      <c r="V901" s="11"/>
      <c r="W901" s="10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2.75" customHeight="1">
      <c r="A902" s="10"/>
      <c r="B902" s="11"/>
      <c r="C902" s="10"/>
      <c r="D902" s="11"/>
      <c r="E902" s="10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0"/>
      <c r="V902" s="11"/>
      <c r="W902" s="10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2.75" customHeight="1">
      <c r="A903" s="10"/>
      <c r="B903" s="11"/>
      <c r="C903" s="10"/>
      <c r="D903" s="11"/>
      <c r="E903" s="10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0"/>
      <c r="V903" s="11"/>
      <c r="W903" s="10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2.75" customHeight="1">
      <c r="A904" s="10"/>
      <c r="B904" s="11"/>
      <c r="C904" s="10"/>
      <c r="D904" s="11"/>
      <c r="E904" s="10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0"/>
      <c r="V904" s="11"/>
      <c r="W904" s="10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2.75" customHeight="1">
      <c r="A905" s="10"/>
      <c r="B905" s="11"/>
      <c r="C905" s="10"/>
      <c r="D905" s="11"/>
      <c r="E905" s="10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0"/>
      <c r="V905" s="11"/>
      <c r="W905" s="10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2.75" customHeight="1">
      <c r="A906" s="10"/>
      <c r="B906" s="11"/>
      <c r="C906" s="10"/>
      <c r="D906" s="11"/>
      <c r="E906" s="10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0"/>
      <c r="V906" s="11"/>
      <c r="W906" s="10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2.75" customHeight="1">
      <c r="A907" s="10"/>
      <c r="B907" s="11"/>
      <c r="C907" s="10"/>
      <c r="D907" s="11"/>
      <c r="E907" s="10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0"/>
      <c r="V907" s="11"/>
      <c r="W907" s="10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2.75" customHeight="1">
      <c r="A908" s="10"/>
      <c r="B908" s="11"/>
      <c r="C908" s="10"/>
      <c r="D908" s="11"/>
      <c r="E908" s="10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0"/>
      <c r="V908" s="11"/>
      <c r="W908" s="10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2.75" customHeight="1">
      <c r="A909" s="10"/>
      <c r="B909" s="11"/>
      <c r="C909" s="10"/>
      <c r="D909" s="11"/>
      <c r="E909" s="10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0"/>
      <c r="V909" s="11"/>
      <c r="W909" s="10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2.75" customHeight="1">
      <c r="A910" s="10"/>
      <c r="B910" s="11"/>
      <c r="C910" s="10"/>
      <c r="D910" s="11"/>
      <c r="E910" s="10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0"/>
      <c r="V910" s="11"/>
      <c r="W910" s="10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2.75" customHeight="1">
      <c r="A911" s="10"/>
      <c r="B911" s="11"/>
      <c r="C911" s="10"/>
      <c r="D911" s="11"/>
      <c r="E911" s="10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0"/>
      <c r="V911" s="11"/>
      <c r="W911" s="10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2.75" customHeight="1">
      <c r="A912" s="10"/>
      <c r="B912" s="11"/>
      <c r="C912" s="10"/>
      <c r="D912" s="11"/>
      <c r="E912" s="10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0"/>
      <c r="V912" s="11"/>
      <c r="W912" s="10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2.75" customHeight="1">
      <c r="A913" s="10"/>
      <c r="B913" s="11"/>
      <c r="C913" s="10"/>
      <c r="D913" s="11"/>
      <c r="E913" s="10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0"/>
      <c r="V913" s="11"/>
      <c r="W913" s="10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2.75" customHeight="1">
      <c r="A914" s="10"/>
      <c r="B914" s="11"/>
      <c r="C914" s="10"/>
      <c r="D914" s="11"/>
      <c r="E914" s="10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0"/>
      <c r="V914" s="11"/>
      <c r="W914" s="10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2.75" customHeight="1">
      <c r="A915" s="10"/>
      <c r="B915" s="11"/>
      <c r="C915" s="10"/>
      <c r="D915" s="11"/>
      <c r="E915" s="10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0"/>
      <c r="V915" s="11"/>
      <c r="W915" s="10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2.75" customHeight="1">
      <c r="A916" s="10"/>
      <c r="B916" s="11"/>
      <c r="C916" s="10"/>
      <c r="D916" s="11"/>
      <c r="E916" s="10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0"/>
      <c r="V916" s="11"/>
      <c r="W916" s="10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2.75" customHeight="1">
      <c r="A917" s="10"/>
      <c r="B917" s="11"/>
      <c r="C917" s="10"/>
      <c r="D917" s="11"/>
      <c r="E917" s="10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0"/>
      <c r="V917" s="11"/>
      <c r="W917" s="10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2.75" customHeight="1">
      <c r="A918" s="10"/>
      <c r="B918" s="11"/>
      <c r="C918" s="10"/>
      <c r="D918" s="11"/>
      <c r="E918" s="10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0"/>
      <c r="V918" s="11"/>
      <c r="W918" s="10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2.75" customHeight="1">
      <c r="A919" s="10"/>
      <c r="B919" s="11"/>
      <c r="C919" s="10"/>
      <c r="D919" s="11"/>
      <c r="E919" s="10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0"/>
      <c r="V919" s="11"/>
      <c r="W919" s="10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2.75" customHeight="1">
      <c r="A920" s="10"/>
      <c r="B920" s="11"/>
      <c r="C920" s="10"/>
      <c r="D920" s="11"/>
      <c r="E920" s="10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0"/>
      <c r="V920" s="11"/>
      <c r="W920" s="10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2.75" customHeight="1">
      <c r="A921" s="10"/>
      <c r="B921" s="11"/>
      <c r="C921" s="10"/>
      <c r="D921" s="11"/>
      <c r="E921" s="10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0"/>
      <c r="V921" s="11"/>
      <c r="W921" s="10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2.75" customHeight="1">
      <c r="A922" s="10"/>
      <c r="B922" s="11"/>
      <c r="C922" s="10"/>
      <c r="D922" s="11"/>
      <c r="E922" s="10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0"/>
      <c r="V922" s="11"/>
      <c r="W922" s="10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2.75" customHeight="1">
      <c r="A923" s="10"/>
      <c r="B923" s="11"/>
      <c r="C923" s="10"/>
      <c r="D923" s="11"/>
      <c r="E923" s="10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0"/>
      <c r="V923" s="11"/>
      <c r="W923" s="10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2.75" customHeight="1">
      <c r="A924" s="10"/>
      <c r="B924" s="11"/>
      <c r="C924" s="10"/>
      <c r="D924" s="11"/>
      <c r="E924" s="10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0"/>
      <c r="V924" s="11"/>
      <c r="W924" s="10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2.75" customHeight="1">
      <c r="A925" s="10"/>
      <c r="B925" s="11"/>
      <c r="C925" s="10"/>
      <c r="D925" s="11"/>
      <c r="E925" s="10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0"/>
      <c r="V925" s="11"/>
      <c r="W925" s="10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2.75" customHeight="1">
      <c r="A926" s="10"/>
      <c r="B926" s="11"/>
      <c r="C926" s="10"/>
      <c r="D926" s="11"/>
      <c r="E926" s="10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0"/>
      <c r="V926" s="11"/>
      <c r="W926" s="10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2.75" customHeight="1">
      <c r="A927" s="10"/>
      <c r="B927" s="11"/>
      <c r="C927" s="10"/>
      <c r="D927" s="11"/>
      <c r="E927" s="10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0"/>
      <c r="V927" s="11"/>
      <c r="W927" s="10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2.75" customHeight="1">
      <c r="A928" s="10"/>
      <c r="B928" s="11"/>
      <c r="C928" s="10"/>
      <c r="D928" s="11"/>
      <c r="E928" s="10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0"/>
      <c r="V928" s="11"/>
      <c r="W928" s="10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2.75" customHeight="1">
      <c r="A929" s="10"/>
      <c r="B929" s="11"/>
      <c r="C929" s="10"/>
      <c r="D929" s="11"/>
      <c r="E929" s="10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0"/>
      <c r="V929" s="11"/>
      <c r="W929" s="10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2.75" customHeight="1">
      <c r="A930" s="10"/>
      <c r="B930" s="11"/>
      <c r="C930" s="10"/>
      <c r="D930" s="11"/>
      <c r="E930" s="10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0"/>
      <c r="V930" s="11"/>
      <c r="W930" s="10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2.75" customHeight="1">
      <c r="A931" s="10"/>
      <c r="B931" s="11"/>
      <c r="C931" s="10"/>
      <c r="D931" s="11"/>
      <c r="E931" s="10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0"/>
      <c r="V931" s="11"/>
      <c r="W931" s="10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2.75" customHeight="1">
      <c r="A932" s="10"/>
      <c r="B932" s="11"/>
      <c r="C932" s="10"/>
      <c r="D932" s="11"/>
      <c r="E932" s="10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0"/>
      <c r="V932" s="11"/>
      <c r="W932" s="10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2.75" customHeight="1">
      <c r="A933" s="10"/>
      <c r="B933" s="11"/>
      <c r="C933" s="10"/>
      <c r="D933" s="11"/>
      <c r="E933" s="10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0"/>
      <c r="V933" s="11"/>
      <c r="W933" s="10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2.75" customHeight="1">
      <c r="A934" s="10"/>
      <c r="B934" s="11"/>
      <c r="C934" s="10"/>
      <c r="D934" s="11"/>
      <c r="E934" s="10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0"/>
      <c r="V934" s="11"/>
      <c r="W934" s="10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2.75" customHeight="1">
      <c r="A935" s="10"/>
      <c r="B935" s="11"/>
      <c r="C935" s="10"/>
      <c r="D935" s="11"/>
      <c r="E935" s="10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0"/>
      <c r="V935" s="11"/>
      <c r="W935" s="10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2.75" customHeight="1">
      <c r="A936" s="10"/>
      <c r="B936" s="11"/>
      <c r="C936" s="10"/>
      <c r="D936" s="11"/>
      <c r="E936" s="10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0"/>
      <c r="V936" s="11"/>
      <c r="W936" s="10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2.75" customHeight="1">
      <c r="A937" s="10"/>
      <c r="B937" s="11"/>
      <c r="C937" s="10"/>
      <c r="D937" s="11"/>
      <c r="E937" s="10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0"/>
      <c r="V937" s="11"/>
      <c r="W937" s="10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2.75" customHeight="1">
      <c r="A938" s="10"/>
      <c r="B938" s="11"/>
      <c r="C938" s="10"/>
      <c r="D938" s="11"/>
      <c r="E938" s="10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0"/>
      <c r="V938" s="11"/>
      <c r="W938" s="10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2.75" customHeight="1">
      <c r="A939" s="10"/>
      <c r="B939" s="11"/>
      <c r="C939" s="10"/>
      <c r="D939" s="11"/>
      <c r="E939" s="10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0"/>
      <c r="V939" s="11"/>
      <c r="W939" s="10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2.75" customHeight="1">
      <c r="A940" s="10"/>
      <c r="B940" s="11"/>
      <c r="C940" s="10"/>
      <c r="D940" s="11"/>
      <c r="E940" s="10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0"/>
      <c r="V940" s="11"/>
      <c r="W940" s="10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2.75" customHeight="1">
      <c r="A941" s="10"/>
      <c r="B941" s="11"/>
      <c r="C941" s="10"/>
      <c r="D941" s="11"/>
      <c r="E941" s="10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0"/>
      <c r="V941" s="11"/>
      <c r="W941" s="10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2.75" customHeight="1">
      <c r="A942" s="10"/>
      <c r="B942" s="11"/>
      <c r="C942" s="10"/>
      <c r="D942" s="11"/>
      <c r="E942" s="10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0"/>
      <c r="V942" s="11"/>
      <c r="W942" s="10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2.75" customHeight="1">
      <c r="A943" s="10"/>
      <c r="B943" s="11"/>
      <c r="C943" s="10"/>
      <c r="D943" s="11"/>
      <c r="E943" s="10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0"/>
      <c r="V943" s="11"/>
      <c r="W943" s="10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2.75" customHeight="1">
      <c r="A944" s="10"/>
      <c r="B944" s="11"/>
      <c r="C944" s="10"/>
      <c r="D944" s="11"/>
      <c r="E944" s="10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0"/>
      <c r="V944" s="11"/>
      <c r="W944" s="10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2.75" customHeight="1">
      <c r="A945" s="10"/>
      <c r="B945" s="11"/>
      <c r="C945" s="10"/>
      <c r="D945" s="11"/>
      <c r="E945" s="10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0"/>
      <c r="V945" s="11"/>
      <c r="W945" s="10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2.75" customHeight="1">
      <c r="A946" s="10"/>
      <c r="B946" s="11"/>
      <c r="C946" s="10"/>
      <c r="D946" s="11"/>
      <c r="E946" s="10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0"/>
      <c r="V946" s="11"/>
      <c r="W946" s="10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2.75" customHeight="1">
      <c r="A947" s="10"/>
      <c r="B947" s="11"/>
      <c r="C947" s="10"/>
      <c r="D947" s="11"/>
      <c r="E947" s="10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0"/>
      <c r="V947" s="11"/>
      <c r="W947" s="10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2.75" customHeight="1">
      <c r="A948" s="10"/>
      <c r="B948" s="11"/>
      <c r="C948" s="10"/>
      <c r="D948" s="11"/>
      <c r="E948" s="10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0"/>
      <c r="V948" s="11"/>
      <c r="W948" s="10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2.75" customHeight="1">
      <c r="A949" s="10"/>
      <c r="B949" s="11"/>
      <c r="C949" s="10"/>
      <c r="D949" s="11"/>
      <c r="E949" s="10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0"/>
      <c r="V949" s="11"/>
      <c r="W949" s="10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2.75" customHeight="1">
      <c r="A950" s="10"/>
      <c r="B950" s="11"/>
      <c r="C950" s="10"/>
      <c r="D950" s="11"/>
      <c r="E950" s="10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0"/>
      <c r="V950" s="11"/>
      <c r="W950" s="10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2.75" customHeight="1">
      <c r="A951" s="10"/>
      <c r="B951" s="11"/>
      <c r="C951" s="10"/>
      <c r="D951" s="11"/>
      <c r="E951" s="10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0"/>
      <c r="V951" s="11"/>
      <c r="W951" s="10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2.75" customHeight="1">
      <c r="A952" s="10"/>
      <c r="B952" s="11"/>
      <c r="C952" s="10"/>
      <c r="D952" s="11"/>
      <c r="E952" s="10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0"/>
      <c r="V952" s="11"/>
      <c r="W952" s="10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2.75" customHeight="1">
      <c r="A953" s="10"/>
      <c r="B953" s="11"/>
      <c r="C953" s="10"/>
      <c r="D953" s="11"/>
      <c r="E953" s="10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0"/>
      <c r="V953" s="11"/>
      <c r="W953" s="10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2.75" customHeight="1">
      <c r="A954" s="10"/>
      <c r="B954" s="11"/>
      <c r="C954" s="10"/>
      <c r="D954" s="11"/>
      <c r="E954" s="10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0"/>
      <c r="V954" s="11"/>
      <c r="W954" s="10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2.75" customHeight="1">
      <c r="A955" s="10"/>
      <c r="B955" s="11"/>
      <c r="C955" s="10"/>
      <c r="D955" s="11"/>
      <c r="E955" s="10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0"/>
      <c r="V955" s="11"/>
      <c r="W955" s="10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2.75" customHeight="1">
      <c r="A956" s="10"/>
      <c r="B956" s="11"/>
      <c r="C956" s="10"/>
      <c r="D956" s="11"/>
      <c r="E956" s="10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0"/>
      <c r="V956" s="11"/>
      <c r="W956" s="10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2.75" customHeight="1">
      <c r="A957" s="10"/>
      <c r="B957" s="11"/>
      <c r="C957" s="10"/>
      <c r="D957" s="11"/>
      <c r="E957" s="10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0"/>
      <c r="V957" s="11"/>
      <c r="W957" s="10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2.75" customHeight="1">
      <c r="A958" s="10"/>
      <c r="B958" s="11"/>
      <c r="C958" s="10"/>
      <c r="D958" s="11"/>
      <c r="E958" s="10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0"/>
      <c r="V958" s="11"/>
      <c r="W958" s="10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2.75" customHeight="1">
      <c r="A959" s="10"/>
      <c r="B959" s="11"/>
      <c r="C959" s="10"/>
      <c r="D959" s="11"/>
      <c r="E959" s="10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0"/>
      <c r="V959" s="11"/>
      <c r="W959" s="10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2.75" customHeight="1">
      <c r="A960" s="10"/>
      <c r="B960" s="11"/>
      <c r="C960" s="10"/>
      <c r="D960" s="11"/>
      <c r="E960" s="10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0"/>
      <c r="V960" s="11"/>
      <c r="W960" s="10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2.75" customHeight="1">
      <c r="A961" s="10"/>
      <c r="B961" s="11"/>
      <c r="C961" s="10"/>
      <c r="D961" s="11"/>
      <c r="E961" s="10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0"/>
      <c r="V961" s="11"/>
      <c r="W961" s="10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2.75" customHeight="1">
      <c r="A962" s="10"/>
      <c r="B962" s="11"/>
      <c r="C962" s="10"/>
      <c r="D962" s="11"/>
      <c r="E962" s="10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0"/>
      <c r="V962" s="11"/>
      <c r="W962" s="10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2.75" customHeight="1">
      <c r="A963" s="10"/>
      <c r="B963" s="11"/>
      <c r="C963" s="10"/>
      <c r="D963" s="11"/>
      <c r="E963" s="10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0"/>
      <c r="V963" s="11"/>
      <c r="W963" s="10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2.75" customHeight="1">
      <c r="A964" s="10"/>
      <c r="B964" s="11"/>
      <c r="C964" s="10"/>
      <c r="D964" s="11"/>
      <c r="E964" s="10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0"/>
      <c r="V964" s="11"/>
      <c r="W964" s="10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2.75" customHeight="1">
      <c r="A965" s="10"/>
      <c r="B965" s="11"/>
      <c r="C965" s="10"/>
      <c r="D965" s="11"/>
      <c r="E965" s="10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0"/>
      <c r="V965" s="11"/>
      <c r="W965" s="10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2.75" customHeight="1">
      <c r="A966" s="10"/>
      <c r="B966" s="11"/>
      <c r="C966" s="10"/>
      <c r="D966" s="11"/>
      <c r="E966" s="10"/>
      <c r="F966" s="1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0"/>
      <c r="V966" s="11"/>
      <c r="W966" s="10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2.75" customHeight="1">
      <c r="A967" s="10"/>
      <c r="B967" s="11"/>
      <c r="C967" s="10"/>
      <c r="D967" s="11"/>
      <c r="E967" s="10"/>
      <c r="F967" s="1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0"/>
      <c r="V967" s="11"/>
      <c r="W967" s="10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2.75" customHeight="1">
      <c r="A968" s="10"/>
      <c r="B968" s="11"/>
      <c r="C968" s="10"/>
      <c r="D968" s="11"/>
      <c r="E968" s="10"/>
      <c r="F968" s="1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0"/>
      <c r="V968" s="11"/>
      <c r="W968" s="10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2.75" customHeight="1">
      <c r="A969" s="10"/>
      <c r="B969" s="11"/>
      <c r="C969" s="10"/>
      <c r="D969" s="11"/>
      <c r="E969" s="10"/>
      <c r="F969" s="1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0"/>
      <c r="V969" s="11"/>
      <c r="W969" s="10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2.75" customHeight="1">
      <c r="A970" s="10"/>
      <c r="B970" s="11"/>
      <c r="C970" s="10"/>
      <c r="D970" s="11"/>
      <c r="E970" s="10"/>
      <c r="F970" s="1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0"/>
      <c r="V970" s="11"/>
      <c r="W970" s="10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2.75" customHeight="1">
      <c r="A971" s="10"/>
      <c r="B971" s="11"/>
      <c r="C971" s="10"/>
      <c r="D971" s="11"/>
      <c r="E971" s="10"/>
      <c r="F971" s="1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0"/>
      <c r="V971" s="11"/>
      <c r="W971" s="10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2.75" customHeight="1">
      <c r="A972" s="10"/>
      <c r="B972" s="11"/>
      <c r="C972" s="10"/>
      <c r="D972" s="11"/>
      <c r="E972" s="10"/>
      <c r="F972" s="1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0"/>
      <c r="V972" s="11"/>
      <c r="W972" s="10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2.75" customHeight="1">
      <c r="A973" s="10"/>
      <c r="B973" s="11"/>
      <c r="C973" s="10"/>
      <c r="D973" s="11"/>
      <c r="E973" s="10"/>
      <c r="F973" s="1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0"/>
      <c r="V973" s="11"/>
      <c r="W973" s="10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2.75" customHeight="1">
      <c r="A974" s="10"/>
      <c r="B974" s="11"/>
      <c r="C974" s="10"/>
      <c r="D974" s="11"/>
      <c r="E974" s="10"/>
      <c r="F974" s="1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0"/>
      <c r="V974" s="11"/>
      <c r="W974" s="10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2.75" customHeight="1">
      <c r="A975" s="10"/>
      <c r="B975" s="11"/>
      <c r="C975" s="10"/>
      <c r="D975" s="11"/>
      <c r="E975" s="10"/>
      <c r="F975" s="1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0"/>
      <c r="V975" s="11"/>
      <c r="W975" s="10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2.75" customHeight="1">
      <c r="A976" s="10"/>
      <c r="B976" s="11"/>
      <c r="C976" s="10"/>
      <c r="D976" s="11"/>
      <c r="E976" s="10"/>
      <c r="F976" s="1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0"/>
      <c r="V976" s="11"/>
      <c r="W976" s="10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2.75" customHeight="1">
      <c r="A977" s="10"/>
      <c r="B977" s="11"/>
      <c r="C977" s="10"/>
      <c r="D977" s="11"/>
      <c r="E977" s="10"/>
      <c r="F977" s="1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0"/>
      <c r="V977" s="11"/>
      <c r="W977" s="10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2.75" customHeight="1">
      <c r="A978" s="10"/>
      <c r="B978" s="11"/>
      <c r="C978" s="10"/>
      <c r="D978" s="11"/>
      <c r="E978" s="10"/>
      <c r="F978" s="1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0"/>
      <c r="V978" s="11"/>
      <c r="W978" s="10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2.75" customHeight="1">
      <c r="A979" s="10"/>
      <c r="B979" s="11"/>
      <c r="C979" s="10"/>
      <c r="D979" s="11"/>
      <c r="E979" s="10"/>
      <c r="F979" s="1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0"/>
      <c r="V979" s="11"/>
      <c r="W979" s="10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2.75" customHeight="1">
      <c r="A980" s="10"/>
      <c r="B980" s="11"/>
      <c r="C980" s="10"/>
      <c r="D980" s="11"/>
      <c r="E980" s="10"/>
      <c r="F980" s="1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0"/>
      <c r="V980" s="11"/>
      <c r="W980" s="10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2.75" customHeight="1">
      <c r="A981" s="10"/>
      <c r="B981" s="11"/>
      <c r="C981" s="10"/>
      <c r="D981" s="11"/>
      <c r="E981" s="10"/>
      <c r="F981" s="1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0"/>
      <c r="V981" s="11"/>
      <c r="W981" s="10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2.75" customHeight="1">
      <c r="A982" s="10"/>
      <c r="B982" s="11"/>
      <c r="C982" s="10"/>
      <c r="D982" s="11"/>
      <c r="E982" s="10"/>
      <c r="F982" s="1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0"/>
      <c r="V982" s="11"/>
      <c r="W982" s="10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2.75" customHeight="1">
      <c r="A983" s="10"/>
      <c r="B983" s="11"/>
      <c r="C983" s="10"/>
      <c r="D983" s="11"/>
      <c r="E983" s="10"/>
      <c r="F983" s="1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0"/>
      <c r="V983" s="11"/>
      <c r="W983" s="10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2.75" customHeight="1">
      <c r="A984" s="10"/>
      <c r="B984" s="11"/>
      <c r="C984" s="10"/>
      <c r="D984" s="11"/>
      <c r="E984" s="10"/>
      <c r="F984" s="1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0"/>
      <c r="V984" s="11"/>
      <c r="W984" s="10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2.75" customHeight="1">
      <c r="A985" s="10"/>
      <c r="B985" s="11"/>
      <c r="C985" s="10"/>
      <c r="D985" s="11"/>
      <c r="E985" s="10"/>
      <c r="F985" s="1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0"/>
      <c r="V985" s="11"/>
      <c r="W985" s="10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2.75" customHeight="1">
      <c r="A986" s="10"/>
      <c r="B986" s="11"/>
      <c r="C986" s="10"/>
      <c r="D986" s="11"/>
      <c r="E986" s="10"/>
      <c r="F986" s="1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0"/>
      <c r="V986" s="11"/>
      <c r="W986" s="10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2.75" customHeight="1">
      <c r="A987" s="10"/>
      <c r="B987" s="11"/>
      <c r="C987" s="10"/>
      <c r="D987" s="11"/>
      <c r="E987" s="10"/>
      <c r="F987" s="1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0"/>
      <c r="V987" s="11"/>
      <c r="W987" s="10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2.75" customHeight="1">
      <c r="A988" s="10"/>
      <c r="B988" s="11"/>
      <c r="C988" s="10"/>
      <c r="D988" s="11"/>
      <c r="E988" s="10"/>
      <c r="F988" s="1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0"/>
      <c r="V988" s="11"/>
      <c r="W988" s="10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2.75" customHeight="1">
      <c r="A989" s="10"/>
      <c r="B989" s="11"/>
      <c r="C989" s="10"/>
      <c r="D989" s="11"/>
      <c r="E989" s="10"/>
      <c r="F989" s="1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0"/>
      <c r="V989" s="11"/>
      <c r="W989" s="10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2.75" customHeight="1">
      <c r="A990" s="10"/>
      <c r="B990" s="11"/>
      <c r="C990" s="10"/>
      <c r="D990" s="11"/>
      <c r="E990" s="10"/>
      <c r="F990" s="1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0"/>
      <c r="V990" s="11"/>
      <c r="W990" s="10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2.75" customHeight="1">
      <c r="A991" s="10"/>
      <c r="B991" s="11"/>
      <c r="C991" s="10"/>
      <c r="D991" s="11"/>
      <c r="E991" s="10"/>
      <c r="F991" s="1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0"/>
      <c r="V991" s="11"/>
      <c r="W991" s="10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2.75" customHeight="1">
      <c r="A992" s="10"/>
      <c r="B992" s="11"/>
      <c r="C992" s="10"/>
      <c r="D992" s="11"/>
      <c r="E992" s="10"/>
      <c r="F992" s="1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0"/>
      <c r="V992" s="11"/>
      <c r="W992" s="10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2.75" customHeight="1">
      <c r="A993" s="10"/>
      <c r="B993" s="11"/>
      <c r="C993" s="10"/>
      <c r="D993" s="11"/>
      <c r="E993" s="10"/>
      <c r="F993" s="1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0"/>
      <c r="V993" s="11"/>
      <c r="W993" s="10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2.75" customHeight="1">
      <c r="A994" s="10"/>
      <c r="B994" s="11"/>
      <c r="C994" s="10"/>
      <c r="D994" s="11"/>
      <c r="E994" s="10"/>
      <c r="F994" s="1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0"/>
      <c r="V994" s="11"/>
      <c r="W994" s="10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2.75" customHeight="1">
      <c r="A995" s="10"/>
      <c r="B995" s="11"/>
      <c r="C995" s="10"/>
      <c r="D995" s="11"/>
      <c r="E995" s="10"/>
      <c r="F995" s="1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0"/>
      <c r="V995" s="11"/>
      <c r="W995" s="10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2.75" customHeight="1">
      <c r="A996" s="10"/>
      <c r="B996" s="11"/>
      <c r="C996" s="10"/>
      <c r="D996" s="11"/>
      <c r="E996" s="10"/>
      <c r="F996" s="1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0"/>
      <c r="V996" s="11"/>
      <c r="W996" s="10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2.75" customHeight="1">
      <c r="A997" s="10"/>
      <c r="B997" s="11"/>
      <c r="C997" s="10"/>
      <c r="D997" s="11"/>
      <c r="E997" s="10"/>
      <c r="F997" s="1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0"/>
      <c r="V997" s="11"/>
      <c r="W997" s="10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2.75" customHeight="1">
      <c r="A998" s="10"/>
      <c r="B998" s="11"/>
      <c r="C998" s="10"/>
      <c r="D998" s="11"/>
      <c r="E998" s="10"/>
      <c r="F998" s="1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0"/>
      <c r="V998" s="11"/>
      <c r="W998" s="10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2.75" customHeight="1">
      <c r="A999" s="10"/>
      <c r="B999" s="11"/>
      <c r="C999" s="10"/>
      <c r="D999" s="11"/>
      <c r="E999" s="10"/>
      <c r="F999" s="1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0"/>
      <c r="V999" s="11"/>
      <c r="W999" s="10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2.75" customHeight="1">
      <c r="A1000" s="10"/>
      <c r="B1000" s="11"/>
      <c r="C1000" s="10"/>
      <c r="D1000" s="11"/>
      <c r="E1000" s="10"/>
      <c r="F1000" s="1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0"/>
      <c r="V1000" s="11"/>
      <c r="W1000" s="10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5.13" defaultRowHeight="15.0"/>
  <cols>
    <col customWidth="1" min="1" max="1" width="4.0"/>
    <col customWidth="1" min="2" max="2" width="7.75"/>
    <col customWidth="1" min="3" max="3" width="10.88"/>
    <col customWidth="1" min="4" max="4" width="3.0"/>
    <col customWidth="1" min="5" max="5" width="2.63"/>
    <col customWidth="1" min="6" max="6" width="6.63"/>
    <col customWidth="1" min="7" max="7" width="2.75"/>
    <col customWidth="1" min="8" max="9" width="3.5"/>
    <col customWidth="1" min="10" max="10" width="2.63"/>
    <col customWidth="1" min="11" max="11" width="3.25"/>
    <col customWidth="1" min="12" max="12" width="3.13"/>
    <col customWidth="1" min="13" max="13" width="4.63"/>
    <col customWidth="1" min="14" max="19" width="4.5"/>
    <col customWidth="1" min="20" max="20" width="5.38"/>
    <col customWidth="1" min="21" max="21" width="3.13"/>
    <col customWidth="1" min="22" max="22" width="9.0"/>
    <col customWidth="1" min="23" max="23" width="3.13"/>
    <col customWidth="1" min="24" max="24" width="2.63"/>
    <col customWidth="1" min="25" max="25" width="7.25"/>
    <col customWidth="1" min="26" max="26" width="7.88"/>
    <col customWidth="1" min="27" max="3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3">
        <v>1.0</v>
      </c>
      <c r="B2" s="4" t="s">
        <v>26</v>
      </c>
      <c r="C2" s="3"/>
      <c r="D2" s="4">
        <v>5.0</v>
      </c>
      <c r="E2" s="3">
        <v>3.0</v>
      </c>
      <c r="F2" s="3">
        <f t="shared" ref="F2:F50" si="1">D2-E2</f>
        <v>2</v>
      </c>
      <c r="G2" s="5"/>
      <c r="H2" s="5"/>
      <c r="I2" s="5"/>
      <c r="J2" s="5"/>
      <c r="K2" s="5"/>
      <c r="L2" s="5"/>
      <c r="M2" s="4" t="s">
        <v>27</v>
      </c>
      <c r="N2" s="5">
        <f>(E2-1)+VLOOKUP(M2,Size,2,0)</f>
        <v>4</v>
      </c>
      <c r="O2" s="5">
        <f>VLOOKUP(E2,LevelData,4)</f>
        <v>3</v>
      </c>
      <c r="P2" s="5">
        <f>O2+VLOOKUP(M2,Size,3,0)</f>
        <v>5</v>
      </c>
      <c r="Q2" s="5">
        <f t="shared" ref="Q2:Q50" si="2">R2</f>
        <v>3</v>
      </c>
      <c r="R2" s="5">
        <f>VLOOKUP(E2,LevelData,2)</f>
        <v>3</v>
      </c>
      <c r="S2" s="5">
        <f t="shared" ref="S2:S50" si="3">R2</f>
        <v>3</v>
      </c>
      <c r="T2" s="4"/>
      <c r="U2" s="3"/>
      <c r="V2" s="6"/>
      <c r="W2" s="3"/>
      <c r="X2" s="4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3">
        <f t="shared" ref="A3:A50" si="4">A2+1</f>
        <v>2</v>
      </c>
      <c r="B3" s="4"/>
      <c r="C3" s="3"/>
      <c r="D3" s="4">
        <f t="shared" ref="D3:D50" si="5">D2+1</f>
        <v>6</v>
      </c>
      <c r="E3" s="3">
        <v>4.0</v>
      </c>
      <c r="F3" s="3">
        <f t="shared" si="1"/>
        <v>2</v>
      </c>
      <c r="G3" s="5"/>
      <c r="H3" s="5"/>
      <c r="I3" s="5"/>
      <c r="J3" s="5"/>
      <c r="K3" s="5"/>
      <c r="L3" s="5"/>
      <c r="M3" s="4" t="s">
        <v>27</v>
      </c>
      <c r="N3" s="5">
        <f>(E3-1)+VLOOKUP(M3,Size,2,0)</f>
        <v>5</v>
      </c>
      <c r="O3" s="5">
        <f>VLOOKUP(E3,LevelData,4)</f>
        <v>4</v>
      </c>
      <c r="P3" s="5">
        <f>O3+VLOOKUP(M3,Size,3,0)</f>
        <v>6</v>
      </c>
      <c r="Q3" s="5">
        <f t="shared" si="2"/>
        <v>4</v>
      </c>
      <c r="R3" s="5">
        <f>VLOOKUP(E3,LevelData,2)</f>
        <v>4</v>
      </c>
      <c r="S3" s="5">
        <f t="shared" si="3"/>
        <v>4</v>
      </c>
      <c r="T3" s="4"/>
      <c r="U3" s="3"/>
      <c r="V3" s="4"/>
      <c r="W3" s="3"/>
      <c r="X3" s="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3">
        <f t="shared" si="4"/>
        <v>3</v>
      </c>
      <c r="B4" s="4"/>
      <c r="C4" s="3"/>
      <c r="D4" s="4">
        <f t="shared" si="5"/>
        <v>7</v>
      </c>
      <c r="E4" s="3">
        <v>5.0</v>
      </c>
      <c r="F4" s="3">
        <f t="shared" si="1"/>
        <v>2</v>
      </c>
      <c r="G4" s="5"/>
      <c r="H4" s="5"/>
      <c r="I4" s="5"/>
      <c r="J4" s="5"/>
      <c r="K4" s="5"/>
      <c r="L4" s="5"/>
      <c r="M4" s="4" t="s">
        <v>27</v>
      </c>
      <c r="N4" s="5">
        <f>(E4-1)+VLOOKUP(M4,Size,2,0)</f>
        <v>6</v>
      </c>
      <c r="O4" s="5">
        <f>VLOOKUP(E4,LevelData,4)</f>
        <v>5</v>
      </c>
      <c r="P4" s="5">
        <f>O4+VLOOKUP(M4,Size,3,0)</f>
        <v>7</v>
      </c>
      <c r="Q4" s="5">
        <f t="shared" si="2"/>
        <v>4</v>
      </c>
      <c r="R4" s="5">
        <f>VLOOKUP(E4,LevelData,2)</f>
        <v>4</v>
      </c>
      <c r="S4" s="5">
        <f t="shared" si="3"/>
        <v>4</v>
      </c>
      <c r="T4" s="4"/>
      <c r="U4" s="3"/>
      <c r="V4" s="4"/>
      <c r="W4" s="3"/>
      <c r="X4" s="4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2.75" customHeight="1">
      <c r="A5" s="7">
        <f t="shared" si="4"/>
        <v>4</v>
      </c>
      <c r="B5" s="8"/>
      <c r="C5" s="7"/>
      <c r="D5" s="8">
        <f t="shared" si="5"/>
        <v>8</v>
      </c>
      <c r="E5" s="7">
        <v>5.0</v>
      </c>
      <c r="F5" s="7">
        <f t="shared" si="1"/>
        <v>3</v>
      </c>
      <c r="G5" s="9"/>
      <c r="H5" s="9"/>
      <c r="I5" s="9"/>
      <c r="J5" s="9"/>
      <c r="K5" s="9"/>
      <c r="L5" s="9"/>
      <c r="M5" s="8" t="s">
        <v>27</v>
      </c>
      <c r="N5" s="9">
        <f>(E5-1)+VLOOKUP(M5,Size,2,0)</f>
        <v>6</v>
      </c>
      <c r="O5" s="9">
        <f>VLOOKUP(E5,LevelData,4)</f>
        <v>5</v>
      </c>
      <c r="P5" s="9">
        <f>O5+VLOOKUP(M5,Size,3,0)</f>
        <v>7</v>
      </c>
      <c r="Q5" s="9">
        <f t="shared" si="2"/>
        <v>4</v>
      </c>
      <c r="R5" s="9">
        <f>VLOOKUP(E5,LevelData,2)</f>
        <v>4</v>
      </c>
      <c r="S5" s="9">
        <f t="shared" si="3"/>
        <v>4</v>
      </c>
      <c r="T5" s="8"/>
      <c r="U5" s="7"/>
      <c r="V5" s="8"/>
      <c r="W5" s="7"/>
      <c r="X5" s="8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t="12.75" customHeight="1">
      <c r="A6" s="10">
        <f t="shared" si="4"/>
        <v>5</v>
      </c>
      <c r="B6" s="11" t="s">
        <v>35</v>
      </c>
      <c r="C6" s="10"/>
      <c r="D6" s="11">
        <f t="shared" si="5"/>
        <v>9</v>
      </c>
      <c r="E6" s="10">
        <v>6.0</v>
      </c>
      <c r="F6" s="10">
        <f t="shared" si="1"/>
        <v>3</v>
      </c>
      <c r="G6" s="12"/>
      <c r="H6" s="12"/>
      <c r="I6" s="12"/>
      <c r="J6" s="12"/>
      <c r="K6" s="12"/>
      <c r="L6" s="12"/>
      <c r="M6" s="11" t="s">
        <v>36</v>
      </c>
      <c r="N6" s="12">
        <f>(E6-1)+VLOOKUP(M6,Size,2,0)</f>
        <v>6</v>
      </c>
      <c r="O6" s="12">
        <f>VLOOKUP(E6,LevelData,4)</f>
        <v>6</v>
      </c>
      <c r="P6" s="12">
        <f>O6+VLOOKUP(M6,Size,3,0)</f>
        <v>7</v>
      </c>
      <c r="Q6" s="12">
        <f t="shared" si="2"/>
        <v>5</v>
      </c>
      <c r="R6" s="12">
        <f>VLOOKUP(E6,LevelData,2)</f>
        <v>5</v>
      </c>
      <c r="S6" s="12">
        <f t="shared" si="3"/>
        <v>5</v>
      </c>
      <c r="T6" s="11"/>
      <c r="U6" s="10"/>
      <c r="V6" s="11"/>
      <c r="W6" s="10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2.75" customHeight="1">
      <c r="A7" s="10">
        <f t="shared" si="4"/>
        <v>6</v>
      </c>
      <c r="B7" s="11"/>
      <c r="C7" s="10"/>
      <c r="D7" s="11">
        <f t="shared" si="5"/>
        <v>10</v>
      </c>
      <c r="E7" s="10">
        <v>7.0</v>
      </c>
      <c r="F7" s="10">
        <f t="shared" si="1"/>
        <v>3</v>
      </c>
      <c r="G7" s="12"/>
      <c r="H7" s="12"/>
      <c r="I7" s="12"/>
      <c r="J7" s="12"/>
      <c r="K7" s="12"/>
      <c r="L7" s="12"/>
      <c r="M7" s="11" t="s">
        <v>36</v>
      </c>
      <c r="N7" s="12">
        <f>(E7-1)+VLOOKUP(M7,Size,2,0)</f>
        <v>7</v>
      </c>
      <c r="O7" s="12">
        <f>VLOOKUP(E7,LevelData,4)</f>
        <v>7</v>
      </c>
      <c r="P7" s="12">
        <f>O7+VLOOKUP(M7,Size,3,0)</f>
        <v>8</v>
      </c>
      <c r="Q7" s="12">
        <f t="shared" si="2"/>
        <v>5</v>
      </c>
      <c r="R7" s="12">
        <f>VLOOKUP(E7,LevelData,2)</f>
        <v>5</v>
      </c>
      <c r="S7" s="12">
        <f t="shared" si="3"/>
        <v>5</v>
      </c>
      <c r="T7" s="11"/>
      <c r="U7" s="10"/>
      <c r="V7" s="11"/>
      <c r="W7" s="10"/>
      <c r="X7" s="11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2.75" customHeight="1">
      <c r="A8" s="1">
        <f t="shared" si="4"/>
        <v>7</v>
      </c>
      <c r="B8" s="2"/>
      <c r="C8" s="1"/>
      <c r="D8" s="2">
        <f t="shared" si="5"/>
        <v>11</v>
      </c>
      <c r="E8" s="1">
        <v>8.0</v>
      </c>
      <c r="F8" s="1">
        <f t="shared" si="1"/>
        <v>3</v>
      </c>
      <c r="G8" s="13"/>
      <c r="H8" s="13"/>
      <c r="I8" s="13"/>
      <c r="J8" s="13"/>
      <c r="K8" s="13"/>
      <c r="L8" s="13"/>
      <c r="M8" s="2" t="s">
        <v>36</v>
      </c>
      <c r="N8" s="13">
        <f>(E8-1)+VLOOKUP(M8,Size,2,0)</f>
        <v>8</v>
      </c>
      <c r="O8" s="13">
        <f>VLOOKUP(E8,LevelData,4)</f>
        <v>8</v>
      </c>
      <c r="P8" s="13">
        <f>O8+VLOOKUP(M8,Size,3,0)</f>
        <v>9</v>
      </c>
      <c r="Q8" s="13">
        <f t="shared" si="2"/>
        <v>6</v>
      </c>
      <c r="R8" s="13">
        <f>VLOOKUP(E8,LevelData,2)</f>
        <v>6</v>
      </c>
      <c r="S8" s="13">
        <f t="shared" si="3"/>
        <v>6</v>
      </c>
      <c r="T8" s="2"/>
      <c r="U8" s="1"/>
      <c r="V8" s="2"/>
      <c r="W8" s="1"/>
      <c r="X8" s="2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12.75" customHeight="1">
      <c r="A9" s="3">
        <f t="shared" si="4"/>
        <v>8</v>
      </c>
      <c r="B9" s="4" t="s">
        <v>39</v>
      </c>
      <c r="C9" s="3"/>
      <c r="D9" s="4">
        <f t="shared" si="5"/>
        <v>12</v>
      </c>
      <c r="E9" s="3">
        <v>9.0</v>
      </c>
      <c r="F9" s="3">
        <f t="shared" si="1"/>
        <v>3</v>
      </c>
      <c r="G9" s="5"/>
      <c r="H9" s="5"/>
      <c r="I9" s="5"/>
      <c r="J9" s="5"/>
      <c r="K9" s="5"/>
      <c r="L9" s="5"/>
      <c r="M9" s="4" t="s">
        <v>40</v>
      </c>
      <c r="N9" s="5">
        <f>(E9-1)+VLOOKUP(M9,Size,2,0)</f>
        <v>8</v>
      </c>
      <c r="O9" s="5">
        <f>VLOOKUP(E9,LevelData,4)</f>
        <v>9</v>
      </c>
      <c r="P9" s="5">
        <f>O9+VLOOKUP(M9,Size,3,0)</f>
        <v>9</v>
      </c>
      <c r="Q9" s="5">
        <f t="shared" si="2"/>
        <v>6</v>
      </c>
      <c r="R9" s="5">
        <f>VLOOKUP(E9,LevelData,2)</f>
        <v>6</v>
      </c>
      <c r="S9" s="5">
        <f t="shared" si="3"/>
        <v>6</v>
      </c>
      <c r="T9" s="4"/>
      <c r="U9" s="3"/>
      <c r="V9" s="4"/>
      <c r="W9" s="3"/>
      <c r="X9" s="4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12.75" customHeight="1">
      <c r="A10" s="3">
        <f t="shared" si="4"/>
        <v>9</v>
      </c>
      <c r="B10" s="4"/>
      <c r="C10" s="3"/>
      <c r="D10" s="4">
        <f t="shared" si="5"/>
        <v>13</v>
      </c>
      <c r="E10" s="3">
        <v>10.0</v>
      </c>
      <c r="F10" s="3">
        <f t="shared" si="1"/>
        <v>3</v>
      </c>
      <c r="G10" s="5"/>
      <c r="H10" s="5"/>
      <c r="I10" s="5"/>
      <c r="J10" s="5"/>
      <c r="K10" s="5"/>
      <c r="L10" s="5"/>
      <c r="M10" s="4" t="s">
        <v>40</v>
      </c>
      <c r="N10" s="5">
        <f>(E10-1)+VLOOKUP(M10,Size,2,0)</f>
        <v>9</v>
      </c>
      <c r="O10" s="5">
        <f>VLOOKUP(E10,LevelData,4)</f>
        <v>10</v>
      </c>
      <c r="P10" s="5">
        <f>O10+VLOOKUP(M10,Size,3,0)</f>
        <v>10</v>
      </c>
      <c r="Q10" s="5">
        <f t="shared" si="2"/>
        <v>7</v>
      </c>
      <c r="R10" s="5">
        <f>VLOOKUP(E10,LevelData,2)</f>
        <v>7</v>
      </c>
      <c r="S10" s="5">
        <f t="shared" si="3"/>
        <v>7</v>
      </c>
      <c r="T10" s="4"/>
      <c r="U10" s="3"/>
      <c r="V10" s="4"/>
      <c r="W10" s="3"/>
      <c r="X10" s="4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3">
        <f t="shared" si="4"/>
        <v>10</v>
      </c>
      <c r="B11" s="4"/>
      <c r="C11" s="3"/>
      <c r="D11" s="4">
        <f t="shared" si="5"/>
        <v>14</v>
      </c>
      <c r="E11" s="3">
        <v>10.0</v>
      </c>
      <c r="F11" s="3">
        <f t="shared" si="1"/>
        <v>4</v>
      </c>
      <c r="G11" s="5"/>
      <c r="H11" s="5"/>
      <c r="I11" s="5"/>
      <c r="J11" s="5"/>
      <c r="K11" s="5"/>
      <c r="L11" s="5"/>
      <c r="M11" s="4" t="s">
        <v>40</v>
      </c>
      <c r="N11" s="5">
        <f>(E11-1)+VLOOKUP(M11,Size,2,0)</f>
        <v>9</v>
      </c>
      <c r="O11" s="5">
        <f>VLOOKUP(E11,LevelData,4)</f>
        <v>10</v>
      </c>
      <c r="P11" s="5">
        <f>O11+VLOOKUP(M11,Size,3,0)</f>
        <v>10</v>
      </c>
      <c r="Q11" s="5">
        <f t="shared" si="2"/>
        <v>7</v>
      </c>
      <c r="R11" s="5">
        <f>VLOOKUP(E11,LevelData,2)</f>
        <v>7</v>
      </c>
      <c r="S11" s="5">
        <f t="shared" si="3"/>
        <v>7</v>
      </c>
      <c r="T11" s="4"/>
      <c r="U11" s="3"/>
      <c r="V11" s="4"/>
      <c r="W11" s="3"/>
      <c r="X11" s="4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2.75" customHeight="1">
      <c r="A12" s="3">
        <f t="shared" si="4"/>
        <v>11</v>
      </c>
      <c r="B12" s="4"/>
      <c r="C12" s="3"/>
      <c r="D12" s="4">
        <f t="shared" si="5"/>
        <v>15</v>
      </c>
      <c r="E12" s="3">
        <v>11.0</v>
      </c>
      <c r="F12" s="3">
        <f t="shared" si="1"/>
        <v>4</v>
      </c>
      <c r="G12" s="5"/>
      <c r="H12" s="5"/>
      <c r="I12" s="5"/>
      <c r="J12" s="5"/>
      <c r="K12" s="5"/>
      <c r="L12" s="5"/>
      <c r="M12" s="4" t="s">
        <v>40</v>
      </c>
      <c r="N12" s="5">
        <f>(E12-1)+VLOOKUP(M12,Size,2,0)</f>
        <v>10</v>
      </c>
      <c r="O12" s="5">
        <f>VLOOKUP(E12,LevelData,4)</f>
        <v>11</v>
      </c>
      <c r="P12" s="5">
        <f>O12+VLOOKUP(M12,Size,3,0)</f>
        <v>11</v>
      </c>
      <c r="Q12" s="5">
        <f t="shared" si="2"/>
        <v>7</v>
      </c>
      <c r="R12" s="5">
        <f>VLOOKUP(E12,LevelData,2)</f>
        <v>7</v>
      </c>
      <c r="S12" s="5">
        <f t="shared" si="3"/>
        <v>7</v>
      </c>
      <c r="T12" s="4"/>
      <c r="U12" s="3"/>
      <c r="V12" s="4"/>
      <c r="W12" s="3"/>
      <c r="X12" s="4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12.75" customHeight="1">
      <c r="A13" s="7">
        <f t="shared" si="4"/>
        <v>12</v>
      </c>
      <c r="B13" s="8"/>
      <c r="C13" s="7"/>
      <c r="D13" s="8">
        <f t="shared" si="5"/>
        <v>16</v>
      </c>
      <c r="E13" s="7">
        <v>11.0</v>
      </c>
      <c r="F13" s="7">
        <f t="shared" si="1"/>
        <v>5</v>
      </c>
      <c r="G13" s="9"/>
      <c r="H13" s="9"/>
      <c r="I13" s="9"/>
      <c r="J13" s="9"/>
      <c r="K13" s="9"/>
      <c r="L13" s="9"/>
      <c r="M13" s="8" t="s">
        <v>40</v>
      </c>
      <c r="N13" s="9">
        <f>(E13-1)+VLOOKUP(M13,Size,2,0)</f>
        <v>10</v>
      </c>
      <c r="O13" s="9">
        <f>VLOOKUP(E13,LevelData,4)</f>
        <v>11</v>
      </c>
      <c r="P13" s="9">
        <f>O13+VLOOKUP(M13,Size,3,0)</f>
        <v>11</v>
      </c>
      <c r="Q13" s="9">
        <f t="shared" si="2"/>
        <v>7</v>
      </c>
      <c r="R13" s="9">
        <f>VLOOKUP(E13,LevelData,2)</f>
        <v>7</v>
      </c>
      <c r="S13" s="9">
        <f t="shared" si="3"/>
        <v>7</v>
      </c>
      <c r="T13" s="8"/>
      <c r="U13" s="7"/>
      <c r="V13" s="8"/>
      <c r="W13" s="7"/>
      <c r="X13" s="8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12.75" customHeight="1">
      <c r="A14" s="10">
        <f t="shared" si="4"/>
        <v>13</v>
      </c>
      <c r="B14" s="11" t="s">
        <v>44</v>
      </c>
      <c r="C14" s="10">
        <v>26.0</v>
      </c>
      <c r="D14" s="11">
        <f t="shared" si="5"/>
        <v>17</v>
      </c>
      <c r="E14" s="10">
        <v>12.0</v>
      </c>
      <c r="F14" s="10">
        <f t="shared" si="1"/>
        <v>5</v>
      </c>
      <c r="G14" s="12"/>
      <c r="H14" s="12"/>
      <c r="I14" s="12"/>
      <c r="J14" s="12"/>
      <c r="K14" s="12"/>
      <c r="L14" s="12"/>
      <c r="M14" s="11" t="s">
        <v>40</v>
      </c>
      <c r="N14" s="12">
        <f>(E14-1)+VLOOKUP(M14,Size,2,0)</f>
        <v>11</v>
      </c>
      <c r="O14" s="12">
        <f>VLOOKUP(E14,LevelData,4)</f>
        <v>12</v>
      </c>
      <c r="P14" s="12">
        <f>O14+VLOOKUP(M14,Size,3,0)</f>
        <v>12</v>
      </c>
      <c r="Q14" s="12">
        <f t="shared" si="2"/>
        <v>8</v>
      </c>
      <c r="R14" s="12">
        <f>VLOOKUP(E14,LevelData,2)</f>
        <v>8</v>
      </c>
      <c r="S14" s="12">
        <f t="shared" si="3"/>
        <v>8</v>
      </c>
      <c r="T14" s="11"/>
      <c r="U14" s="10"/>
      <c r="V14" s="11"/>
      <c r="W14" s="10"/>
      <c r="X14" s="11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2.75" customHeight="1">
      <c r="A15" s="10">
        <f t="shared" si="4"/>
        <v>14</v>
      </c>
      <c r="B15" s="11"/>
      <c r="C15" s="10">
        <v>32.0</v>
      </c>
      <c r="D15" s="11">
        <f t="shared" si="5"/>
        <v>18</v>
      </c>
      <c r="E15" s="10">
        <v>13.0</v>
      </c>
      <c r="F15" s="10">
        <f t="shared" si="1"/>
        <v>5</v>
      </c>
      <c r="G15" s="12"/>
      <c r="H15" s="12"/>
      <c r="I15" s="12"/>
      <c r="J15" s="12"/>
      <c r="K15" s="12"/>
      <c r="L15" s="12"/>
      <c r="M15" s="11" t="s">
        <v>40</v>
      </c>
      <c r="N15" s="12">
        <f>(E15-1)+VLOOKUP(M15,Size,2,0)</f>
        <v>12</v>
      </c>
      <c r="O15" s="12">
        <f>VLOOKUP(E15,LevelData,4)</f>
        <v>13</v>
      </c>
      <c r="P15" s="12">
        <f>O15+VLOOKUP(M15,Size,3,0)</f>
        <v>13</v>
      </c>
      <c r="Q15" s="12">
        <f t="shared" si="2"/>
        <v>8</v>
      </c>
      <c r="R15" s="12">
        <f>VLOOKUP(E15,LevelData,2)</f>
        <v>8</v>
      </c>
      <c r="S15" s="12">
        <f t="shared" si="3"/>
        <v>8</v>
      </c>
      <c r="T15" s="11"/>
      <c r="U15" s="10"/>
      <c r="V15" s="11"/>
      <c r="W15" s="10"/>
      <c r="X15" s="11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2.75" customHeight="1">
      <c r="A16" s="10">
        <f t="shared" si="4"/>
        <v>15</v>
      </c>
      <c r="B16" s="11"/>
      <c r="C16" s="10">
        <v>39.0</v>
      </c>
      <c r="D16" s="11">
        <f t="shared" si="5"/>
        <v>19</v>
      </c>
      <c r="E16" s="10">
        <v>14.0</v>
      </c>
      <c r="F16" s="10">
        <f t="shared" si="1"/>
        <v>5</v>
      </c>
      <c r="G16" s="12"/>
      <c r="H16" s="12"/>
      <c r="I16" s="12"/>
      <c r="J16" s="12"/>
      <c r="K16" s="12"/>
      <c r="L16" s="12"/>
      <c r="M16" s="11" t="s">
        <v>40</v>
      </c>
      <c r="N16" s="12">
        <f>(E16-1)+VLOOKUP(M16,Size,2,0)</f>
        <v>13</v>
      </c>
      <c r="O16" s="12">
        <f>VLOOKUP(E16,LevelData,4)</f>
        <v>14</v>
      </c>
      <c r="P16" s="12">
        <f>O16+VLOOKUP(M16,Size,3,0)</f>
        <v>14</v>
      </c>
      <c r="Q16" s="12">
        <f t="shared" si="2"/>
        <v>9</v>
      </c>
      <c r="R16" s="12">
        <f>VLOOKUP(E16,LevelData,2)</f>
        <v>9</v>
      </c>
      <c r="S16" s="12">
        <f t="shared" si="3"/>
        <v>9</v>
      </c>
      <c r="T16" s="11"/>
      <c r="U16" s="10"/>
      <c r="V16" s="11"/>
      <c r="W16" s="10"/>
      <c r="X16" s="11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12.75" customHeight="1">
      <c r="A17" s="1">
        <f t="shared" si="4"/>
        <v>16</v>
      </c>
      <c r="B17" s="2"/>
      <c r="C17" s="1">
        <v>45.0</v>
      </c>
      <c r="D17" s="2">
        <f t="shared" si="5"/>
        <v>20</v>
      </c>
      <c r="E17" s="1">
        <v>14.0</v>
      </c>
      <c r="F17" s="1">
        <f t="shared" si="1"/>
        <v>6</v>
      </c>
      <c r="G17" s="13"/>
      <c r="H17" s="13"/>
      <c r="I17" s="13"/>
      <c r="J17" s="13"/>
      <c r="K17" s="13"/>
      <c r="L17" s="13"/>
      <c r="M17" s="2" t="s">
        <v>40</v>
      </c>
      <c r="N17" s="13">
        <f>(E17-1)+VLOOKUP(M17,Size,2,0)</f>
        <v>13</v>
      </c>
      <c r="O17" s="13">
        <f>VLOOKUP(E17,LevelData,4)</f>
        <v>14</v>
      </c>
      <c r="P17" s="13">
        <f>O17+VLOOKUP(M17,Size,3,0)</f>
        <v>14</v>
      </c>
      <c r="Q17" s="13">
        <f t="shared" si="2"/>
        <v>9</v>
      </c>
      <c r="R17" s="13">
        <f>VLOOKUP(E17,LevelData,2)</f>
        <v>9</v>
      </c>
      <c r="S17" s="13">
        <f t="shared" si="3"/>
        <v>9</v>
      </c>
      <c r="T17" s="2"/>
      <c r="U17" s="1"/>
      <c r="V17" s="2"/>
      <c r="W17" s="1"/>
      <c r="X17" s="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12.75" customHeight="1">
      <c r="A18" s="3">
        <f t="shared" si="4"/>
        <v>17</v>
      </c>
      <c r="B18" s="4" t="s">
        <v>48</v>
      </c>
      <c r="C18" s="3">
        <v>51.0</v>
      </c>
      <c r="D18" s="4">
        <f t="shared" si="5"/>
        <v>21</v>
      </c>
      <c r="E18" s="3">
        <v>15.0</v>
      </c>
      <c r="F18" s="3">
        <f t="shared" si="1"/>
        <v>6</v>
      </c>
      <c r="G18" s="5"/>
      <c r="H18" s="5"/>
      <c r="I18" s="5"/>
      <c r="J18" s="5"/>
      <c r="K18" s="5"/>
      <c r="L18" s="5"/>
      <c r="M18" s="4" t="s">
        <v>49</v>
      </c>
      <c r="N18" s="5">
        <f>(E18-1)+VLOOKUP(M18,Size,2,0)</f>
        <v>13</v>
      </c>
      <c r="O18" s="5">
        <f>VLOOKUP(E18,LevelData,4)</f>
        <v>15</v>
      </c>
      <c r="P18" s="5">
        <f>O18+VLOOKUP(M18,Size,3,0)</f>
        <v>14</v>
      </c>
      <c r="Q18" s="5">
        <f t="shared" si="2"/>
        <v>9</v>
      </c>
      <c r="R18" s="5">
        <f>VLOOKUP(E18,LevelData,2)</f>
        <v>9</v>
      </c>
      <c r="S18" s="5">
        <f t="shared" si="3"/>
        <v>9</v>
      </c>
      <c r="T18" s="4"/>
      <c r="U18" s="3"/>
      <c r="V18" s="4">
        <f t="shared" ref="V18:V50" si="6">INT(10+(E18/2))</f>
        <v>17</v>
      </c>
      <c r="W18" s="3">
        <f t="shared" ref="W18:W50" si="7">INT((E18/2)+10)</f>
        <v>17</v>
      </c>
      <c r="X18" s="4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3">
        <f t="shared" si="4"/>
        <v>18</v>
      </c>
      <c r="B19" s="4"/>
      <c r="C19" s="3">
        <v>63.0</v>
      </c>
      <c r="D19" s="4">
        <f t="shared" si="5"/>
        <v>22</v>
      </c>
      <c r="E19" s="3">
        <v>16.0</v>
      </c>
      <c r="F19" s="3">
        <f t="shared" si="1"/>
        <v>6</v>
      </c>
      <c r="G19" s="5"/>
      <c r="H19" s="5"/>
      <c r="I19" s="5"/>
      <c r="J19" s="5"/>
      <c r="K19" s="5"/>
      <c r="L19" s="5"/>
      <c r="M19" s="4" t="s">
        <v>49</v>
      </c>
      <c r="N19" s="5">
        <f>(E19-1)+VLOOKUP(M19,Size,2,0)</f>
        <v>14</v>
      </c>
      <c r="O19" s="5">
        <f>VLOOKUP(E19,LevelData,4)</f>
        <v>16</v>
      </c>
      <c r="P19" s="5">
        <f>O19+VLOOKUP(M19,Size,3,0)</f>
        <v>15</v>
      </c>
      <c r="Q19" s="5">
        <f t="shared" si="2"/>
        <v>10</v>
      </c>
      <c r="R19" s="5">
        <f>VLOOKUP(E19,LevelData,2)</f>
        <v>10</v>
      </c>
      <c r="S19" s="5">
        <f t="shared" si="3"/>
        <v>10</v>
      </c>
      <c r="T19" s="4"/>
      <c r="U19" s="3"/>
      <c r="V19" s="4">
        <f t="shared" si="6"/>
        <v>18</v>
      </c>
      <c r="W19" s="3">
        <f t="shared" si="7"/>
        <v>18</v>
      </c>
      <c r="X19" s="4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3">
        <f t="shared" si="4"/>
        <v>19</v>
      </c>
      <c r="B20" s="4"/>
      <c r="C20" s="3">
        <v>75.0</v>
      </c>
      <c r="D20" s="4">
        <f t="shared" si="5"/>
        <v>23</v>
      </c>
      <c r="E20" s="3">
        <v>17.0</v>
      </c>
      <c r="F20" s="3">
        <f t="shared" si="1"/>
        <v>6</v>
      </c>
      <c r="G20" s="5"/>
      <c r="H20" s="5"/>
      <c r="I20" s="5"/>
      <c r="J20" s="5"/>
      <c r="K20" s="5"/>
      <c r="L20" s="5"/>
      <c r="M20" s="4" t="s">
        <v>49</v>
      </c>
      <c r="N20" s="5">
        <f>(E20-1)+VLOOKUP(M20,Size,2,0)</f>
        <v>15</v>
      </c>
      <c r="O20" s="5">
        <f>VLOOKUP(E20,LevelData,4)</f>
        <v>17</v>
      </c>
      <c r="P20" s="5">
        <f>O20+VLOOKUP(M20,Size,3,0)</f>
        <v>16</v>
      </c>
      <c r="Q20" s="5">
        <f t="shared" si="2"/>
        <v>10</v>
      </c>
      <c r="R20" s="5">
        <f>VLOOKUP(E20,LevelData,2)</f>
        <v>10</v>
      </c>
      <c r="S20" s="5">
        <f t="shared" si="3"/>
        <v>10</v>
      </c>
      <c r="T20" s="4"/>
      <c r="U20" s="3"/>
      <c r="V20" s="4">
        <f t="shared" si="6"/>
        <v>18</v>
      </c>
      <c r="W20" s="3">
        <f t="shared" si="7"/>
        <v>18</v>
      </c>
      <c r="X20" s="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12.75" customHeight="1">
      <c r="A21" s="7">
        <f t="shared" si="4"/>
        <v>20</v>
      </c>
      <c r="B21" s="8"/>
      <c r="C21" s="7">
        <v>87.0</v>
      </c>
      <c r="D21" s="8">
        <f t="shared" si="5"/>
        <v>24</v>
      </c>
      <c r="E21" s="7">
        <v>17.0</v>
      </c>
      <c r="F21" s="7">
        <f t="shared" si="1"/>
        <v>7</v>
      </c>
      <c r="G21" s="9"/>
      <c r="H21" s="9"/>
      <c r="I21" s="9"/>
      <c r="J21" s="9"/>
      <c r="K21" s="9"/>
      <c r="L21" s="9"/>
      <c r="M21" s="8" t="s">
        <v>49</v>
      </c>
      <c r="N21" s="9">
        <f>(E21-1)+VLOOKUP(M21,Size,2,0)</f>
        <v>15</v>
      </c>
      <c r="O21" s="9">
        <f>VLOOKUP(E21,LevelData,4)</f>
        <v>17</v>
      </c>
      <c r="P21" s="9">
        <f>O21+VLOOKUP(M21,Size,3,0)</f>
        <v>16</v>
      </c>
      <c r="Q21" s="9">
        <f t="shared" si="2"/>
        <v>10</v>
      </c>
      <c r="R21" s="9">
        <f>VLOOKUP(E21,LevelData,2)</f>
        <v>10</v>
      </c>
      <c r="S21" s="9">
        <f t="shared" si="3"/>
        <v>10</v>
      </c>
      <c r="T21" s="8"/>
      <c r="U21" s="7"/>
      <c r="V21" s="8">
        <f t="shared" si="6"/>
        <v>18</v>
      </c>
      <c r="W21" s="7">
        <f t="shared" si="7"/>
        <v>18</v>
      </c>
      <c r="X21" s="8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ht="12.75" customHeight="1">
      <c r="A22" s="10">
        <f t="shared" si="4"/>
        <v>21</v>
      </c>
      <c r="B22" s="11" t="s">
        <v>53</v>
      </c>
      <c r="C22" s="10">
        <v>101.0</v>
      </c>
      <c r="D22" s="11">
        <f t="shared" si="5"/>
        <v>25</v>
      </c>
      <c r="E22" s="10">
        <v>18.0</v>
      </c>
      <c r="F22" s="10">
        <f t="shared" si="1"/>
        <v>7</v>
      </c>
      <c r="G22" s="12"/>
      <c r="H22" s="12"/>
      <c r="I22" s="12"/>
      <c r="J22" s="12"/>
      <c r="K22" s="12"/>
      <c r="L22" s="12"/>
      <c r="M22" s="11" t="s">
        <v>49</v>
      </c>
      <c r="N22" s="12">
        <f>(E22-1)+VLOOKUP(M22,Size,2,0)</f>
        <v>16</v>
      </c>
      <c r="O22" s="12">
        <f>VLOOKUP(E22,LevelData,4)</f>
        <v>18</v>
      </c>
      <c r="P22" s="12">
        <f>O22+VLOOKUP(M22,Size,3,0)</f>
        <v>17</v>
      </c>
      <c r="Q22" s="12">
        <f t="shared" si="2"/>
        <v>11</v>
      </c>
      <c r="R22" s="12">
        <f>VLOOKUP(E22,LevelData,2)</f>
        <v>11</v>
      </c>
      <c r="S22" s="12">
        <f t="shared" si="3"/>
        <v>11</v>
      </c>
      <c r="T22" s="11"/>
      <c r="U22" s="10"/>
      <c r="V22" s="11">
        <f t="shared" si="6"/>
        <v>19</v>
      </c>
      <c r="W22" s="10">
        <f t="shared" si="7"/>
        <v>19</v>
      </c>
      <c r="X22" s="11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2.75" customHeight="1">
      <c r="A23" s="10">
        <f t="shared" si="4"/>
        <v>22</v>
      </c>
      <c r="B23" s="11"/>
      <c r="C23" s="10">
        <v>126.0</v>
      </c>
      <c r="D23" s="11">
        <f t="shared" si="5"/>
        <v>26</v>
      </c>
      <c r="E23" s="10">
        <v>19.0</v>
      </c>
      <c r="F23" s="10">
        <f t="shared" si="1"/>
        <v>7</v>
      </c>
      <c r="G23" s="12"/>
      <c r="H23" s="12"/>
      <c r="I23" s="12"/>
      <c r="J23" s="12"/>
      <c r="K23" s="12"/>
      <c r="L23" s="12"/>
      <c r="M23" s="11" t="s">
        <v>49</v>
      </c>
      <c r="N23" s="12">
        <f>(E23-1)+VLOOKUP(M23,Size,2,0)</f>
        <v>17</v>
      </c>
      <c r="O23" s="12">
        <f>VLOOKUP(E23,LevelData,4)</f>
        <v>19</v>
      </c>
      <c r="P23" s="12">
        <f>O23+VLOOKUP(M23,Size,3,0)</f>
        <v>18</v>
      </c>
      <c r="Q23" s="12">
        <f t="shared" si="2"/>
        <v>11</v>
      </c>
      <c r="R23" s="12">
        <f>VLOOKUP(E23,LevelData,2)</f>
        <v>11</v>
      </c>
      <c r="S23" s="12">
        <f t="shared" si="3"/>
        <v>11</v>
      </c>
      <c r="T23" s="11"/>
      <c r="U23" s="10"/>
      <c r="V23" s="11">
        <f t="shared" si="6"/>
        <v>19</v>
      </c>
      <c r="W23" s="10">
        <f t="shared" si="7"/>
        <v>19</v>
      </c>
      <c r="X23" s="11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12.75" customHeight="1">
      <c r="A24" s="10">
        <f t="shared" si="4"/>
        <v>23</v>
      </c>
      <c r="B24" s="11"/>
      <c r="C24" s="10">
        <v>151.0</v>
      </c>
      <c r="D24" s="11">
        <f t="shared" si="5"/>
        <v>27</v>
      </c>
      <c r="E24" s="10">
        <v>20.0</v>
      </c>
      <c r="F24" s="10">
        <f t="shared" si="1"/>
        <v>7</v>
      </c>
      <c r="G24" s="12"/>
      <c r="H24" s="12"/>
      <c r="I24" s="12"/>
      <c r="J24" s="12"/>
      <c r="K24" s="12"/>
      <c r="L24" s="12"/>
      <c r="M24" s="11" t="s">
        <v>49</v>
      </c>
      <c r="N24" s="12">
        <f>(E24-1)+VLOOKUP(M24,Size,2,0)</f>
        <v>18</v>
      </c>
      <c r="O24" s="12">
        <f>VLOOKUP(E24,LevelData,4)</f>
        <v>20</v>
      </c>
      <c r="P24" s="12">
        <f>O24+VLOOKUP(M24,Size,3,0)</f>
        <v>19</v>
      </c>
      <c r="Q24" s="12">
        <f t="shared" si="2"/>
        <v>12</v>
      </c>
      <c r="R24" s="12">
        <f>VLOOKUP(E24,LevelData,2)</f>
        <v>12</v>
      </c>
      <c r="S24" s="12">
        <f t="shared" si="3"/>
        <v>12</v>
      </c>
      <c r="T24" s="11"/>
      <c r="U24" s="10"/>
      <c r="V24" s="11">
        <f t="shared" si="6"/>
        <v>20</v>
      </c>
      <c r="W24" s="10">
        <f t="shared" si="7"/>
        <v>20</v>
      </c>
      <c r="X24" s="11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12.75" customHeight="1">
      <c r="A25" s="1">
        <f t="shared" si="4"/>
        <v>24</v>
      </c>
      <c r="B25" s="2"/>
      <c r="C25" s="1">
        <v>176.0</v>
      </c>
      <c r="D25" s="2">
        <f t="shared" si="5"/>
        <v>28</v>
      </c>
      <c r="E25" s="1">
        <v>20.0</v>
      </c>
      <c r="F25" s="1">
        <f t="shared" si="1"/>
        <v>8</v>
      </c>
      <c r="G25" s="13"/>
      <c r="H25" s="13"/>
      <c r="I25" s="13"/>
      <c r="J25" s="13"/>
      <c r="K25" s="13"/>
      <c r="L25" s="13"/>
      <c r="M25" s="2" t="s">
        <v>49</v>
      </c>
      <c r="N25" s="13">
        <f>(E25-1)+VLOOKUP(M25,Size,2,0)</f>
        <v>18</v>
      </c>
      <c r="O25" s="13">
        <f>VLOOKUP(E25,LevelData,4)</f>
        <v>20</v>
      </c>
      <c r="P25" s="13">
        <f>O25+VLOOKUP(M25,Size,3,0)</f>
        <v>19</v>
      </c>
      <c r="Q25" s="13">
        <f t="shared" si="2"/>
        <v>12</v>
      </c>
      <c r="R25" s="13">
        <f>VLOOKUP(E25,LevelData,2)</f>
        <v>12</v>
      </c>
      <c r="S25" s="13">
        <f t="shared" si="3"/>
        <v>12</v>
      </c>
      <c r="T25" s="2"/>
      <c r="U25" s="1"/>
      <c r="V25" s="2">
        <f t="shared" si="6"/>
        <v>20</v>
      </c>
      <c r="W25" s="1">
        <f t="shared" si="7"/>
        <v>20</v>
      </c>
      <c r="X25" s="2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2.75" customHeight="1">
      <c r="A26" s="3">
        <f t="shared" si="4"/>
        <v>25</v>
      </c>
      <c r="B26" s="4" t="s">
        <v>57</v>
      </c>
      <c r="C26" s="3">
        <v>201.0</v>
      </c>
      <c r="D26" s="4">
        <f t="shared" si="5"/>
        <v>29</v>
      </c>
      <c r="E26" s="3">
        <v>21.0</v>
      </c>
      <c r="F26" s="3">
        <f t="shared" si="1"/>
        <v>8</v>
      </c>
      <c r="G26" s="5"/>
      <c r="H26" s="5"/>
      <c r="I26" s="5"/>
      <c r="J26" s="5"/>
      <c r="K26" s="5"/>
      <c r="L26" s="5"/>
      <c r="M26" s="4" t="s">
        <v>58</v>
      </c>
      <c r="N26" s="5">
        <f>(E26-1)+VLOOKUP(M26,Size,2,0)</f>
        <v>18</v>
      </c>
      <c r="O26" s="5">
        <f>VLOOKUP(E26,LevelData,4)</f>
        <v>21</v>
      </c>
      <c r="P26" s="5">
        <f>O26+VLOOKUP(M26,Size,3,0)</f>
        <v>19</v>
      </c>
      <c r="Q26" s="5">
        <f t="shared" si="2"/>
        <v>12</v>
      </c>
      <c r="R26" s="5">
        <f>VLOOKUP(E26,LevelData,2)</f>
        <v>12</v>
      </c>
      <c r="S26" s="5">
        <f t="shared" si="3"/>
        <v>12</v>
      </c>
      <c r="T26" s="4"/>
      <c r="U26" s="3"/>
      <c r="V26" s="4">
        <f t="shared" si="6"/>
        <v>20</v>
      </c>
      <c r="W26" s="3">
        <f t="shared" si="7"/>
        <v>20</v>
      </c>
      <c r="X26" s="4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3">
        <f t="shared" si="4"/>
        <v>26</v>
      </c>
      <c r="B27" s="4"/>
      <c r="C27" s="3">
        <v>251.0</v>
      </c>
      <c r="D27" s="4">
        <f t="shared" si="5"/>
        <v>30</v>
      </c>
      <c r="E27" s="3">
        <v>22.0</v>
      </c>
      <c r="F27" s="3">
        <f t="shared" si="1"/>
        <v>8</v>
      </c>
      <c r="G27" s="5"/>
      <c r="H27" s="5"/>
      <c r="I27" s="5"/>
      <c r="J27" s="5"/>
      <c r="K27" s="5"/>
      <c r="L27" s="5"/>
      <c r="M27" s="4" t="s">
        <v>58</v>
      </c>
      <c r="N27" s="5">
        <f>(E27-1)+VLOOKUP(M27,Size,2,0)</f>
        <v>19</v>
      </c>
      <c r="O27" s="5">
        <f>VLOOKUP(E27,LevelData,4)</f>
        <v>22</v>
      </c>
      <c r="P27" s="5">
        <f>O27+VLOOKUP(M27,Size,3,0)</f>
        <v>20</v>
      </c>
      <c r="Q27" s="5">
        <f t="shared" si="2"/>
        <v>13</v>
      </c>
      <c r="R27" s="5">
        <f>VLOOKUP(E27,LevelData,2)</f>
        <v>13</v>
      </c>
      <c r="S27" s="5">
        <f t="shared" si="3"/>
        <v>13</v>
      </c>
      <c r="T27" s="4"/>
      <c r="U27" s="3"/>
      <c r="V27" s="4">
        <f t="shared" si="6"/>
        <v>21</v>
      </c>
      <c r="W27" s="3">
        <f t="shared" si="7"/>
        <v>21</v>
      </c>
      <c r="X27" s="4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3">
        <f t="shared" si="4"/>
        <v>27</v>
      </c>
      <c r="B28" s="4"/>
      <c r="C28" s="3">
        <v>301.0</v>
      </c>
      <c r="D28" s="4">
        <f t="shared" si="5"/>
        <v>31</v>
      </c>
      <c r="E28" s="3">
        <v>23.0</v>
      </c>
      <c r="F28" s="3">
        <f t="shared" si="1"/>
        <v>8</v>
      </c>
      <c r="G28" s="5"/>
      <c r="H28" s="5"/>
      <c r="I28" s="5"/>
      <c r="J28" s="5"/>
      <c r="K28" s="5"/>
      <c r="L28" s="5"/>
      <c r="M28" s="4" t="s">
        <v>58</v>
      </c>
      <c r="N28" s="5">
        <f>(E28-1)+VLOOKUP(M28,Size,2,0)</f>
        <v>20</v>
      </c>
      <c r="O28" s="5">
        <f>VLOOKUP(E28,LevelData,4)</f>
        <v>23</v>
      </c>
      <c r="P28" s="5">
        <f>O28+VLOOKUP(M28,Size,3,0)</f>
        <v>21</v>
      </c>
      <c r="Q28" s="5">
        <f t="shared" si="2"/>
        <v>13</v>
      </c>
      <c r="R28" s="5">
        <f>VLOOKUP(E28,LevelData,2)</f>
        <v>13</v>
      </c>
      <c r="S28" s="5">
        <f t="shared" si="3"/>
        <v>13</v>
      </c>
      <c r="T28" s="4"/>
      <c r="U28" s="3"/>
      <c r="V28" s="4">
        <f t="shared" si="6"/>
        <v>21</v>
      </c>
      <c r="W28" s="3">
        <f t="shared" si="7"/>
        <v>21</v>
      </c>
      <c r="X28" s="4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12.75" customHeight="1">
      <c r="A29" s="7">
        <f t="shared" si="4"/>
        <v>28</v>
      </c>
      <c r="B29" s="8"/>
      <c r="C29" s="7">
        <v>351.0</v>
      </c>
      <c r="D29" s="8">
        <f t="shared" si="5"/>
        <v>32</v>
      </c>
      <c r="E29" s="7">
        <v>23.0</v>
      </c>
      <c r="F29" s="7">
        <f t="shared" si="1"/>
        <v>9</v>
      </c>
      <c r="G29" s="9"/>
      <c r="H29" s="9"/>
      <c r="I29" s="9"/>
      <c r="J29" s="9"/>
      <c r="K29" s="9"/>
      <c r="L29" s="9"/>
      <c r="M29" s="8" t="s">
        <v>58</v>
      </c>
      <c r="N29" s="9">
        <f>(E29-1)+VLOOKUP(M29,Size,2,0)</f>
        <v>20</v>
      </c>
      <c r="O29" s="9">
        <f>VLOOKUP(E29,LevelData,4)</f>
        <v>23</v>
      </c>
      <c r="P29" s="9">
        <f>O29+VLOOKUP(M29,Size,3,0)</f>
        <v>21</v>
      </c>
      <c r="Q29" s="9">
        <f t="shared" si="2"/>
        <v>13</v>
      </c>
      <c r="R29" s="9">
        <f>VLOOKUP(E29,LevelData,2)</f>
        <v>13</v>
      </c>
      <c r="S29" s="9">
        <f t="shared" si="3"/>
        <v>13</v>
      </c>
      <c r="T29" s="8"/>
      <c r="U29" s="7"/>
      <c r="V29" s="8">
        <f t="shared" si="6"/>
        <v>21</v>
      </c>
      <c r="W29" s="7">
        <f t="shared" si="7"/>
        <v>21</v>
      </c>
      <c r="X29" s="8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ht="12.75" customHeight="1">
      <c r="A30" s="10">
        <f t="shared" si="4"/>
        <v>29</v>
      </c>
      <c r="B30" s="11" t="s">
        <v>62</v>
      </c>
      <c r="C30" s="10">
        <v>401.0</v>
      </c>
      <c r="D30" s="11">
        <f t="shared" si="5"/>
        <v>33</v>
      </c>
      <c r="E30" s="10">
        <v>24.0</v>
      </c>
      <c r="F30" s="10">
        <f t="shared" si="1"/>
        <v>9</v>
      </c>
      <c r="G30" s="12"/>
      <c r="H30" s="12"/>
      <c r="I30" s="12"/>
      <c r="J30" s="12"/>
      <c r="K30" s="12"/>
      <c r="L30" s="12"/>
      <c r="M30" s="11" t="s">
        <v>58</v>
      </c>
      <c r="N30" s="12">
        <f>(E30-1)+VLOOKUP(M30,Size,2,0)</f>
        <v>21</v>
      </c>
      <c r="O30" s="12">
        <f>VLOOKUP(E30,LevelData,4)</f>
        <v>24</v>
      </c>
      <c r="P30" s="12">
        <f>O30+VLOOKUP(M30,Size,3,0)</f>
        <v>22</v>
      </c>
      <c r="Q30" s="12">
        <f t="shared" si="2"/>
        <v>14</v>
      </c>
      <c r="R30" s="12">
        <f>VLOOKUP(E30,LevelData,2)</f>
        <v>14</v>
      </c>
      <c r="S30" s="12">
        <f t="shared" si="3"/>
        <v>14</v>
      </c>
      <c r="T30" s="11"/>
      <c r="U30" s="10"/>
      <c r="V30" s="11">
        <f t="shared" si="6"/>
        <v>22</v>
      </c>
      <c r="W30" s="10">
        <f t="shared" si="7"/>
        <v>22</v>
      </c>
      <c r="X30" s="11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2.75" customHeight="1">
      <c r="A31" s="10">
        <f t="shared" si="4"/>
        <v>30</v>
      </c>
      <c r="B31" s="11"/>
      <c r="C31" s="10">
        <v>451.0</v>
      </c>
      <c r="D31" s="11">
        <f t="shared" si="5"/>
        <v>34</v>
      </c>
      <c r="E31" s="10">
        <v>25.0</v>
      </c>
      <c r="F31" s="10">
        <f t="shared" si="1"/>
        <v>9</v>
      </c>
      <c r="G31" s="12"/>
      <c r="H31" s="12"/>
      <c r="I31" s="12"/>
      <c r="J31" s="12"/>
      <c r="K31" s="12"/>
      <c r="L31" s="12"/>
      <c r="M31" s="11" t="s">
        <v>58</v>
      </c>
      <c r="N31" s="12">
        <f>(E31-1)+VLOOKUP(M31,Size,2,0)</f>
        <v>22</v>
      </c>
      <c r="O31" s="12">
        <f>VLOOKUP(E31,LevelData,4)</f>
        <v>25</v>
      </c>
      <c r="P31" s="12">
        <f>O31+VLOOKUP(M31,Size,3,0)</f>
        <v>23</v>
      </c>
      <c r="Q31" s="12">
        <f t="shared" si="2"/>
        <v>14</v>
      </c>
      <c r="R31" s="12">
        <f>VLOOKUP(E31,LevelData,2)</f>
        <v>14</v>
      </c>
      <c r="S31" s="12">
        <f t="shared" si="3"/>
        <v>14</v>
      </c>
      <c r="T31" s="11"/>
      <c r="U31" s="10"/>
      <c r="V31" s="11">
        <f t="shared" si="6"/>
        <v>22</v>
      </c>
      <c r="W31" s="10">
        <f t="shared" si="7"/>
        <v>22</v>
      </c>
      <c r="X31" s="11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12.75" customHeight="1">
      <c r="A32" s="10">
        <f t="shared" si="4"/>
        <v>31</v>
      </c>
      <c r="B32" s="11"/>
      <c r="C32" s="10">
        <v>501.0</v>
      </c>
      <c r="D32" s="11">
        <f t="shared" si="5"/>
        <v>35</v>
      </c>
      <c r="E32" s="10">
        <v>26.0</v>
      </c>
      <c r="F32" s="10">
        <f t="shared" si="1"/>
        <v>9</v>
      </c>
      <c r="G32" s="12"/>
      <c r="H32" s="12"/>
      <c r="I32" s="12"/>
      <c r="J32" s="12"/>
      <c r="K32" s="12"/>
      <c r="L32" s="12"/>
      <c r="M32" s="11" t="s">
        <v>58</v>
      </c>
      <c r="N32" s="12">
        <f>(E32-1)+VLOOKUP(M32,Size,2,0)</f>
        <v>23</v>
      </c>
      <c r="O32" s="12">
        <f>VLOOKUP(E32,LevelData,4)</f>
        <v>26</v>
      </c>
      <c r="P32" s="12">
        <f>O32+VLOOKUP(M32,Size,3,0)</f>
        <v>24</v>
      </c>
      <c r="Q32" s="12">
        <f t="shared" si="2"/>
        <v>15</v>
      </c>
      <c r="R32" s="12">
        <f>VLOOKUP(E32,LevelData,2)</f>
        <v>15</v>
      </c>
      <c r="S32" s="12">
        <f t="shared" si="3"/>
        <v>15</v>
      </c>
      <c r="T32" s="11"/>
      <c r="U32" s="10"/>
      <c r="V32" s="11">
        <f t="shared" si="6"/>
        <v>23</v>
      </c>
      <c r="W32" s="10">
        <f t="shared" si="7"/>
        <v>23</v>
      </c>
      <c r="X32" s="11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12.75" customHeight="1">
      <c r="A33" s="1">
        <f t="shared" si="4"/>
        <v>32</v>
      </c>
      <c r="B33" s="2"/>
      <c r="C33" s="1">
        <v>551.0</v>
      </c>
      <c r="D33" s="2">
        <f t="shared" si="5"/>
        <v>36</v>
      </c>
      <c r="E33" s="1">
        <v>26.0</v>
      </c>
      <c r="F33" s="1">
        <f t="shared" si="1"/>
        <v>10</v>
      </c>
      <c r="G33" s="13"/>
      <c r="H33" s="13"/>
      <c r="I33" s="13"/>
      <c r="J33" s="13"/>
      <c r="K33" s="13"/>
      <c r="L33" s="13"/>
      <c r="M33" s="2" t="s">
        <v>58</v>
      </c>
      <c r="N33" s="13">
        <f>(E33-1)+VLOOKUP(M33,Size,2,0)</f>
        <v>23</v>
      </c>
      <c r="O33" s="13">
        <f>VLOOKUP(E33,LevelData,4)</f>
        <v>26</v>
      </c>
      <c r="P33" s="13">
        <f>O33+VLOOKUP(M33,Size,3,0)</f>
        <v>24</v>
      </c>
      <c r="Q33" s="13">
        <f t="shared" si="2"/>
        <v>15</v>
      </c>
      <c r="R33" s="13">
        <f>VLOOKUP(E33,LevelData,2)</f>
        <v>15</v>
      </c>
      <c r="S33" s="13">
        <f t="shared" si="3"/>
        <v>15</v>
      </c>
      <c r="T33" s="2"/>
      <c r="U33" s="1"/>
      <c r="V33" s="2">
        <f t="shared" si="6"/>
        <v>23</v>
      </c>
      <c r="W33" s="1">
        <f t="shared" si="7"/>
        <v>23</v>
      </c>
      <c r="X33" s="2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2.75" customHeight="1">
      <c r="A34" s="3">
        <f t="shared" si="4"/>
        <v>33</v>
      </c>
      <c r="B34" s="4" t="s">
        <v>67</v>
      </c>
      <c r="C34" s="3">
        <v>601.0</v>
      </c>
      <c r="D34" s="4">
        <f t="shared" si="5"/>
        <v>37</v>
      </c>
      <c r="E34" s="3">
        <v>27.0</v>
      </c>
      <c r="F34" s="3">
        <f t="shared" si="1"/>
        <v>10</v>
      </c>
      <c r="G34" s="5"/>
      <c r="H34" s="5"/>
      <c r="I34" s="5"/>
      <c r="J34" s="5"/>
      <c r="K34" s="5"/>
      <c r="L34" s="5"/>
      <c r="M34" s="4" t="s">
        <v>58</v>
      </c>
      <c r="N34" s="5">
        <f>(E34-1)+VLOOKUP(M34,Size,2,0)</f>
        <v>24</v>
      </c>
      <c r="O34" s="5">
        <f>VLOOKUP(E34,LevelData,4)</f>
        <v>27</v>
      </c>
      <c r="P34" s="5">
        <f>O34+VLOOKUP(M34,Size,3,0)</f>
        <v>25</v>
      </c>
      <c r="Q34" s="5">
        <f t="shared" si="2"/>
        <v>15</v>
      </c>
      <c r="R34" s="5">
        <f>VLOOKUP(E34,LevelData,2)</f>
        <v>15</v>
      </c>
      <c r="S34" s="5">
        <f t="shared" si="3"/>
        <v>15</v>
      </c>
      <c r="T34" s="4"/>
      <c r="U34" s="3"/>
      <c r="V34" s="4">
        <f t="shared" si="6"/>
        <v>23</v>
      </c>
      <c r="W34" s="3">
        <f t="shared" si="7"/>
        <v>23</v>
      </c>
      <c r="X34" s="4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3">
        <f t="shared" si="4"/>
        <v>34</v>
      </c>
      <c r="B35" s="4"/>
      <c r="C35" s="3">
        <v>651.0</v>
      </c>
      <c r="D35" s="4">
        <f t="shared" si="5"/>
        <v>38</v>
      </c>
      <c r="E35" s="3">
        <v>28.0</v>
      </c>
      <c r="F35" s="3">
        <f t="shared" si="1"/>
        <v>10</v>
      </c>
      <c r="G35" s="5"/>
      <c r="H35" s="5"/>
      <c r="I35" s="5"/>
      <c r="J35" s="5"/>
      <c r="K35" s="5"/>
      <c r="L35" s="5"/>
      <c r="M35" s="4" t="s">
        <v>58</v>
      </c>
      <c r="N35" s="5">
        <f>(E35-1)+VLOOKUP(M35,Size,2,0)</f>
        <v>25</v>
      </c>
      <c r="O35" s="5">
        <f>VLOOKUP(E35,LevelData,4)</f>
        <v>28</v>
      </c>
      <c r="P35" s="5">
        <f>O35+VLOOKUP(M35,Size,3,0)</f>
        <v>26</v>
      </c>
      <c r="Q35" s="5">
        <f t="shared" si="2"/>
        <v>16</v>
      </c>
      <c r="R35" s="5">
        <f>VLOOKUP(E35,LevelData,2)</f>
        <v>16</v>
      </c>
      <c r="S35" s="5">
        <f t="shared" si="3"/>
        <v>16</v>
      </c>
      <c r="T35" s="4"/>
      <c r="U35" s="3"/>
      <c r="V35" s="4">
        <f t="shared" si="6"/>
        <v>24</v>
      </c>
      <c r="W35" s="3">
        <f t="shared" si="7"/>
        <v>24</v>
      </c>
      <c r="X35" s="4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3">
        <f t="shared" si="4"/>
        <v>35</v>
      </c>
      <c r="B36" s="4"/>
      <c r="C36" s="3">
        <v>701.0</v>
      </c>
      <c r="D36" s="4">
        <f t="shared" si="5"/>
        <v>39</v>
      </c>
      <c r="E36" s="3">
        <v>29.0</v>
      </c>
      <c r="F36" s="3">
        <f t="shared" si="1"/>
        <v>10</v>
      </c>
      <c r="G36" s="5"/>
      <c r="H36" s="5"/>
      <c r="I36" s="5"/>
      <c r="J36" s="5"/>
      <c r="K36" s="5"/>
      <c r="L36" s="5"/>
      <c r="M36" s="4" t="s">
        <v>58</v>
      </c>
      <c r="N36" s="5">
        <f>(E36-1)+VLOOKUP(M36,Size,2,0)</f>
        <v>26</v>
      </c>
      <c r="O36" s="5">
        <f>VLOOKUP(E36,LevelData,4)</f>
        <v>29</v>
      </c>
      <c r="P36" s="5">
        <f>O36+VLOOKUP(M36,Size,3,0)</f>
        <v>27</v>
      </c>
      <c r="Q36" s="5">
        <f t="shared" si="2"/>
        <v>16</v>
      </c>
      <c r="R36" s="5">
        <f>VLOOKUP(E36,LevelData,2)</f>
        <v>16</v>
      </c>
      <c r="S36" s="5">
        <f t="shared" si="3"/>
        <v>16</v>
      </c>
      <c r="T36" s="4"/>
      <c r="U36" s="3"/>
      <c r="V36" s="4">
        <f t="shared" si="6"/>
        <v>24</v>
      </c>
      <c r="W36" s="3">
        <f t="shared" si="7"/>
        <v>24</v>
      </c>
      <c r="X36" s="4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2.75" customHeight="1">
      <c r="A37" s="7">
        <f t="shared" si="4"/>
        <v>36</v>
      </c>
      <c r="B37" s="8"/>
      <c r="C37" s="7">
        <v>751.0</v>
      </c>
      <c r="D37" s="8">
        <f t="shared" si="5"/>
        <v>40</v>
      </c>
      <c r="E37" s="7">
        <v>29.0</v>
      </c>
      <c r="F37" s="7">
        <f t="shared" si="1"/>
        <v>11</v>
      </c>
      <c r="G37" s="9"/>
      <c r="H37" s="9"/>
      <c r="I37" s="9"/>
      <c r="J37" s="9"/>
      <c r="K37" s="9"/>
      <c r="L37" s="9"/>
      <c r="M37" s="8" t="s">
        <v>58</v>
      </c>
      <c r="N37" s="9">
        <f>(E37-1)+VLOOKUP(M37,Size,2,0)</f>
        <v>26</v>
      </c>
      <c r="O37" s="9">
        <f>VLOOKUP(E37,LevelData,4)</f>
        <v>29</v>
      </c>
      <c r="P37" s="9">
        <f>O37+VLOOKUP(M37,Size,3,0)</f>
        <v>27</v>
      </c>
      <c r="Q37" s="9">
        <f t="shared" si="2"/>
        <v>16</v>
      </c>
      <c r="R37" s="9">
        <f>VLOOKUP(E37,LevelData,2)</f>
        <v>16</v>
      </c>
      <c r="S37" s="9">
        <f t="shared" si="3"/>
        <v>16</v>
      </c>
      <c r="T37" s="8"/>
      <c r="U37" s="7"/>
      <c r="V37" s="8">
        <f t="shared" si="6"/>
        <v>24</v>
      </c>
      <c r="W37" s="7">
        <f t="shared" si="7"/>
        <v>24</v>
      </c>
      <c r="X37" s="8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ht="12.75" customHeight="1">
      <c r="A38" s="10">
        <f t="shared" si="4"/>
        <v>37</v>
      </c>
      <c r="B38" s="11" t="s">
        <v>71</v>
      </c>
      <c r="C38" s="10">
        <v>801.0</v>
      </c>
      <c r="D38" s="11">
        <f t="shared" si="5"/>
        <v>41</v>
      </c>
      <c r="E38" s="10">
        <v>30.0</v>
      </c>
      <c r="F38" s="10">
        <f t="shared" si="1"/>
        <v>11</v>
      </c>
      <c r="G38" s="12"/>
      <c r="H38" s="12"/>
      <c r="I38" s="12"/>
      <c r="J38" s="12"/>
      <c r="K38" s="12"/>
      <c r="L38" s="12"/>
      <c r="M38" s="11" t="s">
        <v>58</v>
      </c>
      <c r="N38" s="12">
        <f>(E38-1)+VLOOKUP(M38,Size,2,0)</f>
        <v>27</v>
      </c>
      <c r="O38" s="12">
        <f>VLOOKUP(E38,LevelData,4)</f>
        <v>30</v>
      </c>
      <c r="P38" s="12">
        <f>O38+VLOOKUP(M38,Size,3,0)</f>
        <v>28</v>
      </c>
      <c r="Q38" s="12">
        <f t="shared" si="2"/>
        <v>17</v>
      </c>
      <c r="R38" s="12">
        <f>VLOOKUP(E38,LevelData,2)</f>
        <v>17</v>
      </c>
      <c r="S38" s="12">
        <f t="shared" si="3"/>
        <v>17</v>
      </c>
      <c r="T38" s="11"/>
      <c r="U38" s="10"/>
      <c r="V38" s="11">
        <f t="shared" si="6"/>
        <v>25</v>
      </c>
      <c r="W38" s="10">
        <f t="shared" si="7"/>
        <v>25</v>
      </c>
      <c r="X38" s="11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2.75" customHeight="1">
      <c r="A39" s="10">
        <f t="shared" si="4"/>
        <v>38</v>
      </c>
      <c r="B39" s="11"/>
      <c r="C39" s="10">
        <v>851.0</v>
      </c>
      <c r="D39" s="11">
        <f t="shared" si="5"/>
        <v>42</v>
      </c>
      <c r="E39" s="10">
        <v>31.0</v>
      </c>
      <c r="F39" s="10">
        <f t="shared" si="1"/>
        <v>11</v>
      </c>
      <c r="G39" s="12"/>
      <c r="H39" s="12"/>
      <c r="I39" s="12"/>
      <c r="J39" s="12"/>
      <c r="K39" s="12"/>
      <c r="L39" s="12"/>
      <c r="M39" s="11" t="s">
        <v>58</v>
      </c>
      <c r="N39" s="12">
        <f>(E39-1)+VLOOKUP(M39,Size,2,0)</f>
        <v>28</v>
      </c>
      <c r="O39" s="12">
        <f>VLOOKUP(E39,LevelData,4)</f>
        <v>31</v>
      </c>
      <c r="P39" s="12">
        <f>O39+VLOOKUP(M39,Size,3,0)</f>
        <v>29</v>
      </c>
      <c r="Q39" s="12">
        <f t="shared" si="2"/>
        <v>17</v>
      </c>
      <c r="R39" s="12">
        <f>VLOOKUP(E39,LevelData,2)</f>
        <v>17</v>
      </c>
      <c r="S39" s="12">
        <f t="shared" si="3"/>
        <v>17</v>
      </c>
      <c r="T39" s="11"/>
      <c r="U39" s="10"/>
      <c r="V39" s="11">
        <f t="shared" si="6"/>
        <v>25</v>
      </c>
      <c r="W39" s="10">
        <f t="shared" si="7"/>
        <v>25</v>
      </c>
      <c r="X39" s="11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12.75" customHeight="1">
      <c r="A40" s="10">
        <f t="shared" si="4"/>
        <v>39</v>
      </c>
      <c r="B40" s="11"/>
      <c r="C40" s="10">
        <v>901.0</v>
      </c>
      <c r="D40" s="11">
        <f t="shared" si="5"/>
        <v>43</v>
      </c>
      <c r="E40" s="10">
        <v>32.0</v>
      </c>
      <c r="F40" s="10">
        <f t="shared" si="1"/>
        <v>11</v>
      </c>
      <c r="G40" s="12"/>
      <c r="H40" s="12"/>
      <c r="I40" s="12"/>
      <c r="J40" s="12"/>
      <c r="K40" s="12"/>
      <c r="L40" s="12"/>
      <c r="M40" s="11" t="s">
        <v>58</v>
      </c>
      <c r="N40" s="12">
        <f>(E40-1)+VLOOKUP(M40,Size,2,0)</f>
        <v>29</v>
      </c>
      <c r="O40" s="12">
        <f>VLOOKUP(E40,LevelData,4)</f>
        <v>32</v>
      </c>
      <c r="P40" s="12">
        <f>O40+VLOOKUP(M40,Size,3,0)</f>
        <v>30</v>
      </c>
      <c r="Q40" s="12">
        <f t="shared" si="2"/>
        <v>18</v>
      </c>
      <c r="R40" s="12">
        <f>VLOOKUP(E40,LevelData,2)</f>
        <v>18</v>
      </c>
      <c r="S40" s="12">
        <f t="shared" si="3"/>
        <v>18</v>
      </c>
      <c r="T40" s="11"/>
      <c r="U40" s="10"/>
      <c r="V40" s="11">
        <f t="shared" si="6"/>
        <v>26</v>
      </c>
      <c r="W40" s="10">
        <f t="shared" si="7"/>
        <v>26</v>
      </c>
      <c r="X40" s="11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12.75" customHeight="1">
      <c r="A41" s="1">
        <f t="shared" si="4"/>
        <v>40</v>
      </c>
      <c r="B41" s="2"/>
      <c r="C41" s="1">
        <v>851.0</v>
      </c>
      <c r="D41" s="2">
        <f t="shared" si="5"/>
        <v>44</v>
      </c>
      <c r="E41" s="1">
        <v>32.0</v>
      </c>
      <c r="F41" s="1">
        <f t="shared" si="1"/>
        <v>12</v>
      </c>
      <c r="G41" s="13"/>
      <c r="H41" s="13"/>
      <c r="I41" s="13"/>
      <c r="J41" s="13"/>
      <c r="K41" s="13"/>
      <c r="L41" s="13"/>
      <c r="M41" s="2" t="s">
        <v>58</v>
      </c>
      <c r="N41" s="13">
        <f>(E41-1)+VLOOKUP(M41,Size,2,0)</f>
        <v>29</v>
      </c>
      <c r="O41" s="13">
        <f>VLOOKUP(E41,LevelData,4)</f>
        <v>32</v>
      </c>
      <c r="P41" s="13">
        <f>O41+VLOOKUP(M41,Size,3,0)</f>
        <v>30</v>
      </c>
      <c r="Q41" s="13">
        <f t="shared" si="2"/>
        <v>18</v>
      </c>
      <c r="R41" s="13">
        <f>VLOOKUP(E41,LevelData,2)</f>
        <v>18</v>
      </c>
      <c r="S41" s="13">
        <f t="shared" si="3"/>
        <v>18</v>
      </c>
      <c r="T41" s="2"/>
      <c r="U41" s="1"/>
      <c r="V41" s="2">
        <f t="shared" si="6"/>
        <v>26</v>
      </c>
      <c r="W41" s="1">
        <f t="shared" si="7"/>
        <v>26</v>
      </c>
      <c r="X41" s="2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2.75" customHeight="1">
      <c r="A42" s="3">
        <f t="shared" si="4"/>
        <v>41</v>
      </c>
      <c r="B42" s="4" t="s">
        <v>76</v>
      </c>
      <c r="C42" s="3">
        <v>1001.0</v>
      </c>
      <c r="D42" s="4">
        <f t="shared" si="5"/>
        <v>45</v>
      </c>
      <c r="E42" s="3">
        <v>33.0</v>
      </c>
      <c r="F42" s="3">
        <f t="shared" si="1"/>
        <v>12</v>
      </c>
      <c r="G42" s="5"/>
      <c r="H42" s="5"/>
      <c r="I42" s="5"/>
      <c r="J42" s="5"/>
      <c r="K42" s="5"/>
      <c r="L42" s="5"/>
      <c r="M42" s="4" t="s">
        <v>77</v>
      </c>
      <c r="N42" s="5">
        <f>(E42-1)+VLOOKUP(M42,Size,2,0)</f>
        <v>28</v>
      </c>
      <c r="O42" s="5">
        <f>VLOOKUP(E42,LevelData,4)</f>
        <v>33</v>
      </c>
      <c r="P42" s="5">
        <f>O42+VLOOKUP(M42,Size,3,0)</f>
        <v>29</v>
      </c>
      <c r="Q42" s="5">
        <f t="shared" si="2"/>
        <v>18</v>
      </c>
      <c r="R42" s="5">
        <f>VLOOKUP(E42,LevelData,2)</f>
        <v>18</v>
      </c>
      <c r="S42" s="5">
        <f t="shared" si="3"/>
        <v>18</v>
      </c>
      <c r="T42" s="4"/>
      <c r="U42" s="3"/>
      <c r="V42" s="4">
        <f t="shared" si="6"/>
        <v>26</v>
      </c>
      <c r="W42" s="3">
        <f t="shared" si="7"/>
        <v>26</v>
      </c>
      <c r="X42" s="4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3">
        <f t="shared" si="4"/>
        <v>42</v>
      </c>
      <c r="B43" s="4"/>
      <c r="C43" s="3">
        <v>1051.0</v>
      </c>
      <c r="D43" s="4">
        <f t="shared" si="5"/>
        <v>46</v>
      </c>
      <c r="E43" s="3">
        <v>34.0</v>
      </c>
      <c r="F43" s="3">
        <f t="shared" si="1"/>
        <v>12</v>
      </c>
      <c r="G43" s="5"/>
      <c r="H43" s="5"/>
      <c r="I43" s="5"/>
      <c r="J43" s="5"/>
      <c r="K43" s="5"/>
      <c r="L43" s="5"/>
      <c r="M43" s="4" t="s">
        <v>77</v>
      </c>
      <c r="N43" s="5">
        <f>(E43-1)+VLOOKUP(M43,Size,2,0)</f>
        <v>29</v>
      </c>
      <c r="O43" s="5">
        <f>VLOOKUP(E43,LevelData,4)</f>
        <v>34</v>
      </c>
      <c r="P43" s="5">
        <f>O43+VLOOKUP(M43,Size,3,0)</f>
        <v>30</v>
      </c>
      <c r="Q43" s="5">
        <f t="shared" si="2"/>
        <v>19</v>
      </c>
      <c r="R43" s="5">
        <f>VLOOKUP(E43,LevelData,2)</f>
        <v>19</v>
      </c>
      <c r="S43" s="5">
        <f t="shared" si="3"/>
        <v>19</v>
      </c>
      <c r="T43" s="4"/>
      <c r="U43" s="3"/>
      <c r="V43" s="4">
        <f t="shared" si="6"/>
        <v>27</v>
      </c>
      <c r="W43" s="3">
        <f t="shared" si="7"/>
        <v>27</v>
      </c>
      <c r="X43" s="4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3">
        <f t="shared" si="4"/>
        <v>43</v>
      </c>
      <c r="B44" s="4"/>
      <c r="C44" s="3">
        <v>1101.0</v>
      </c>
      <c r="D44" s="4">
        <f t="shared" si="5"/>
        <v>47</v>
      </c>
      <c r="E44" s="3">
        <v>35.0</v>
      </c>
      <c r="F44" s="3">
        <f t="shared" si="1"/>
        <v>12</v>
      </c>
      <c r="G44" s="5"/>
      <c r="H44" s="5"/>
      <c r="I44" s="5"/>
      <c r="J44" s="5"/>
      <c r="K44" s="5"/>
      <c r="L44" s="5"/>
      <c r="M44" s="4" t="s">
        <v>77</v>
      </c>
      <c r="N44" s="5">
        <f>(E44-1)+VLOOKUP(M44,Size,2,0)</f>
        <v>30</v>
      </c>
      <c r="O44" s="5">
        <f>VLOOKUP(E44,LevelData,4)</f>
        <v>35</v>
      </c>
      <c r="P44" s="5">
        <f>O44+VLOOKUP(M44,Size,3,0)</f>
        <v>31</v>
      </c>
      <c r="Q44" s="5">
        <f t="shared" si="2"/>
        <v>19</v>
      </c>
      <c r="R44" s="5">
        <f>VLOOKUP(E44,LevelData,2)</f>
        <v>19</v>
      </c>
      <c r="S44" s="5">
        <f t="shared" si="3"/>
        <v>19</v>
      </c>
      <c r="T44" s="4"/>
      <c r="U44" s="3"/>
      <c r="V44" s="4">
        <f t="shared" si="6"/>
        <v>27</v>
      </c>
      <c r="W44" s="3">
        <f t="shared" si="7"/>
        <v>27</v>
      </c>
      <c r="X44" s="4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12.75" customHeight="1">
      <c r="A45" s="7">
        <f t="shared" si="4"/>
        <v>44</v>
      </c>
      <c r="B45" s="8"/>
      <c r="C45" s="7">
        <v>1151.0</v>
      </c>
      <c r="D45" s="8">
        <f t="shared" si="5"/>
        <v>48</v>
      </c>
      <c r="E45" s="7">
        <v>35.0</v>
      </c>
      <c r="F45" s="7">
        <f t="shared" si="1"/>
        <v>13</v>
      </c>
      <c r="G45" s="9"/>
      <c r="H45" s="9"/>
      <c r="I45" s="9"/>
      <c r="J45" s="9"/>
      <c r="K45" s="9"/>
      <c r="L45" s="9"/>
      <c r="M45" s="8" t="s">
        <v>77</v>
      </c>
      <c r="N45" s="9">
        <f>(E45-1)+VLOOKUP(M45,Size,2,0)</f>
        <v>30</v>
      </c>
      <c r="O45" s="9">
        <f>VLOOKUP(E45,LevelData,4)</f>
        <v>35</v>
      </c>
      <c r="P45" s="9">
        <f>O45+VLOOKUP(M45,Size,3,0)</f>
        <v>31</v>
      </c>
      <c r="Q45" s="9">
        <f t="shared" si="2"/>
        <v>19</v>
      </c>
      <c r="R45" s="9">
        <f>VLOOKUP(E45,LevelData,2)</f>
        <v>19</v>
      </c>
      <c r="S45" s="9">
        <f t="shared" si="3"/>
        <v>19</v>
      </c>
      <c r="T45" s="8"/>
      <c r="U45" s="7"/>
      <c r="V45" s="8">
        <f t="shared" si="6"/>
        <v>27</v>
      </c>
      <c r="W45" s="7">
        <f t="shared" si="7"/>
        <v>27</v>
      </c>
      <c r="X45" s="8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12.75" customHeight="1">
      <c r="A46" s="10">
        <f t="shared" si="4"/>
        <v>45</v>
      </c>
      <c r="B46" s="11" t="s">
        <v>81</v>
      </c>
      <c r="C46" s="10">
        <v>1201.0</v>
      </c>
      <c r="D46" s="11">
        <f t="shared" si="5"/>
        <v>49</v>
      </c>
      <c r="E46" s="10">
        <v>36.0</v>
      </c>
      <c r="F46" s="10">
        <f t="shared" si="1"/>
        <v>13</v>
      </c>
      <c r="G46" s="12"/>
      <c r="H46" s="12"/>
      <c r="I46" s="12"/>
      <c r="J46" s="12"/>
      <c r="K46" s="12"/>
      <c r="L46" s="12"/>
      <c r="M46" s="11" t="s">
        <v>77</v>
      </c>
      <c r="N46" s="12">
        <f>(E46-1)+VLOOKUP(M46,Size,2,0)</f>
        <v>31</v>
      </c>
      <c r="O46" s="12">
        <f>VLOOKUP(E46,LevelData,4)</f>
        <v>36</v>
      </c>
      <c r="P46" s="12">
        <f>O46+VLOOKUP(M46,Size,3,0)</f>
        <v>32</v>
      </c>
      <c r="Q46" s="12">
        <f t="shared" si="2"/>
        <v>20</v>
      </c>
      <c r="R46" s="12">
        <f>VLOOKUP(E46,LevelData,2)</f>
        <v>20</v>
      </c>
      <c r="S46" s="12">
        <f t="shared" si="3"/>
        <v>20</v>
      </c>
      <c r="T46" s="11"/>
      <c r="U46" s="10"/>
      <c r="V46" s="11">
        <f t="shared" si="6"/>
        <v>28</v>
      </c>
      <c r="W46" s="10">
        <f t="shared" si="7"/>
        <v>28</v>
      </c>
      <c r="X46" s="11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2.75" customHeight="1">
      <c r="A47" s="10">
        <f t="shared" si="4"/>
        <v>46</v>
      </c>
      <c r="B47" s="11"/>
      <c r="C47" s="10" t="s">
        <v>84</v>
      </c>
      <c r="D47" s="11">
        <f t="shared" si="5"/>
        <v>50</v>
      </c>
      <c r="E47" s="10">
        <v>37.0</v>
      </c>
      <c r="F47" s="10">
        <f t="shared" si="1"/>
        <v>13</v>
      </c>
      <c r="G47" s="12"/>
      <c r="H47" s="12"/>
      <c r="I47" s="12"/>
      <c r="J47" s="12"/>
      <c r="K47" s="12"/>
      <c r="L47" s="12"/>
      <c r="M47" s="11" t="s">
        <v>77</v>
      </c>
      <c r="N47" s="12">
        <f>(E47-1)+VLOOKUP(M47,Size,2,0)</f>
        <v>32</v>
      </c>
      <c r="O47" s="12">
        <f>VLOOKUP(E47,LevelData,4)</f>
        <v>37</v>
      </c>
      <c r="P47" s="12">
        <f>O47+VLOOKUP(M47,Size,3,0)</f>
        <v>33</v>
      </c>
      <c r="Q47" s="12">
        <f t="shared" si="2"/>
        <v>20</v>
      </c>
      <c r="R47" s="12">
        <f>VLOOKUP(E47,LevelData,2)</f>
        <v>20</v>
      </c>
      <c r="S47" s="12">
        <f t="shared" si="3"/>
        <v>20</v>
      </c>
      <c r="T47" s="11"/>
      <c r="U47" s="10"/>
      <c r="V47" s="11">
        <f t="shared" si="6"/>
        <v>28</v>
      </c>
      <c r="W47" s="10">
        <f t="shared" si="7"/>
        <v>28</v>
      </c>
      <c r="X47" s="11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12.75" customHeight="1">
      <c r="A48" s="10">
        <f t="shared" si="4"/>
        <v>47</v>
      </c>
      <c r="B48" s="11"/>
      <c r="C48" s="10" t="s">
        <v>86</v>
      </c>
      <c r="D48" s="11">
        <f t="shared" si="5"/>
        <v>51</v>
      </c>
      <c r="E48" s="10">
        <v>38.0</v>
      </c>
      <c r="F48" s="10">
        <f t="shared" si="1"/>
        <v>13</v>
      </c>
      <c r="G48" s="12"/>
      <c r="H48" s="12"/>
      <c r="I48" s="12"/>
      <c r="J48" s="12"/>
      <c r="K48" s="12"/>
      <c r="L48" s="12"/>
      <c r="M48" s="11" t="s">
        <v>77</v>
      </c>
      <c r="N48" s="12">
        <f>(E48-1)+VLOOKUP(M48,Size,2,0)</f>
        <v>33</v>
      </c>
      <c r="O48" s="12">
        <f>VLOOKUP(E48,LevelData,4)</f>
        <v>38</v>
      </c>
      <c r="P48" s="12">
        <f>O48+VLOOKUP(M48,Size,3,0)</f>
        <v>34</v>
      </c>
      <c r="Q48" s="12">
        <f t="shared" si="2"/>
        <v>21</v>
      </c>
      <c r="R48" s="12">
        <f>VLOOKUP(E48,LevelData,2)</f>
        <v>21</v>
      </c>
      <c r="S48" s="12">
        <f t="shared" si="3"/>
        <v>21</v>
      </c>
      <c r="T48" s="11"/>
      <c r="U48" s="10"/>
      <c r="V48" s="11">
        <f t="shared" si="6"/>
        <v>29</v>
      </c>
      <c r="W48" s="10">
        <f t="shared" si="7"/>
        <v>29</v>
      </c>
      <c r="X48" s="11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12.75" customHeight="1">
      <c r="A49" s="1">
        <f t="shared" si="4"/>
        <v>48</v>
      </c>
      <c r="B49" s="2"/>
      <c r="C49" s="1" t="s">
        <v>88</v>
      </c>
      <c r="D49" s="2">
        <f t="shared" si="5"/>
        <v>52</v>
      </c>
      <c r="E49" s="1">
        <v>38.0</v>
      </c>
      <c r="F49" s="1">
        <f t="shared" si="1"/>
        <v>14</v>
      </c>
      <c r="G49" s="13"/>
      <c r="H49" s="13"/>
      <c r="I49" s="13"/>
      <c r="J49" s="13"/>
      <c r="K49" s="13"/>
      <c r="L49" s="13"/>
      <c r="M49" s="2" t="s">
        <v>77</v>
      </c>
      <c r="N49" s="13">
        <f>(E49-1)+VLOOKUP(M49,Size,2,0)</f>
        <v>33</v>
      </c>
      <c r="O49" s="13">
        <f>VLOOKUP(E49,LevelData,4)</f>
        <v>38</v>
      </c>
      <c r="P49" s="13">
        <f>O49+VLOOKUP(M49,Size,3,0)</f>
        <v>34</v>
      </c>
      <c r="Q49" s="13">
        <f t="shared" si="2"/>
        <v>21</v>
      </c>
      <c r="R49" s="13">
        <f>VLOOKUP(E49,LevelData,2)</f>
        <v>21</v>
      </c>
      <c r="S49" s="13">
        <f t="shared" si="3"/>
        <v>21</v>
      </c>
      <c r="T49" s="2"/>
      <c r="U49" s="1"/>
      <c r="V49" s="2">
        <f t="shared" si="6"/>
        <v>29</v>
      </c>
      <c r="W49" s="1">
        <f t="shared" si="7"/>
        <v>29</v>
      </c>
      <c r="X49" s="2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2.75" customHeight="1">
      <c r="A50" s="3">
        <f t="shared" si="4"/>
        <v>49</v>
      </c>
      <c r="B50" s="4" t="s">
        <v>89</v>
      </c>
      <c r="C50" s="3" t="s">
        <v>90</v>
      </c>
      <c r="D50" s="4">
        <f t="shared" si="5"/>
        <v>53</v>
      </c>
      <c r="E50" s="3">
        <v>39.0</v>
      </c>
      <c r="F50" s="3">
        <f t="shared" si="1"/>
        <v>14</v>
      </c>
      <c r="G50" s="5"/>
      <c r="H50" s="5"/>
      <c r="I50" s="5"/>
      <c r="J50" s="5"/>
      <c r="K50" s="5"/>
      <c r="L50" s="5"/>
      <c r="M50" s="4" t="s">
        <v>77</v>
      </c>
      <c r="N50" s="5">
        <f>(E50-1)+VLOOKUP(M50,Size,2,0)</f>
        <v>34</v>
      </c>
      <c r="O50" s="5">
        <f>VLOOKUP(E50,LevelData,4)</f>
        <v>39</v>
      </c>
      <c r="P50" s="5">
        <f>O50+VLOOKUP(M50,Size,3,0)</f>
        <v>35</v>
      </c>
      <c r="Q50" s="5">
        <f t="shared" si="2"/>
        <v>21</v>
      </c>
      <c r="R50" s="5">
        <f>VLOOKUP(E50,LevelData,2)</f>
        <v>21</v>
      </c>
      <c r="S50" s="5">
        <f t="shared" si="3"/>
        <v>21</v>
      </c>
      <c r="T50" s="4"/>
      <c r="U50" s="3"/>
      <c r="V50" s="4">
        <f t="shared" si="6"/>
        <v>29</v>
      </c>
      <c r="W50" s="3">
        <f t="shared" si="7"/>
        <v>29</v>
      </c>
      <c r="X50" s="4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12.75" customHeight="1">
      <c r="A51" s="10"/>
      <c r="B51" s="11"/>
      <c r="C51" s="10"/>
      <c r="D51" s="11"/>
      <c r="E51" s="10"/>
      <c r="F51" s="10"/>
      <c r="G51" s="11"/>
      <c r="H51" s="11"/>
      <c r="I51" s="11"/>
      <c r="J51" s="11"/>
      <c r="K51" s="11"/>
      <c r="L51" s="11"/>
      <c r="M51" s="14" t="str">
        <f>HYPERLINK("http://www.geocities.com/galliard6/dragons_sheet.html","Back")</f>
        <v>Back</v>
      </c>
      <c r="N51" s="11"/>
      <c r="O51" s="11"/>
      <c r="P51" s="11"/>
      <c r="Q51" s="11"/>
      <c r="R51" s="11"/>
      <c r="S51" s="11"/>
      <c r="T51" s="11"/>
      <c r="U51" s="10"/>
      <c r="V51" s="11"/>
      <c r="W51" s="10"/>
      <c r="X51" s="1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2.75" customHeight="1">
      <c r="A52" s="10"/>
      <c r="B52" s="11"/>
      <c r="C52" s="10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/>
      <c r="V52" s="11"/>
      <c r="W52" s="10"/>
      <c r="X52" s="1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2.75" customHeight="1">
      <c r="A53" s="10"/>
      <c r="B53" s="11"/>
      <c r="C53" s="10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/>
      <c r="V53" s="11"/>
      <c r="W53" s="10"/>
      <c r="X53" s="11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2.75" customHeight="1">
      <c r="A54" s="10"/>
      <c r="B54" s="11"/>
      <c r="C54" s="10"/>
      <c r="D54" s="11"/>
      <c r="E54" s="10"/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1"/>
      <c r="W54" s="10"/>
      <c r="X54" s="11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2.75" customHeight="1">
      <c r="A55" s="10"/>
      <c r="B55" s="11"/>
      <c r="C55" s="10"/>
      <c r="D55" s="11"/>
      <c r="E55" s="10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/>
      <c r="V55" s="11"/>
      <c r="W55" s="10"/>
      <c r="X55" s="11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2.75" customHeight="1">
      <c r="A56" s="10"/>
      <c r="B56" s="11"/>
      <c r="C56" s="10"/>
      <c r="D56" s="11"/>
      <c r="E56" s="10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/>
      <c r="V56" s="11"/>
      <c r="W56" s="10"/>
      <c r="X56" s="11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2.75" customHeight="1">
      <c r="A57" s="10"/>
      <c r="B57" s="11"/>
      <c r="C57" s="10"/>
      <c r="D57" s="11"/>
      <c r="E57" s="10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/>
      <c r="V57" s="11"/>
      <c r="W57" s="10"/>
      <c r="X57" s="11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2.75" customHeight="1">
      <c r="A58" s="10"/>
      <c r="B58" s="11"/>
      <c r="C58" s="10"/>
      <c r="D58" s="11"/>
      <c r="E58" s="10"/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/>
      <c r="V58" s="11"/>
      <c r="W58" s="10"/>
      <c r="X58" s="11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2.75" customHeight="1">
      <c r="A59" s="10"/>
      <c r="B59" s="11"/>
      <c r="C59" s="10"/>
      <c r="D59" s="11"/>
      <c r="E59" s="10"/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/>
      <c r="V59" s="11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2.75" customHeight="1">
      <c r="A60" s="10"/>
      <c r="B60" s="11"/>
      <c r="C60" s="10"/>
      <c r="D60" s="11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/>
      <c r="V60" s="11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2.75" customHeight="1">
      <c r="A61" s="10"/>
      <c r="B61" s="11"/>
      <c r="C61" s="10"/>
      <c r="D61" s="11"/>
      <c r="E61" s="10"/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/>
      <c r="V61" s="11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2.75" customHeight="1">
      <c r="A62" s="10"/>
      <c r="B62" s="11"/>
      <c r="C62" s="10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/>
      <c r="V62" s="11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2.75" customHeight="1">
      <c r="A63" s="10"/>
      <c r="B63" s="11"/>
      <c r="C63" s="10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2.75" customHeight="1">
      <c r="A64" s="10"/>
      <c r="B64" s="11"/>
      <c r="C64" s="10"/>
      <c r="D64" s="11"/>
      <c r="E64" s="10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2.75" customHeight="1">
      <c r="A65" s="10"/>
      <c r="B65" s="11"/>
      <c r="C65" s="10"/>
      <c r="D65" s="11"/>
      <c r="E65" s="10"/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2.75" customHeight="1">
      <c r="A66" s="10"/>
      <c r="B66" s="11"/>
      <c r="C66" s="10"/>
      <c r="D66" s="11"/>
      <c r="E66" s="10"/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2.75" customHeight="1">
      <c r="A67" s="10"/>
      <c r="B67" s="11"/>
      <c r="C67" s="10"/>
      <c r="D67" s="11"/>
      <c r="E67" s="10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2.75" customHeight="1">
      <c r="A68" s="10"/>
      <c r="B68" s="11"/>
      <c r="C68" s="10"/>
      <c r="D68" s="11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2.75" customHeight="1">
      <c r="A69" s="10"/>
      <c r="B69" s="11"/>
      <c r="C69" s="10"/>
      <c r="D69" s="11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2.75" customHeight="1">
      <c r="A70" s="10"/>
      <c r="B70" s="11"/>
      <c r="C70" s="10"/>
      <c r="D70" s="11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2.75" customHeight="1">
      <c r="A71" s="10"/>
      <c r="B71" s="11"/>
      <c r="C71" s="10"/>
      <c r="D71" s="11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2.75" customHeight="1">
      <c r="A72" s="10"/>
      <c r="B72" s="11"/>
      <c r="C72" s="10"/>
      <c r="D72" s="11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2.75" customHeight="1">
      <c r="A73" s="10"/>
      <c r="B73" s="11"/>
      <c r="C73" s="10"/>
      <c r="D73" s="11"/>
      <c r="E73" s="10"/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2.75" customHeight="1">
      <c r="A74" s="10"/>
      <c r="B74" s="11"/>
      <c r="C74" s="10"/>
      <c r="D74" s="11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2.75" customHeight="1">
      <c r="A75" s="10"/>
      <c r="B75" s="11"/>
      <c r="C75" s="10"/>
      <c r="D75" s="11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2.75" customHeight="1">
      <c r="A76" s="10"/>
      <c r="B76" s="11"/>
      <c r="C76" s="10"/>
      <c r="D76" s="11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2.75" customHeight="1">
      <c r="A77" s="10"/>
      <c r="B77" s="11"/>
      <c r="C77" s="10"/>
      <c r="D77" s="11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2.75" customHeight="1">
      <c r="A78" s="10"/>
      <c r="B78" s="11"/>
      <c r="C78" s="10"/>
      <c r="D78" s="11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2.75" customHeight="1">
      <c r="A79" s="10"/>
      <c r="B79" s="11"/>
      <c r="C79" s="10"/>
      <c r="D79" s="11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2.75" customHeight="1">
      <c r="A80" s="10"/>
      <c r="B80" s="11"/>
      <c r="C80" s="10"/>
      <c r="D80" s="11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2.75" customHeight="1">
      <c r="A81" s="10"/>
      <c r="B81" s="11"/>
      <c r="C81" s="10"/>
      <c r="D81" s="11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2.75" customHeight="1">
      <c r="A82" s="10"/>
      <c r="B82" s="11"/>
      <c r="C82" s="10"/>
      <c r="D82" s="11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2.75" customHeight="1">
      <c r="A83" s="10"/>
      <c r="B83" s="11"/>
      <c r="C83" s="10"/>
      <c r="D83" s="11"/>
      <c r="E83" s="10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2.75" customHeight="1">
      <c r="A84" s="10"/>
      <c r="B84" s="11"/>
      <c r="C84" s="10"/>
      <c r="D84" s="11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2.75" customHeight="1">
      <c r="A85" s="10"/>
      <c r="B85" s="11"/>
      <c r="C85" s="10"/>
      <c r="D85" s="11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2.75" customHeight="1">
      <c r="A86" s="10"/>
      <c r="B86" s="11"/>
      <c r="C86" s="10"/>
      <c r="D86" s="11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2.75" customHeight="1">
      <c r="A87" s="10"/>
      <c r="B87" s="11"/>
      <c r="C87" s="10"/>
      <c r="D87" s="11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2.75" customHeight="1">
      <c r="A88" s="10"/>
      <c r="B88" s="11"/>
      <c r="C88" s="10"/>
      <c r="D88" s="11"/>
      <c r="E88" s="10"/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2.75" customHeight="1">
      <c r="A89" s="10"/>
      <c r="B89" s="11"/>
      <c r="C89" s="10"/>
      <c r="D89" s="11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2.75" customHeight="1">
      <c r="A90" s="10"/>
      <c r="B90" s="11"/>
      <c r="C90" s="10"/>
      <c r="D90" s="11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2.75" customHeight="1">
      <c r="A91" s="10"/>
      <c r="B91" s="11"/>
      <c r="C91" s="10"/>
      <c r="D91" s="11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2.75" customHeight="1">
      <c r="A92" s="10"/>
      <c r="B92" s="11"/>
      <c r="C92" s="10"/>
      <c r="D92" s="11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2.75" customHeight="1">
      <c r="A93" s="10"/>
      <c r="B93" s="11"/>
      <c r="C93" s="10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2.75" customHeight="1">
      <c r="A94" s="10"/>
      <c r="B94" s="11"/>
      <c r="C94" s="10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2.75" customHeight="1">
      <c r="A95" s="10"/>
      <c r="B95" s="11"/>
      <c r="C95" s="10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2.75" customHeight="1">
      <c r="A96" s="10"/>
      <c r="B96" s="11"/>
      <c r="C96" s="10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2.75" customHeight="1">
      <c r="A97" s="10"/>
      <c r="B97" s="11"/>
      <c r="C97" s="10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2.75" customHeight="1">
      <c r="A98" s="10"/>
      <c r="B98" s="11"/>
      <c r="C98" s="10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2.75" customHeight="1">
      <c r="A99" s="10"/>
      <c r="B99" s="11"/>
      <c r="C99" s="10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2.75" customHeight="1">
      <c r="A100" s="10"/>
      <c r="B100" s="11"/>
      <c r="C100" s="10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2.75" customHeight="1">
      <c r="A101" s="10"/>
      <c r="B101" s="11"/>
      <c r="C101" s="10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2.75" customHeight="1">
      <c r="A102" s="10"/>
      <c r="B102" s="11"/>
      <c r="C102" s="10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2.75" customHeight="1">
      <c r="A103" s="10"/>
      <c r="B103" s="11"/>
      <c r="C103" s="10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2.75" customHeight="1">
      <c r="A104" s="10"/>
      <c r="B104" s="11"/>
      <c r="C104" s="10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2.75" customHeight="1">
      <c r="A105" s="10"/>
      <c r="B105" s="11"/>
      <c r="C105" s="10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2.75" customHeight="1">
      <c r="A106" s="10"/>
      <c r="B106" s="11"/>
      <c r="C106" s="10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2.75" customHeight="1">
      <c r="A107" s="10"/>
      <c r="B107" s="11"/>
      <c r="C107" s="10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2.75" customHeight="1">
      <c r="A108" s="10"/>
      <c r="B108" s="11"/>
      <c r="C108" s="10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2.75" customHeight="1">
      <c r="A109" s="10"/>
      <c r="B109" s="11"/>
      <c r="C109" s="10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2.75" customHeight="1">
      <c r="A110" s="10"/>
      <c r="B110" s="11"/>
      <c r="C110" s="10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2.75" customHeight="1">
      <c r="A111" s="10"/>
      <c r="B111" s="11"/>
      <c r="C111" s="10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2.75" customHeight="1">
      <c r="A112" s="10"/>
      <c r="B112" s="11"/>
      <c r="C112" s="10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2.75" customHeight="1">
      <c r="A113" s="10"/>
      <c r="B113" s="11"/>
      <c r="C113" s="10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2.75" customHeight="1">
      <c r="A114" s="10"/>
      <c r="B114" s="11"/>
      <c r="C114" s="10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2.75" customHeight="1">
      <c r="A115" s="10"/>
      <c r="B115" s="11"/>
      <c r="C115" s="10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2.75" customHeight="1">
      <c r="A116" s="10"/>
      <c r="B116" s="11"/>
      <c r="C116" s="10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2.75" customHeight="1">
      <c r="A117" s="10"/>
      <c r="B117" s="11"/>
      <c r="C117" s="10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2.75" customHeight="1">
      <c r="A118" s="10"/>
      <c r="B118" s="11"/>
      <c r="C118" s="10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2.75" customHeight="1">
      <c r="A119" s="10"/>
      <c r="B119" s="11"/>
      <c r="C119" s="10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2.75" customHeight="1">
      <c r="A120" s="10"/>
      <c r="B120" s="11"/>
      <c r="C120" s="10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2.75" customHeight="1">
      <c r="A121" s="10"/>
      <c r="B121" s="11"/>
      <c r="C121" s="10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2.75" customHeight="1">
      <c r="A122" s="10"/>
      <c r="B122" s="11"/>
      <c r="C122" s="10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2.75" customHeight="1">
      <c r="A123" s="10"/>
      <c r="B123" s="11"/>
      <c r="C123" s="10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2.75" customHeight="1">
      <c r="A124" s="10"/>
      <c r="B124" s="11"/>
      <c r="C124" s="10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2.75" customHeight="1">
      <c r="A125" s="10"/>
      <c r="B125" s="11"/>
      <c r="C125" s="10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2.75" customHeight="1">
      <c r="A126" s="10"/>
      <c r="B126" s="11"/>
      <c r="C126" s="10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2.75" customHeight="1">
      <c r="A127" s="10"/>
      <c r="B127" s="11"/>
      <c r="C127" s="10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2.75" customHeight="1">
      <c r="A128" s="10"/>
      <c r="B128" s="11"/>
      <c r="C128" s="10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2.75" customHeight="1">
      <c r="A129" s="10"/>
      <c r="B129" s="11"/>
      <c r="C129" s="10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2.75" customHeight="1">
      <c r="A130" s="10"/>
      <c r="B130" s="11"/>
      <c r="C130" s="10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2.75" customHeight="1">
      <c r="A131" s="10"/>
      <c r="B131" s="11"/>
      <c r="C131" s="10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2.75" customHeight="1">
      <c r="A132" s="10"/>
      <c r="B132" s="11"/>
      <c r="C132" s="10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2.75" customHeight="1">
      <c r="A133" s="10"/>
      <c r="B133" s="11"/>
      <c r="C133" s="10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2.75" customHeight="1">
      <c r="A134" s="10"/>
      <c r="B134" s="11"/>
      <c r="C134" s="10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2.75" customHeight="1">
      <c r="A135" s="10"/>
      <c r="B135" s="11"/>
      <c r="C135" s="10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2.75" customHeight="1">
      <c r="A136" s="10"/>
      <c r="B136" s="11"/>
      <c r="C136" s="10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2.75" customHeight="1">
      <c r="A137" s="10"/>
      <c r="B137" s="11"/>
      <c r="C137" s="10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2.75" customHeight="1">
      <c r="A138" s="10"/>
      <c r="B138" s="11"/>
      <c r="C138" s="10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2.75" customHeight="1">
      <c r="A139" s="10"/>
      <c r="B139" s="11"/>
      <c r="C139" s="10"/>
      <c r="D139" s="11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2.75" customHeight="1">
      <c r="A140" s="10"/>
      <c r="B140" s="11"/>
      <c r="C140" s="10"/>
      <c r="D140" s="11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2.75" customHeight="1">
      <c r="A141" s="10"/>
      <c r="B141" s="11"/>
      <c r="C141" s="10"/>
      <c r="D141" s="11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2.75" customHeight="1">
      <c r="A142" s="10"/>
      <c r="B142" s="11"/>
      <c r="C142" s="10"/>
      <c r="D142" s="11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2.75" customHeight="1">
      <c r="A143" s="10"/>
      <c r="B143" s="11"/>
      <c r="C143" s="10"/>
      <c r="D143" s="11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2.75" customHeight="1">
      <c r="A144" s="10"/>
      <c r="B144" s="11"/>
      <c r="C144" s="10"/>
      <c r="D144" s="11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2.75" customHeight="1">
      <c r="A145" s="10"/>
      <c r="B145" s="11"/>
      <c r="C145" s="10"/>
      <c r="D145" s="11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/>
      <c r="V145" s="11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2.75" customHeight="1">
      <c r="A146" s="10"/>
      <c r="B146" s="11"/>
      <c r="C146" s="10"/>
      <c r="D146" s="11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/>
      <c r="V146" s="11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2.75" customHeight="1">
      <c r="A147" s="10"/>
      <c r="B147" s="11"/>
      <c r="C147" s="10"/>
      <c r="D147" s="11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/>
      <c r="V147" s="11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2.75" customHeight="1">
      <c r="A148" s="10"/>
      <c r="B148" s="11"/>
      <c r="C148" s="10"/>
      <c r="D148" s="11"/>
      <c r="E148" s="10"/>
      <c r="F148" s="1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/>
      <c r="V148" s="11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2.75" customHeight="1">
      <c r="A149" s="10"/>
      <c r="B149" s="11"/>
      <c r="C149" s="10"/>
      <c r="D149" s="11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2.75" customHeight="1">
      <c r="A150" s="10"/>
      <c r="B150" s="11"/>
      <c r="C150" s="10"/>
      <c r="D150" s="11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2.75" customHeight="1">
      <c r="A151" s="10"/>
      <c r="B151" s="11"/>
      <c r="C151" s="10"/>
      <c r="D151" s="11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2.75" customHeight="1">
      <c r="A152" s="10"/>
      <c r="B152" s="11"/>
      <c r="C152" s="10"/>
      <c r="D152" s="11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2.75" customHeight="1">
      <c r="A153" s="10"/>
      <c r="B153" s="11"/>
      <c r="C153" s="10"/>
      <c r="D153" s="11"/>
      <c r="E153" s="10"/>
      <c r="F153" s="1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2.75" customHeight="1">
      <c r="A154" s="10"/>
      <c r="B154" s="11"/>
      <c r="C154" s="10"/>
      <c r="D154" s="11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2.75" customHeight="1">
      <c r="A155" s="10"/>
      <c r="B155" s="11"/>
      <c r="C155" s="10"/>
      <c r="D155" s="11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  <c r="W155" s="10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2.75" customHeight="1">
      <c r="A156" s="10"/>
      <c r="B156" s="11"/>
      <c r="C156" s="10"/>
      <c r="D156" s="11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  <c r="W156" s="10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2.75" customHeight="1">
      <c r="A157" s="10"/>
      <c r="B157" s="11"/>
      <c r="C157" s="10"/>
      <c r="D157" s="11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  <c r="W157" s="10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2.75" customHeight="1">
      <c r="A158" s="10"/>
      <c r="B158" s="11"/>
      <c r="C158" s="10"/>
      <c r="D158" s="11"/>
      <c r="E158" s="10"/>
      <c r="F158" s="1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  <c r="W158" s="10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2.75" customHeight="1">
      <c r="A159" s="10"/>
      <c r="B159" s="11"/>
      <c r="C159" s="10"/>
      <c r="D159" s="11"/>
      <c r="E159" s="10"/>
      <c r="F159" s="1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2.75" customHeight="1">
      <c r="A160" s="10"/>
      <c r="B160" s="11"/>
      <c r="C160" s="10"/>
      <c r="D160" s="11"/>
      <c r="E160" s="10"/>
      <c r="F160" s="1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  <c r="W160" s="10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2.75" customHeight="1">
      <c r="A161" s="10"/>
      <c r="B161" s="11"/>
      <c r="C161" s="10"/>
      <c r="D161" s="11"/>
      <c r="E161" s="10"/>
      <c r="F161" s="1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/>
      <c r="V161" s="11"/>
      <c r="W161" s="10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2.75" customHeight="1">
      <c r="A162" s="10"/>
      <c r="B162" s="11"/>
      <c r="C162" s="10"/>
      <c r="D162" s="11"/>
      <c r="E162" s="10"/>
      <c r="F162" s="1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/>
      <c r="V162" s="11"/>
      <c r="W162" s="10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2.75" customHeight="1">
      <c r="A163" s="10"/>
      <c r="B163" s="11"/>
      <c r="C163" s="10"/>
      <c r="D163" s="11"/>
      <c r="E163" s="10"/>
      <c r="F163" s="1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/>
      <c r="V163" s="11"/>
      <c r="W163" s="10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2.75" customHeight="1">
      <c r="A164" s="10"/>
      <c r="B164" s="11"/>
      <c r="C164" s="10"/>
      <c r="D164" s="11"/>
      <c r="E164" s="10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  <c r="W164" s="10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2.75" customHeight="1">
      <c r="A165" s="10"/>
      <c r="B165" s="11"/>
      <c r="C165" s="10"/>
      <c r="D165" s="11"/>
      <c r="E165" s="10"/>
      <c r="F165" s="1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  <c r="W165" s="10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2.75" customHeight="1">
      <c r="A166" s="10"/>
      <c r="B166" s="11"/>
      <c r="C166" s="10"/>
      <c r="D166" s="11"/>
      <c r="E166" s="10"/>
      <c r="F166" s="1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/>
      <c r="V166" s="11"/>
      <c r="W166" s="10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2.75" customHeight="1">
      <c r="A167" s="10"/>
      <c r="B167" s="11"/>
      <c r="C167" s="10"/>
      <c r="D167" s="11"/>
      <c r="E167" s="10"/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/>
      <c r="V167" s="11"/>
      <c r="W167" s="10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2.75" customHeight="1">
      <c r="A168" s="10"/>
      <c r="B168" s="11"/>
      <c r="C168" s="10"/>
      <c r="D168" s="11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/>
      <c r="V168" s="11"/>
      <c r="W168" s="10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2.75" customHeight="1">
      <c r="A169" s="10"/>
      <c r="B169" s="11"/>
      <c r="C169" s="10"/>
      <c r="D169" s="11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/>
      <c r="V169" s="11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2.75" customHeight="1">
      <c r="A170" s="10"/>
      <c r="B170" s="11"/>
      <c r="C170" s="10"/>
      <c r="D170" s="11"/>
      <c r="E170" s="10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/>
      <c r="V170" s="11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2.75" customHeight="1">
      <c r="A171" s="10"/>
      <c r="B171" s="11"/>
      <c r="C171" s="10"/>
      <c r="D171" s="11"/>
      <c r="E171" s="10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/>
      <c r="V171" s="11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2.75" customHeight="1">
      <c r="A172" s="10"/>
      <c r="B172" s="11"/>
      <c r="C172" s="10"/>
      <c r="D172" s="11"/>
      <c r="E172" s="10"/>
      <c r="F172" s="1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/>
      <c r="V172" s="11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2.75" customHeight="1">
      <c r="A173" s="10"/>
      <c r="B173" s="11"/>
      <c r="C173" s="10"/>
      <c r="D173" s="11"/>
      <c r="E173" s="10"/>
      <c r="F173" s="1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/>
      <c r="V173" s="11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2.75" customHeight="1">
      <c r="A174" s="10"/>
      <c r="B174" s="11"/>
      <c r="C174" s="10"/>
      <c r="D174" s="11"/>
      <c r="E174" s="10"/>
      <c r="F174" s="1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/>
      <c r="V174" s="11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2.75" customHeight="1">
      <c r="A175" s="10"/>
      <c r="B175" s="11"/>
      <c r="C175" s="10"/>
      <c r="D175" s="11"/>
      <c r="E175" s="10"/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/>
      <c r="V175" s="11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2.75" customHeight="1">
      <c r="A176" s="10"/>
      <c r="B176" s="11"/>
      <c r="C176" s="10"/>
      <c r="D176" s="11"/>
      <c r="E176" s="10"/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/>
      <c r="V176" s="11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2.75" customHeight="1">
      <c r="A177" s="10"/>
      <c r="B177" s="11"/>
      <c r="C177" s="10"/>
      <c r="D177" s="11"/>
      <c r="E177" s="10"/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/>
      <c r="V177" s="11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2.75" customHeight="1">
      <c r="A178" s="10"/>
      <c r="B178" s="11"/>
      <c r="C178" s="10"/>
      <c r="D178" s="11"/>
      <c r="E178" s="10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/>
      <c r="V178" s="11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2.75" customHeight="1">
      <c r="A179" s="10"/>
      <c r="B179" s="11"/>
      <c r="C179" s="10"/>
      <c r="D179" s="11"/>
      <c r="E179" s="10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/>
      <c r="V179" s="11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2.75" customHeight="1">
      <c r="A180" s="10"/>
      <c r="B180" s="11"/>
      <c r="C180" s="10"/>
      <c r="D180" s="11"/>
      <c r="E180" s="10"/>
      <c r="F180" s="1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/>
      <c r="V180" s="11"/>
      <c r="W180" s="10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2.75" customHeight="1">
      <c r="A181" s="10"/>
      <c r="B181" s="11"/>
      <c r="C181" s="10"/>
      <c r="D181" s="11"/>
      <c r="E181" s="10"/>
      <c r="F181" s="1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/>
      <c r="V181" s="11"/>
      <c r="W181" s="10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2.75" customHeight="1">
      <c r="A182" s="10"/>
      <c r="B182" s="11"/>
      <c r="C182" s="10"/>
      <c r="D182" s="11"/>
      <c r="E182" s="10"/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/>
      <c r="V182" s="11"/>
      <c r="W182" s="10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2.75" customHeight="1">
      <c r="A183" s="10"/>
      <c r="B183" s="11"/>
      <c r="C183" s="10"/>
      <c r="D183" s="11"/>
      <c r="E183" s="10"/>
      <c r="F183" s="1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/>
      <c r="V183" s="11"/>
      <c r="W183" s="10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2.75" customHeight="1">
      <c r="A184" s="10"/>
      <c r="B184" s="11"/>
      <c r="C184" s="10"/>
      <c r="D184" s="11"/>
      <c r="E184" s="10"/>
      <c r="F184" s="1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/>
      <c r="V184" s="11"/>
      <c r="W184" s="10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2.75" customHeight="1">
      <c r="A185" s="10"/>
      <c r="B185" s="11"/>
      <c r="C185" s="10"/>
      <c r="D185" s="11"/>
      <c r="E185" s="10"/>
      <c r="F185" s="1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/>
      <c r="V185" s="11"/>
      <c r="W185" s="10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2.75" customHeight="1">
      <c r="A186" s="10"/>
      <c r="B186" s="11"/>
      <c r="C186" s="10"/>
      <c r="D186" s="11"/>
      <c r="E186" s="10"/>
      <c r="F186" s="1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/>
      <c r="V186" s="11"/>
      <c r="W186" s="10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2.75" customHeight="1">
      <c r="A187" s="10"/>
      <c r="B187" s="11"/>
      <c r="C187" s="10"/>
      <c r="D187" s="11"/>
      <c r="E187" s="10"/>
      <c r="F187" s="1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/>
      <c r="V187" s="11"/>
      <c r="W187" s="10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2.75" customHeight="1">
      <c r="A188" s="10"/>
      <c r="B188" s="11"/>
      <c r="C188" s="10"/>
      <c r="D188" s="11"/>
      <c r="E188" s="10"/>
      <c r="F188" s="1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/>
      <c r="V188" s="11"/>
      <c r="W188" s="10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2.75" customHeight="1">
      <c r="A189" s="10"/>
      <c r="B189" s="11"/>
      <c r="C189" s="10"/>
      <c r="D189" s="11"/>
      <c r="E189" s="10"/>
      <c r="F189" s="1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/>
      <c r="V189" s="11"/>
      <c r="W189" s="10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2.75" customHeight="1">
      <c r="A190" s="10"/>
      <c r="B190" s="11"/>
      <c r="C190" s="10"/>
      <c r="D190" s="11"/>
      <c r="E190" s="10"/>
      <c r="F190" s="1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/>
      <c r="V190" s="11"/>
      <c r="W190" s="10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2.75" customHeight="1">
      <c r="A191" s="10"/>
      <c r="B191" s="11"/>
      <c r="C191" s="10"/>
      <c r="D191" s="11"/>
      <c r="E191" s="10"/>
      <c r="F191" s="1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/>
      <c r="V191" s="11"/>
      <c r="W191" s="10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2.75" customHeight="1">
      <c r="A192" s="10"/>
      <c r="B192" s="11"/>
      <c r="C192" s="10"/>
      <c r="D192" s="11"/>
      <c r="E192" s="10"/>
      <c r="F192" s="1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/>
      <c r="V192" s="11"/>
      <c r="W192" s="10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2.75" customHeight="1">
      <c r="A193" s="10"/>
      <c r="B193" s="11"/>
      <c r="C193" s="10"/>
      <c r="D193" s="11"/>
      <c r="E193" s="10"/>
      <c r="F193" s="1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/>
      <c r="V193" s="11"/>
      <c r="W193" s="10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2.75" customHeight="1">
      <c r="A194" s="10"/>
      <c r="B194" s="11"/>
      <c r="C194" s="10"/>
      <c r="D194" s="11"/>
      <c r="E194" s="10"/>
      <c r="F194" s="1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/>
      <c r="V194" s="11"/>
      <c r="W194" s="10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2.75" customHeight="1">
      <c r="A195" s="10"/>
      <c r="B195" s="11"/>
      <c r="C195" s="10"/>
      <c r="D195" s="11"/>
      <c r="E195" s="10"/>
      <c r="F195" s="1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/>
      <c r="V195" s="11"/>
      <c r="W195" s="10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2.75" customHeight="1">
      <c r="A196" s="10"/>
      <c r="B196" s="11"/>
      <c r="C196" s="10"/>
      <c r="D196" s="11"/>
      <c r="E196" s="10"/>
      <c r="F196" s="1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/>
      <c r="V196" s="11"/>
      <c r="W196" s="10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2.75" customHeight="1">
      <c r="A197" s="10"/>
      <c r="B197" s="11"/>
      <c r="C197" s="10"/>
      <c r="D197" s="11"/>
      <c r="E197" s="10"/>
      <c r="F197" s="1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/>
      <c r="V197" s="11"/>
      <c r="W197" s="10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2.75" customHeight="1">
      <c r="A198" s="10"/>
      <c r="B198" s="11"/>
      <c r="C198" s="10"/>
      <c r="D198" s="11"/>
      <c r="E198" s="10"/>
      <c r="F198" s="1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/>
      <c r="V198" s="11"/>
      <c r="W198" s="10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2.75" customHeight="1">
      <c r="A199" s="10"/>
      <c r="B199" s="11"/>
      <c r="C199" s="10"/>
      <c r="D199" s="11"/>
      <c r="E199" s="10"/>
      <c r="F199" s="1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/>
      <c r="V199" s="11"/>
      <c r="W199" s="10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2.75" customHeight="1">
      <c r="A200" s="10"/>
      <c r="B200" s="11"/>
      <c r="C200" s="10"/>
      <c r="D200" s="11"/>
      <c r="E200" s="10"/>
      <c r="F200" s="1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/>
      <c r="V200" s="11"/>
      <c r="W200" s="10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2.75" customHeight="1">
      <c r="A201" s="10"/>
      <c r="B201" s="11"/>
      <c r="C201" s="10"/>
      <c r="D201" s="11"/>
      <c r="E201" s="10"/>
      <c r="F201" s="1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/>
      <c r="V201" s="11"/>
      <c r="W201" s="10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2.75" customHeight="1">
      <c r="A202" s="10"/>
      <c r="B202" s="11"/>
      <c r="C202" s="10"/>
      <c r="D202" s="11"/>
      <c r="E202" s="10"/>
      <c r="F202" s="1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/>
      <c r="V202" s="11"/>
      <c r="W202" s="10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2.75" customHeight="1">
      <c r="A203" s="10"/>
      <c r="B203" s="11"/>
      <c r="C203" s="10"/>
      <c r="D203" s="11"/>
      <c r="E203" s="10"/>
      <c r="F203" s="1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0"/>
      <c r="V203" s="11"/>
      <c r="W203" s="10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2.75" customHeight="1">
      <c r="A204" s="10"/>
      <c r="B204" s="11"/>
      <c r="C204" s="10"/>
      <c r="D204" s="11"/>
      <c r="E204" s="10"/>
      <c r="F204" s="1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0"/>
      <c r="V204" s="11"/>
      <c r="W204" s="10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2.75" customHeight="1">
      <c r="A205" s="10"/>
      <c r="B205" s="11"/>
      <c r="C205" s="10"/>
      <c r="D205" s="11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0"/>
      <c r="V205" s="11"/>
      <c r="W205" s="10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2.75" customHeight="1">
      <c r="A206" s="10"/>
      <c r="B206" s="11"/>
      <c r="C206" s="10"/>
      <c r="D206" s="11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0"/>
      <c r="V206" s="11"/>
      <c r="W206" s="10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2.75" customHeight="1">
      <c r="A207" s="10"/>
      <c r="B207" s="11"/>
      <c r="C207" s="10"/>
      <c r="D207" s="11"/>
      <c r="E207" s="10"/>
      <c r="F207" s="1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0"/>
      <c r="V207" s="11"/>
      <c r="W207" s="10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2.75" customHeight="1">
      <c r="A208" s="10"/>
      <c r="B208" s="11"/>
      <c r="C208" s="10"/>
      <c r="D208" s="11"/>
      <c r="E208" s="10"/>
      <c r="F208" s="1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0"/>
      <c r="V208" s="11"/>
      <c r="W208" s="10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2.75" customHeight="1">
      <c r="A209" s="10"/>
      <c r="B209" s="11"/>
      <c r="C209" s="10"/>
      <c r="D209" s="11"/>
      <c r="E209" s="10"/>
      <c r="F209" s="1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0"/>
      <c r="V209" s="11"/>
      <c r="W209" s="10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2.75" customHeight="1">
      <c r="A210" s="10"/>
      <c r="B210" s="11"/>
      <c r="C210" s="10"/>
      <c r="D210" s="11"/>
      <c r="E210" s="10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0"/>
      <c r="V210" s="11"/>
      <c r="W210" s="10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2.75" customHeight="1">
      <c r="A211" s="10"/>
      <c r="B211" s="11"/>
      <c r="C211" s="10"/>
      <c r="D211" s="11"/>
      <c r="E211" s="10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0"/>
      <c r="V211" s="11"/>
      <c r="W211" s="10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2.75" customHeight="1">
      <c r="A212" s="10"/>
      <c r="B212" s="11"/>
      <c r="C212" s="10"/>
      <c r="D212" s="11"/>
      <c r="E212" s="10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0"/>
      <c r="V212" s="11"/>
      <c r="W212" s="10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2.75" customHeight="1">
      <c r="A213" s="10"/>
      <c r="B213" s="11"/>
      <c r="C213" s="10"/>
      <c r="D213" s="11"/>
      <c r="E213" s="10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0"/>
      <c r="V213" s="11"/>
      <c r="W213" s="10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2.75" customHeight="1">
      <c r="A214" s="10"/>
      <c r="B214" s="11"/>
      <c r="C214" s="10"/>
      <c r="D214" s="11"/>
      <c r="E214" s="10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0"/>
      <c r="V214" s="11"/>
      <c r="W214" s="10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2.75" customHeight="1">
      <c r="A215" s="10"/>
      <c r="B215" s="11"/>
      <c r="C215" s="10"/>
      <c r="D215" s="11"/>
      <c r="E215" s="10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0"/>
      <c r="V215" s="11"/>
      <c r="W215" s="10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2.75" customHeight="1">
      <c r="A216" s="10"/>
      <c r="B216" s="11"/>
      <c r="C216" s="10"/>
      <c r="D216" s="11"/>
      <c r="E216" s="10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0"/>
      <c r="V216" s="11"/>
      <c r="W216" s="10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2.75" customHeight="1">
      <c r="A217" s="10"/>
      <c r="B217" s="11"/>
      <c r="C217" s="10"/>
      <c r="D217" s="11"/>
      <c r="E217" s="10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0"/>
      <c r="V217" s="11"/>
      <c r="W217" s="10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2.75" customHeight="1">
      <c r="A218" s="10"/>
      <c r="B218" s="11"/>
      <c r="C218" s="10"/>
      <c r="D218" s="11"/>
      <c r="E218" s="10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0"/>
      <c r="V218" s="11"/>
      <c r="W218" s="10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2.75" customHeight="1">
      <c r="A219" s="10"/>
      <c r="B219" s="11"/>
      <c r="C219" s="10"/>
      <c r="D219" s="11"/>
      <c r="E219" s="10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0"/>
      <c r="V219" s="11"/>
      <c r="W219" s="10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2.75" customHeight="1">
      <c r="A220" s="10"/>
      <c r="B220" s="11"/>
      <c r="C220" s="10"/>
      <c r="D220" s="11"/>
      <c r="E220" s="10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0"/>
      <c r="V220" s="11"/>
      <c r="W220" s="10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2.75" customHeight="1">
      <c r="A221" s="10"/>
      <c r="B221" s="11"/>
      <c r="C221" s="10"/>
      <c r="D221" s="11"/>
      <c r="E221" s="10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0"/>
      <c r="V221" s="11"/>
      <c r="W221" s="10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2.75" customHeight="1">
      <c r="A222" s="10"/>
      <c r="B222" s="11"/>
      <c r="C222" s="10"/>
      <c r="D222" s="11"/>
      <c r="E222" s="10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0"/>
      <c r="V222" s="11"/>
      <c r="W222" s="10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2.75" customHeight="1">
      <c r="A223" s="10"/>
      <c r="B223" s="11"/>
      <c r="C223" s="10"/>
      <c r="D223" s="11"/>
      <c r="E223" s="10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0"/>
      <c r="V223" s="11"/>
      <c r="W223" s="10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2.75" customHeight="1">
      <c r="A224" s="10"/>
      <c r="B224" s="11"/>
      <c r="C224" s="10"/>
      <c r="D224" s="11"/>
      <c r="E224" s="10"/>
      <c r="F224" s="1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0"/>
      <c r="V224" s="11"/>
      <c r="W224" s="10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2.75" customHeight="1">
      <c r="A225" s="10"/>
      <c r="B225" s="11"/>
      <c r="C225" s="10"/>
      <c r="D225" s="11"/>
      <c r="E225" s="10"/>
      <c r="F225" s="1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0"/>
      <c r="V225" s="11"/>
      <c r="W225" s="10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2.75" customHeight="1">
      <c r="A226" s="10"/>
      <c r="B226" s="11"/>
      <c r="C226" s="10"/>
      <c r="D226" s="11"/>
      <c r="E226" s="10"/>
      <c r="F226" s="1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0"/>
      <c r="V226" s="11"/>
      <c r="W226" s="10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2.75" customHeight="1">
      <c r="A227" s="10"/>
      <c r="B227" s="11"/>
      <c r="C227" s="10"/>
      <c r="D227" s="11"/>
      <c r="E227" s="10"/>
      <c r="F227" s="1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0"/>
      <c r="V227" s="11"/>
      <c r="W227" s="10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2.75" customHeight="1">
      <c r="A228" s="10"/>
      <c r="B228" s="11"/>
      <c r="C228" s="10"/>
      <c r="D228" s="11"/>
      <c r="E228" s="10"/>
      <c r="F228" s="1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0"/>
      <c r="V228" s="11"/>
      <c r="W228" s="10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2.75" customHeight="1">
      <c r="A229" s="10"/>
      <c r="B229" s="11"/>
      <c r="C229" s="10"/>
      <c r="D229" s="11"/>
      <c r="E229" s="10"/>
      <c r="F229" s="1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0"/>
      <c r="V229" s="11"/>
      <c r="W229" s="10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2.75" customHeight="1">
      <c r="A230" s="10"/>
      <c r="B230" s="11"/>
      <c r="C230" s="10"/>
      <c r="D230" s="11"/>
      <c r="E230" s="10"/>
      <c r="F230" s="1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0"/>
      <c r="V230" s="11"/>
      <c r="W230" s="10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2.75" customHeight="1">
      <c r="A231" s="10"/>
      <c r="B231" s="11"/>
      <c r="C231" s="10"/>
      <c r="D231" s="11"/>
      <c r="E231" s="10"/>
      <c r="F231" s="1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0"/>
      <c r="V231" s="11"/>
      <c r="W231" s="10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2.75" customHeight="1">
      <c r="A232" s="10"/>
      <c r="B232" s="11"/>
      <c r="C232" s="10"/>
      <c r="D232" s="11"/>
      <c r="E232" s="10"/>
      <c r="F232" s="1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0"/>
      <c r="V232" s="11"/>
      <c r="W232" s="10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2.75" customHeight="1">
      <c r="A233" s="10"/>
      <c r="B233" s="11"/>
      <c r="C233" s="10"/>
      <c r="D233" s="11"/>
      <c r="E233" s="10"/>
      <c r="F233" s="1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0"/>
      <c r="V233" s="11"/>
      <c r="W233" s="10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2.75" customHeight="1">
      <c r="A234" s="10"/>
      <c r="B234" s="11"/>
      <c r="C234" s="10"/>
      <c r="D234" s="11"/>
      <c r="E234" s="10"/>
      <c r="F234" s="1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0"/>
      <c r="V234" s="11"/>
      <c r="W234" s="10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2.75" customHeight="1">
      <c r="A235" s="10"/>
      <c r="B235" s="11"/>
      <c r="C235" s="10"/>
      <c r="D235" s="11"/>
      <c r="E235" s="10"/>
      <c r="F235" s="1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0"/>
      <c r="V235" s="11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2.75" customHeight="1">
      <c r="A236" s="10"/>
      <c r="B236" s="11"/>
      <c r="C236" s="10"/>
      <c r="D236" s="11"/>
      <c r="E236" s="10"/>
      <c r="F236" s="1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0"/>
      <c r="V236" s="11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2.75" customHeight="1">
      <c r="A237" s="10"/>
      <c r="B237" s="11"/>
      <c r="C237" s="10"/>
      <c r="D237" s="11"/>
      <c r="E237" s="10"/>
      <c r="F237" s="1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0"/>
      <c r="V237" s="11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2.75" customHeight="1">
      <c r="A238" s="10"/>
      <c r="B238" s="11"/>
      <c r="C238" s="10"/>
      <c r="D238" s="11"/>
      <c r="E238" s="10"/>
      <c r="F238" s="1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0"/>
      <c r="V238" s="11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2.75" customHeight="1">
      <c r="A239" s="10"/>
      <c r="B239" s="11"/>
      <c r="C239" s="10"/>
      <c r="D239" s="11"/>
      <c r="E239" s="10"/>
      <c r="F239" s="1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0"/>
      <c r="V239" s="11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2.75" customHeight="1">
      <c r="A240" s="10"/>
      <c r="B240" s="11"/>
      <c r="C240" s="10"/>
      <c r="D240" s="11"/>
      <c r="E240" s="10"/>
      <c r="F240" s="1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0"/>
      <c r="V240" s="11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2.75" customHeight="1">
      <c r="A241" s="10"/>
      <c r="B241" s="11"/>
      <c r="C241" s="10"/>
      <c r="D241" s="11"/>
      <c r="E241" s="10"/>
      <c r="F241" s="1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0"/>
      <c r="V241" s="11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2.75" customHeight="1">
      <c r="A242" s="10"/>
      <c r="B242" s="11"/>
      <c r="C242" s="10"/>
      <c r="D242" s="11"/>
      <c r="E242" s="10"/>
      <c r="F242" s="1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0"/>
      <c r="V242" s="11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2.75" customHeight="1">
      <c r="A243" s="10"/>
      <c r="B243" s="11"/>
      <c r="C243" s="10"/>
      <c r="D243" s="11"/>
      <c r="E243" s="10"/>
      <c r="F243" s="1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0"/>
      <c r="V243" s="11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2.75" customHeight="1">
      <c r="A244" s="10"/>
      <c r="B244" s="11"/>
      <c r="C244" s="10"/>
      <c r="D244" s="11"/>
      <c r="E244" s="10"/>
      <c r="F244" s="1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0"/>
      <c r="V244" s="11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2.75" customHeight="1">
      <c r="A245" s="10"/>
      <c r="B245" s="11"/>
      <c r="C245" s="10"/>
      <c r="D245" s="11"/>
      <c r="E245" s="10"/>
      <c r="F245" s="1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0"/>
      <c r="V245" s="11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2.75" customHeight="1">
      <c r="A246" s="10"/>
      <c r="B246" s="11"/>
      <c r="C246" s="10"/>
      <c r="D246" s="11"/>
      <c r="E246" s="10"/>
      <c r="F246" s="1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0"/>
      <c r="V246" s="11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2.75" customHeight="1">
      <c r="A247" s="10"/>
      <c r="B247" s="11"/>
      <c r="C247" s="10"/>
      <c r="D247" s="11"/>
      <c r="E247" s="10"/>
      <c r="F247" s="1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0"/>
      <c r="V247" s="11"/>
      <c r="W247" s="10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2.75" customHeight="1">
      <c r="A248" s="10"/>
      <c r="B248" s="11"/>
      <c r="C248" s="10"/>
      <c r="D248" s="11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0"/>
      <c r="V248" s="11"/>
      <c r="W248" s="10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2.75" customHeight="1">
      <c r="A249" s="10"/>
      <c r="B249" s="11"/>
      <c r="C249" s="10"/>
      <c r="D249" s="11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0"/>
      <c r="V249" s="11"/>
      <c r="W249" s="10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2.75" customHeight="1">
      <c r="A250" s="10"/>
      <c r="B250" s="11"/>
      <c r="C250" s="10"/>
      <c r="D250" s="11"/>
      <c r="E250" s="10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0"/>
      <c r="V250" s="11"/>
      <c r="W250" s="10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2.75" customHeight="1">
      <c r="A251" s="10"/>
      <c r="B251" s="11"/>
      <c r="C251" s="10"/>
      <c r="D251" s="11"/>
      <c r="E251" s="10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0"/>
      <c r="V251" s="11"/>
      <c r="W251" s="10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2.75" customHeight="1">
      <c r="A252" s="10"/>
      <c r="B252" s="11"/>
      <c r="C252" s="10"/>
      <c r="D252" s="11"/>
      <c r="E252" s="10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0"/>
      <c r="V252" s="11"/>
      <c r="W252" s="10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2.75" customHeight="1">
      <c r="A253" s="10"/>
      <c r="B253" s="11"/>
      <c r="C253" s="10"/>
      <c r="D253" s="11"/>
      <c r="E253" s="10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0"/>
      <c r="V253" s="11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2.75" customHeight="1">
      <c r="A254" s="10"/>
      <c r="B254" s="11"/>
      <c r="C254" s="10"/>
      <c r="D254" s="11"/>
      <c r="E254" s="10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0"/>
      <c r="V254" s="11"/>
      <c r="W254" s="10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2.75" customHeight="1">
      <c r="A255" s="10"/>
      <c r="B255" s="11"/>
      <c r="C255" s="10"/>
      <c r="D255" s="11"/>
      <c r="E255" s="10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0"/>
      <c r="V255" s="11"/>
      <c r="W255" s="10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2.75" customHeight="1">
      <c r="A256" s="10"/>
      <c r="B256" s="11"/>
      <c r="C256" s="10"/>
      <c r="D256" s="11"/>
      <c r="E256" s="10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0"/>
      <c r="V256" s="11"/>
      <c r="W256" s="10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2.75" customHeight="1">
      <c r="A257" s="10"/>
      <c r="B257" s="11"/>
      <c r="C257" s="10"/>
      <c r="D257" s="11"/>
      <c r="E257" s="10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0"/>
      <c r="V257" s="11"/>
      <c r="W257" s="10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2.75" customHeight="1">
      <c r="A258" s="10"/>
      <c r="B258" s="11"/>
      <c r="C258" s="10"/>
      <c r="D258" s="11"/>
      <c r="E258" s="10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0"/>
      <c r="V258" s="11"/>
      <c r="W258" s="10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2.75" customHeight="1">
      <c r="A259" s="10"/>
      <c r="B259" s="11"/>
      <c r="C259" s="10"/>
      <c r="D259" s="11"/>
      <c r="E259" s="10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0"/>
      <c r="V259" s="11"/>
      <c r="W259" s="10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2.75" customHeight="1">
      <c r="A260" s="10"/>
      <c r="B260" s="11"/>
      <c r="C260" s="10"/>
      <c r="D260" s="11"/>
      <c r="E260" s="10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0"/>
      <c r="V260" s="11"/>
      <c r="W260" s="10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2.75" customHeight="1">
      <c r="A261" s="10"/>
      <c r="B261" s="11"/>
      <c r="C261" s="10"/>
      <c r="D261" s="11"/>
      <c r="E261" s="10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0"/>
      <c r="V261" s="11"/>
      <c r="W261" s="10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2.75" customHeight="1">
      <c r="A262" s="10"/>
      <c r="B262" s="11"/>
      <c r="C262" s="10"/>
      <c r="D262" s="11"/>
      <c r="E262" s="10"/>
      <c r="F262" s="1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0"/>
      <c r="V262" s="11"/>
      <c r="W262" s="10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2.75" customHeight="1">
      <c r="A263" s="10"/>
      <c r="B263" s="11"/>
      <c r="C263" s="10"/>
      <c r="D263" s="11"/>
      <c r="E263" s="10"/>
      <c r="F263" s="1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0"/>
      <c r="V263" s="11"/>
      <c r="W263" s="10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2.75" customHeight="1">
      <c r="A264" s="10"/>
      <c r="B264" s="11"/>
      <c r="C264" s="10"/>
      <c r="D264" s="11"/>
      <c r="E264" s="10"/>
      <c r="F264" s="1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0"/>
      <c r="V264" s="11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2.75" customHeight="1">
      <c r="A265" s="10"/>
      <c r="B265" s="11"/>
      <c r="C265" s="10"/>
      <c r="D265" s="11"/>
      <c r="E265" s="10"/>
      <c r="F265" s="1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0"/>
      <c r="V265" s="11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2.75" customHeight="1">
      <c r="A266" s="10"/>
      <c r="B266" s="11"/>
      <c r="C266" s="10"/>
      <c r="D266" s="11"/>
      <c r="E266" s="10"/>
      <c r="F266" s="1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0"/>
      <c r="V266" s="11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2.75" customHeight="1">
      <c r="A267" s="10"/>
      <c r="B267" s="11"/>
      <c r="C267" s="10"/>
      <c r="D267" s="11"/>
      <c r="E267" s="10"/>
      <c r="F267" s="1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0"/>
      <c r="V267" s="11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2.75" customHeight="1">
      <c r="A268" s="10"/>
      <c r="B268" s="11"/>
      <c r="C268" s="10"/>
      <c r="D268" s="11"/>
      <c r="E268" s="10"/>
      <c r="F268" s="1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0"/>
      <c r="V268" s="11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2.75" customHeight="1">
      <c r="A269" s="10"/>
      <c r="B269" s="11"/>
      <c r="C269" s="10"/>
      <c r="D269" s="11"/>
      <c r="E269" s="10"/>
      <c r="F269" s="1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0"/>
      <c r="V269" s="11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2.75" customHeight="1">
      <c r="A270" s="10"/>
      <c r="B270" s="11"/>
      <c r="C270" s="10"/>
      <c r="D270" s="11"/>
      <c r="E270" s="10"/>
      <c r="F270" s="1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0"/>
      <c r="V270" s="11"/>
      <c r="W270" s="10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2.75" customHeight="1">
      <c r="A271" s="10"/>
      <c r="B271" s="11"/>
      <c r="C271" s="10"/>
      <c r="D271" s="11"/>
      <c r="E271" s="10"/>
      <c r="F271" s="1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0"/>
      <c r="V271" s="11"/>
      <c r="W271" s="10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2.75" customHeight="1">
      <c r="A272" s="10"/>
      <c r="B272" s="11"/>
      <c r="C272" s="10"/>
      <c r="D272" s="11"/>
      <c r="E272" s="10"/>
      <c r="F272" s="1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0"/>
      <c r="V272" s="11"/>
      <c r="W272" s="10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2.75" customHeight="1">
      <c r="A273" s="10"/>
      <c r="B273" s="11"/>
      <c r="C273" s="10"/>
      <c r="D273" s="11"/>
      <c r="E273" s="10"/>
      <c r="F273" s="1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0"/>
      <c r="V273" s="11"/>
      <c r="W273" s="10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2.75" customHeight="1">
      <c r="A274" s="10"/>
      <c r="B274" s="11"/>
      <c r="C274" s="10"/>
      <c r="D274" s="11"/>
      <c r="E274" s="10"/>
      <c r="F274" s="1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0"/>
      <c r="V274" s="11"/>
      <c r="W274" s="10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2.75" customHeight="1">
      <c r="A275" s="10"/>
      <c r="B275" s="11"/>
      <c r="C275" s="10"/>
      <c r="D275" s="11"/>
      <c r="E275" s="10"/>
      <c r="F275" s="1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0"/>
      <c r="V275" s="11"/>
      <c r="W275" s="10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2.75" customHeight="1">
      <c r="A276" s="10"/>
      <c r="B276" s="11"/>
      <c r="C276" s="10"/>
      <c r="D276" s="11"/>
      <c r="E276" s="10"/>
      <c r="F276" s="1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0"/>
      <c r="V276" s="11"/>
      <c r="W276" s="10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2.75" customHeight="1">
      <c r="A277" s="10"/>
      <c r="B277" s="11"/>
      <c r="C277" s="10"/>
      <c r="D277" s="11"/>
      <c r="E277" s="10"/>
      <c r="F277" s="1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0"/>
      <c r="V277" s="11"/>
      <c r="W277" s="10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2.75" customHeight="1">
      <c r="A278" s="10"/>
      <c r="B278" s="11"/>
      <c r="C278" s="10"/>
      <c r="D278" s="11"/>
      <c r="E278" s="10"/>
      <c r="F278" s="1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0"/>
      <c r="V278" s="11"/>
      <c r="W278" s="10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2.75" customHeight="1">
      <c r="A279" s="10"/>
      <c r="B279" s="11"/>
      <c r="C279" s="10"/>
      <c r="D279" s="11"/>
      <c r="E279" s="10"/>
      <c r="F279" s="1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0"/>
      <c r="V279" s="11"/>
      <c r="W279" s="10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2.75" customHeight="1">
      <c r="A280" s="10"/>
      <c r="B280" s="11"/>
      <c r="C280" s="10"/>
      <c r="D280" s="11"/>
      <c r="E280" s="10"/>
      <c r="F280" s="1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0"/>
      <c r="V280" s="11"/>
      <c r="W280" s="10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2.75" customHeight="1">
      <c r="A281" s="10"/>
      <c r="B281" s="11"/>
      <c r="C281" s="10"/>
      <c r="D281" s="11"/>
      <c r="E281" s="10"/>
      <c r="F281" s="1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0"/>
      <c r="V281" s="11"/>
      <c r="W281" s="10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2.75" customHeight="1">
      <c r="A282" s="10"/>
      <c r="B282" s="11"/>
      <c r="C282" s="10"/>
      <c r="D282" s="11"/>
      <c r="E282" s="10"/>
      <c r="F282" s="1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0"/>
      <c r="V282" s="11"/>
      <c r="W282" s="10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2.75" customHeight="1">
      <c r="A283" s="10"/>
      <c r="B283" s="11"/>
      <c r="C283" s="10"/>
      <c r="D283" s="11"/>
      <c r="E283" s="10"/>
      <c r="F283" s="1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0"/>
      <c r="V283" s="11"/>
      <c r="W283" s="10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2.75" customHeight="1">
      <c r="A284" s="10"/>
      <c r="B284" s="11"/>
      <c r="C284" s="10"/>
      <c r="D284" s="11"/>
      <c r="E284" s="10"/>
      <c r="F284" s="1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0"/>
      <c r="V284" s="11"/>
      <c r="W284" s="10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2.75" customHeight="1">
      <c r="A285" s="10"/>
      <c r="B285" s="11"/>
      <c r="C285" s="10"/>
      <c r="D285" s="11"/>
      <c r="E285" s="10"/>
      <c r="F285" s="1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0"/>
      <c r="V285" s="11"/>
      <c r="W285" s="10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2.75" customHeight="1">
      <c r="A286" s="10"/>
      <c r="B286" s="11"/>
      <c r="C286" s="10"/>
      <c r="D286" s="11"/>
      <c r="E286" s="10"/>
      <c r="F286" s="1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0"/>
      <c r="V286" s="11"/>
      <c r="W286" s="10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2.75" customHeight="1">
      <c r="A287" s="10"/>
      <c r="B287" s="11"/>
      <c r="C287" s="10"/>
      <c r="D287" s="11"/>
      <c r="E287" s="10"/>
      <c r="F287" s="1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0"/>
      <c r="V287" s="11"/>
      <c r="W287" s="10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2.75" customHeight="1">
      <c r="A288" s="10"/>
      <c r="B288" s="11"/>
      <c r="C288" s="10"/>
      <c r="D288" s="11"/>
      <c r="E288" s="10"/>
      <c r="F288" s="1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0"/>
      <c r="V288" s="11"/>
      <c r="W288" s="10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2.75" customHeight="1">
      <c r="A289" s="10"/>
      <c r="B289" s="11"/>
      <c r="C289" s="10"/>
      <c r="D289" s="11"/>
      <c r="E289" s="10"/>
      <c r="F289" s="1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0"/>
      <c r="V289" s="11"/>
      <c r="W289" s="10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2.75" customHeight="1">
      <c r="A290" s="10"/>
      <c r="B290" s="11"/>
      <c r="C290" s="10"/>
      <c r="D290" s="11"/>
      <c r="E290" s="10"/>
      <c r="F290" s="1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0"/>
      <c r="V290" s="11"/>
      <c r="W290" s="10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2.75" customHeight="1">
      <c r="A291" s="10"/>
      <c r="B291" s="11"/>
      <c r="C291" s="10"/>
      <c r="D291" s="11"/>
      <c r="E291" s="10"/>
      <c r="F291" s="1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0"/>
      <c r="V291" s="11"/>
      <c r="W291" s="10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2.75" customHeight="1">
      <c r="A292" s="10"/>
      <c r="B292" s="11"/>
      <c r="C292" s="10"/>
      <c r="D292" s="11"/>
      <c r="E292" s="10"/>
      <c r="F292" s="1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0"/>
      <c r="V292" s="11"/>
      <c r="W292" s="10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2.75" customHeight="1">
      <c r="A293" s="10"/>
      <c r="B293" s="11"/>
      <c r="C293" s="10"/>
      <c r="D293" s="11"/>
      <c r="E293" s="10"/>
      <c r="F293" s="1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0"/>
      <c r="V293" s="11"/>
      <c r="W293" s="10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2.75" customHeight="1">
      <c r="A294" s="10"/>
      <c r="B294" s="11"/>
      <c r="C294" s="10"/>
      <c r="D294" s="11"/>
      <c r="E294" s="10"/>
      <c r="F294" s="1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0"/>
      <c r="V294" s="11"/>
      <c r="W294" s="10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2.75" customHeight="1">
      <c r="A295" s="10"/>
      <c r="B295" s="11"/>
      <c r="C295" s="10"/>
      <c r="D295" s="11"/>
      <c r="E295" s="10"/>
      <c r="F295" s="1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0"/>
      <c r="V295" s="11"/>
      <c r="W295" s="10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2.75" customHeight="1">
      <c r="A296" s="10"/>
      <c r="B296" s="11"/>
      <c r="C296" s="10"/>
      <c r="D296" s="11"/>
      <c r="E296" s="10"/>
      <c r="F296" s="1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0"/>
      <c r="V296" s="11"/>
      <c r="W296" s="10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2.75" customHeight="1">
      <c r="A297" s="10"/>
      <c r="B297" s="11"/>
      <c r="C297" s="10"/>
      <c r="D297" s="11"/>
      <c r="E297" s="10"/>
      <c r="F297" s="1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0"/>
      <c r="V297" s="11"/>
      <c r="W297" s="10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2.75" customHeight="1">
      <c r="A298" s="10"/>
      <c r="B298" s="11"/>
      <c r="C298" s="10"/>
      <c r="D298" s="11"/>
      <c r="E298" s="10"/>
      <c r="F298" s="1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0"/>
      <c r="V298" s="11"/>
      <c r="W298" s="10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2.75" customHeight="1">
      <c r="A299" s="10"/>
      <c r="B299" s="11"/>
      <c r="C299" s="10"/>
      <c r="D299" s="11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0"/>
      <c r="V299" s="11"/>
      <c r="W299" s="10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2.75" customHeight="1">
      <c r="A300" s="10"/>
      <c r="B300" s="11"/>
      <c r="C300" s="10"/>
      <c r="D300" s="11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0"/>
      <c r="V300" s="11"/>
      <c r="W300" s="10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2.75" customHeight="1">
      <c r="A301" s="10"/>
      <c r="B301" s="11"/>
      <c r="C301" s="10"/>
      <c r="D301" s="11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0"/>
      <c r="V301" s="11"/>
      <c r="W301" s="10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2.75" customHeight="1">
      <c r="A302" s="10"/>
      <c r="B302" s="11"/>
      <c r="C302" s="10"/>
      <c r="D302" s="11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0"/>
      <c r="V302" s="11"/>
      <c r="W302" s="10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2.75" customHeight="1">
      <c r="A303" s="10"/>
      <c r="B303" s="11"/>
      <c r="C303" s="10"/>
      <c r="D303" s="11"/>
      <c r="E303" s="10"/>
      <c r="F303" s="1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0"/>
      <c r="V303" s="11"/>
      <c r="W303" s="10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2.75" customHeight="1">
      <c r="A304" s="10"/>
      <c r="B304" s="11"/>
      <c r="C304" s="10"/>
      <c r="D304" s="11"/>
      <c r="E304" s="10"/>
      <c r="F304" s="1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0"/>
      <c r="V304" s="11"/>
      <c r="W304" s="10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2.75" customHeight="1">
      <c r="A305" s="10"/>
      <c r="B305" s="11"/>
      <c r="C305" s="10"/>
      <c r="D305" s="11"/>
      <c r="E305" s="10"/>
      <c r="F305" s="1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0"/>
      <c r="V305" s="11"/>
      <c r="W305" s="10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2.75" customHeight="1">
      <c r="A306" s="10"/>
      <c r="B306" s="11"/>
      <c r="C306" s="10"/>
      <c r="D306" s="11"/>
      <c r="E306" s="10"/>
      <c r="F306" s="1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/>
      <c r="V306" s="11"/>
      <c r="W306" s="10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2.75" customHeight="1">
      <c r="A307" s="10"/>
      <c r="B307" s="11"/>
      <c r="C307" s="10"/>
      <c r="D307" s="11"/>
      <c r="E307" s="10"/>
      <c r="F307" s="1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0"/>
      <c r="V307" s="11"/>
      <c r="W307" s="10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2.75" customHeight="1">
      <c r="A308" s="10"/>
      <c r="B308" s="11"/>
      <c r="C308" s="10"/>
      <c r="D308" s="11"/>
      <c r="E308" s="10"/>
      <c r="F308" s="1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0"/>
      <c r="V308" s="11"/>
      <c r="W308" s="10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2.75" customHeight="1">
      <c r="A309" s="10"/>
      <c r="B309" s="11"/>
      <c r="C309" s="10"/>
      <c r="D309" s="11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0"/>
      <c r="V309" s="11"/>
      <c r="W309" s="10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2.75" customHeight="1">
      <c r="A310" s="10"/>
      <c r="B310" s="11"/>
      <c r="C310" s="10"/>
      <c r="D310" s="11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0"/>
      <c r="V310" s="11"/>
      <c r="W310" s="10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2.75" customHeight="1">
      <c r="A311" s="10"/>
      <c r="B311" s="11"/>
      <c r="C311" s="10"/>
      <c r="D311" s="11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0"/>
      <c r="V311" s="11"/>
      <c r="W311" s="10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2.75" customHeight="1">
      <c r="A312" s="10"/>
      <c r="B312" s="11"/>
      <c r="C312" s="10"/>
      <c r="D312" s="11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0"/>
      <c r="V312" s="11"/>
      <c r="W312" s="10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2.75" customHeight="1">
      <c r="A313" s="10"/>
      <c r="B313" s="11"/>
      <c r="C313" s="10"/>
      <c r="D313" s="11"/>
      <c r="E313" s="10"/>
      <c r="F313" s="1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0"/>
      <c r="V313" s="11"/>
      <c r="W313" s="10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2.75" customHeight="1">
      <c r="A314" s="10"/>
      <c r="B314" s="11"/>
      <c r="C314" s="10"/>
      <c r="D314" s="11"/>
      <c r="E314" s="10"/>
      <c r="F314" s="1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0"/>
      <c r="V314" s="11"/>
      <c r="W314" s="10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2.75" customHeight="1">
      <c r="A315" s="10"/>
      <c r="B315" s="11"/>
      <c r="C315" s="10"/>
      <c r="D315" s="11"/>
      <c r="E315" s="10"/>
      <c r="F315" s="1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0"/>
      <c r="V315" s="11"/>
      <c r="W315" s="10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2.75" customHeight="1">
      <c r="A316" s="10"/>
      <c r="B316" s="11"/>
      <c r="C316" s="10"/>
      <c r="D316" s="11"/>
      <c r="E316" s="10"/>
      <c r="F316" s="1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/>
      <c r="V316" s="11"/>
      <c r="W316" s="10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2.75" customHeight="1">
      <c r="A317" s="10"/>
      <c r="B317" s="11"/>
      <c r="C317" s="10"/>
      <c r="D317" s="11"/>
      <c r="E317" s="10"/>
      <c r="F317" s="1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0"/>
      <c r="V317" s="11"/>
      <c r="W317" s="10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2.75" customHeight="1">
      <c r="A318" s="10"/>
      <c r="B318" s="11"/>
      <c r="C318" s="10"/>
      <c r="D318" s="11"/>
      <c r="E318" s="10"/>
      <c r="F318" s="1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0"/>
      <c r="V318" s="11"/>
      <c r="W318" s="10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2.75" customHeight="1">
      <c r="A319" s="10"/>
      <c r="B319" s="11"/>
      <c r="C319" s="10"/>
      <c r="D319" s="11"/>
      <c r="E319" s="10"/>
      <c r="F319" s="1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0"/>
      <c r="V319" s="11"/>
      <c r="W319" s="10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2.75" customHeight="1">
      <c r="A320" s="10"/>
      <c r="B320" s="11"/>
      <c r="C320" s="10"/>
      <c r="D320" s="11"/>
      <c r="E320" s="10"/>
      <c r="F320" s="1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0"/>
      <c r="V320" s="11"/>
      <c r="W320" s="10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2.75" customHeight="1">
      <c r="A321" s="10"/>
      <c r="B321" s="11"/>
      <c r="C321" s="10"/>
      <c r="D321" s="11"/>
      <c r="E321" s="10"/>
      <c r="F321" s="1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0"/>
      <c r="V321" s="11"/>
      <c r="W321" s="10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2.75" customHeight="1">
      <c r="A322" s="10"/>
      <c r="B322" s="11"/>
      <c r="C322" s="10"/>
      <c r="D322" s="11"/>
      <c r="E322" s="10"/>
      <c r="F322" s="1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0"/>
      <c r="V322" s="11"/>
      <c r="W322" s="10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2.75" customHeight="1">
      <c r="A323" s="10"/>
      <c r="B323" s="11"/>
      <c r="C323" s="10"/>
      <c r="D323" s="11"/>
      <c r="E323" s="10"/>
      <c r="F323" s="1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0"/>
      <c r="V323" s="11"/>
      <c r="W323" s="10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2.75" customHeight="1">
      <c r="A324" s="10"/>
      <c r="B324" s="11"/>
      <c r="C324" s="10"/>
      <c r="D324" s="11"/>
      <c r="E324" s="10"/>
      <c r="F324" s="1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0"/>
      <c r="V324" s="11"/>
      <c r="W324" s="10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2.75" customHeight="1">
      <c r="A325" s="10"/>
      <c r="B325" s="11"/>
      <c r="C325" s="10"/>
      <c r="D325" s="11"/>
      <c r="E325" s="10"/>
      <c r="F325" s="1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0"/>
      <c r="V325" s="11"/>
      <c r="W325" s="10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2.75" customHeight="1">
      <c r="A326" s="10"/>
      <c r="B326" s="11"/>
      <c r="C326" s="10"/>
      <c r="D326" s="11"/>
      <c r="E326" s="10"/>
      <c r="F326" s="1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0"/>
      <c r="V326" s="11"/>
      <c r="W326" s="10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2.75" customHeight="1">
      <c r="A327" s="10"/>
      <c r="B327" s="11"/>
      <c r="C327" s="10"/>
      <c r="D327" s="11"/>
      <c r="E327" s="10"/>
      <c r="F327" s="1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0"/>
      <c r="V327" s="11"/>
      <c r="W327" s="10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2.75" customHeight="1">
      <c r="A328" s="10"/>
      <c r="B328" s="11"/>
      <c r="C328" s="10"/>
      <c r="D328" s="11"/>
      <c r="E328" s="10"/>
      <c r="F328" s="1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0"/>
      <c r="V328" s="11"/>
      <c r="W328" s="10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2.75" customHeight="1">
      <c r="A329" s="10"/>
      <c r="B329" s="11"/>
      <c r="C329" s="10"/>
      <c r="D329" s="11"/>
      <c r="E329" s="10"/>
      <c r="F329" s="1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0"/>
      <c r="V329" s="11"/>
      <c r="W329" s="10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2.75" customHeight="1">
      <c r="A330" s="10"/>
      <c r="B330" s="11"/>
      <c r="C330" s="10"/>
      <c r="D330" s="11"/>
      <c r="E330" s="10"/>
      <c r="F330" s="1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0"/>
      <c r="V330" s="11"/>
      <c r="W330" s="10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2.75" customHeight="1">
      <c r="A331" s="10"/>
      <c r="B331" s="11"/>
      <c r="C331" s="10"/>
      <c r="D331" s="11"/>
      <c r="E331" s="10"/>
      <c r="F331" s="1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0"/>
      <c r="V331" s="11"/>
      <c r="W331" s="10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2.75" customHeight="1">
      <c r="A332" s="10"/>
      <c r="B332" s="11"/>
      <c r="C332" s="10"/>
      <c r="D332" s="11"/>
      <c r="E332" s="10"/>
      <c r="F332" s="1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0"/>
      <c r="V332" s="11"/>
      <c r="W332" s="10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2.75" customHeight="1">
      <c r="A333" s="10"/>
      <c r="B333" s="11"/>
      <c r="C333" s="10"/>
      <c r="D333" s="11"/>
      <c r="E333" s="10"/>
      <c r="F333" s="1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0"/>
      <c r="V333" s="11"/>
      <c r="W333" s="10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2.75" customHeight="1">
      <c r="A334" s="10"/>
      <c r="B334" s="11"/>
      <c r="C334" s="10"/>
      <c r="D334" s="11"/>
      <c r="E334" s="10"/>
      <c r="F334" s="1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0"/>
      <c r="V334" s="11"/>
      <c r="W334" s="10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2.75" customHeight="1">
      <c r="A335" s="10"/>
      <c r="B335" s="11"/>
      <c r="C335" s="10"/>
      <c r="D335" s="11"/>
      <c r="E335" s="10"/>
      <c r="F335" s="1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0"/>
      <c r="V335" s="11"/>
      <c r="W335" s="10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2.75" customHeight="1">
      <c r="A336" s="10"/>
      <c r="B336" s="11"/>
      <c r="C336" s="10"/>
      <c r="D336" s="11"/>
      <c r="E336" s="10"/>
      <c r="F336" s="1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0"/>
      <c r="V336" s="11"/>
      <c r="W336" s="10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2.75" customHeight="1">
      <c r="A337" s="10"/>
      <c r="B337" s="11"/>
      <c r="C337" s="10"/>
      <c r="D337" s="11"/>
      <c r="E337" s="10"/>
      <c r="F337" s="1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0"/>
      <c r="V337" s="11"/>
      <c r="W337" s="10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2.75" customHeight="1">
      <c r="A338" s="10"/>
      <c r="B338" s="11"/>
      <c r="C338" s="10"/>
      <c r="D338" s="11"/>
      <c r="E338" s="10"/>
      <c r="F338" s="1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0"/>
      <c r="V338" s="11"/>
      <c r="W338" s="10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2.75" customHeight="1">
      <c r="A339" s="10"/>
      <c r="B339" s="11"/>
      <c r="C339" s="10"/>
      <c r="D339" s="11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0"/>
      <c r="V339" s="11"/>
      <c r="W339" s="10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2.75" customHeight="1">
      <c r="A340" s="10"/>
      <c r="B340" s="11"/>
      <c r="C340" s="10"/>
      <c r="D340" s="11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0"/>
      <c r="V340" s="11"/>
      <c r="W340" s="10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2.75" customHeight="1">
      <c r="A341" s="10"/>
      <c r="B341" s="11"/>
      <c r="C341" s="10"/>
      <c r="D341" s="11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0"/>
      <c r="V341" s="11"/>
      <c r="W341" s="10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2.75" customHeight="1">
      <c r="A342" s="10"/>
      <c r="B342" s="11"/>
      <c r="C342" s="10"/>
      <c r="D342" s="11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0"/>
      <c r="V342" s="11"/>
      <c r="W342" s="10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2.75" customHeight="1">
      <c r="A343" s="10"/>
      <c r="B343" s="11"/>
      <c r="C343" s="10"/>
      <c r="D343" s="11"/>
      <c r="E343" s="10"/>
      <c r="F343" s="1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0"/>
      <c r="V343" s="11"/>
      <c r="W343" s="10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2.75" customHeight="1">
      <c r="A344" s="10"/>
      <c r="B344" s="11"/>
      <c r="C344" s="10"/>
      <c r="D344" s="11"/>
      <c r="E344" s="10"/>
      <c r="F344" s="1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0"/>
      <c r="V344" s="11"/>
      <c r="W344" s="10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2.75" customHeight="1">
      <c r="A345" s="10"/>
      <c r="B345" s="11"/>
      <c r="C345" s="10"/>
      <c r="D345" s="11"/>
      <c r="E345" s="10"/>
      <c r="F345" s="1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0"/>
      <c r="V345" s="11"/>
      <c r="W345" s="10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2.75" customHeight="1">
      <c r="A346" s="10"/>
      <c r="B346" s="11"/>
      <c r="C346" s="10"/>
      <c r="D346" s="11"/>
      <c r="E346" s="10"/>
      <c r="F346" s="1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0"/>
      <c r="V346" s="11"/>
      <c r="W346" s="10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2.75" customHeight="1">
      <c r="A347" s="10"/>
      <c r="B347" s="11"/>
      <c r="C347" s="10"/>
      <c r="D347" s="11"/>
      <c r="E347" s="10"/>
      <c r="F347" s="1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0"/>
      <c r="V347" s="11"/>
      <c r="W347" s="10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2.75" customHeight="1">
      <c r="A348" s="10"/>
      <c r="B348" s="11"/>
      <c r="C348" s="10"/>
      <c r="D348" s="11"/>
      <c r="E348" s="10"/>
      <c r="F348" s="1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0"/>
      <c r="V348" s="11"/>
      <c r="W348" s="10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2.75" customHeight="1">
      <c r="A349" s="10"/>
      <c r="B349" s="11"/>
      <c r="C349" s="10"/>
      <c r="D349" s="11"/>
      <c r="E349" s="10"/>
      <c r="F349" s="1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0"/>
      <c r="V349" s="11"/>
      <c r="W349" s="10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2.75" customHeight="1">
      <c r="A350" s="10"/>
      <c r="B350" s="11"/>
      <c r="C350" s="10"/>
      <c r="D350" s="11"/>
      <c r="E350" s="10"/>
      <c r="F350" s="1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0"/>
      <c r="V350" s="11"/>
      <c r="W350" s="10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2.75" customHeight="1">
      <c r="A351" s="10"/>
      <c r="B351" s="11"/>
      <c r="C351" s="10"/>
      <c r="D351" s="11"/>
      <c r="E351" s="10"/>
      <c r="F351" s="1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0"/>
      <c r="V351" s="11"/>
      <c r="W351" s="10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2.75" customHeight="1">
      <c r="A352" s="10"/>
      <c r="B352" s="11"/>
      <c r="C352" s="10"/>
      <c r="D352" s="11"/>
      <c r="E352" s="10"/>
      <c r="F352" s="1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0"/>
      <c r="V352" s="11"/>
      <c r="W352" s="10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2.75" customHeight="1">
      <c r="A353" s="10"/>
      <c r="B353" s="11"/>
      <c r="C353" s="10"/>
      <c r="D353" s="11"/>
      <c r="E353" s="10"/>
      <c r="F353" s="1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0"/>
      <c r="V353" s="11"/>
      <c r="W353" s="10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2.75" customHeight="1">
      <c r="A354" s="10"/>
      <c r="B354" s="11"/>
      <c r="C354" s="10"/>
      <c r="D354" s="11"/>
      <c r="E354" s="10"/>
      <c r="F354" s="1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0"/>
      <c r="V354" s="11"/>
      <c r="W354" s="10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2.75" customHeight="1">
      <c r="A355" s="10"/>
      <c r="B355" s="11"/>
      <c r="C355" s="10"/>
      <c r="D355" s="11"/>
      <c r="E355" s="10"/>
      <c r="F355" s="1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0"/>
      <c r="V355" s="11"/>
      <c r="W355" s="10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2.75" customHeight="1">
      <c r="A356" s="10"/>
      <c r="B356" s="11"/>
      <c r="C356" s="10"/>
      <c r="D356" s="11"/>
      <c r="E356" s="10"/>
      <c r="F356" s="1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0"/>
      <c r="V356" s="11"/>
      <c r="W356" s="10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2.75" customHeight="1">
      <c r="A357" s="10"/>
      <c r="B357" s="11"/>
      <c r="C357" s="10"/>
      <c r="D357" s="11"/>
      <c r="E357" s="10"/>
      <c r="F357" s="1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0"/>
      <c r="V357" s="11"/>
      <c r="W357" s="10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2.75" customHeight="1">
      <c r="A358" s="10"/>
      <c r="B358" s="11"/>
      <c r="C358" s="10"/>
      <c r="D358" s="11"/>
      <c r="E358" s="10"/>
      <c r="F358" s="1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0"/>
      <c r="V358" s="11"/>
      <c r="W358" s="10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2.75" customHeight="1">
      <c r="A359" s="10"/>
      <c r="B359" s="11"/>
      <c r="C359" s="10"/>
      <c r="D359" s="11"/>
      <c r="E359" s="10"/>
      <c r="F359" s="1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0"/>
      <c r="V359" s="11"/>
      <c r="W359" s="10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2.75" customHeight="1">
      <c r="A360" s="10"/>
      <c r="B360" s="11"/>
      <c r="C360" s="10"/>
      <c r="D360" s="11"/>
      <c r="E360" s="10"/>
      <c r="F360" s="1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0"/>
      <c r="V360" s="11"/>
      <c r="W360" s="10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2.75" customHeight="1">
      <c r="A361" s="10"/>
      <c r="B361" s="11"/>
      <c r="C361" s="10"/>
      <c r="D361" s="11"/>
      <c r="E361" s="10"/>
      <c r="F361" s="1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0"/>
      <c r="V361" s="11"/>
      <c r="W361" s="10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2.75" customHeight="1">
      <c r="A362" s="10"/>
      <c r="B362" s="11"/>
      <c r="C362" s="10"/>
      <c r="D362" s="11"/>
      <c r="E362" s="10"/>
      <c r="F362" s="1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0"/>
      <c r="V362" s="11"/>
      <c r="W362" s="10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2.75" customHeight="1">
      <c r="A363" s="10"/>
      <c r="B363" s="11"/>
      <c r="C363" s="10"/>
      <c r="D363" s="11"/>
      <c r="E363" s="10"/>
      <c r="F363" s="1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0"/>
      <c r="V363" s="11"/>
      <c r="W363" s="10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2.75" customHeight="1">
      <c r="A364" s="10"/>
      <c r="B364" s="11"/>
      <c r="C364" s="10"/>
      <c r="D364" s="11"/>
      <c r="E364" s="10"/>
      <c r="F364" s="1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0"/>
      <c r="V364" s="11"/>
      <c r="W364" s="10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2.75" customHeight="1">
      <c r="A365" s="10"/>
      <c r="B365" s="11"/>
      <c r="C365" s="10"/>
      <c r="D365" s="11"/>
      <c r="E365" s="10"/>
      <c r="F365" s="1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0"/>
      <c r="V365" s="11"/>
      <c r="W365" s="10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2.75" customHeight="1">
      <c r="A366" s="10"/>
      <c r="B366" s="11"/>
      <c r="C366" s="10"/>
      <c r="D366" s="11"/>
      <c r="E366" s="10"/>
      <c r="F366" s="1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0"/>
      <c r="V366" s="11"/>
      <c r="W366" s="10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2.75" customHeight="1">
      <c r="A367" s="10"/>
      <c r="B367" s="11"/>
      <c r="C367" s="10"/>
      <c r="D367" s="11"/>
      <c r="E367" s="10"/>
      <c r="F367" s="1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0"/>
      <c r="V367" s="11"/>
      <c r="W367" s="10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2.75" customHeight="1">
      <c r="A368" s="10"/>
      <c r="B368" s="11"/>
      <c r="C368" s="10"/>
      <c r="D368" s="11"/>
      <c r="E368" s="10"/>
      <c r="F368" s="1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0"/>
      <c r="V368" s="11"/>
      <c r="W368" s="10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2.75" customHeight="1">
      <c r="A369" s="10"/>
      <c r="B369" s="11"/>
      <c r="C369" s="10"/>
      <c r="D369" s="11"/>
      <c r="E369" s="10"/>
      <c r="F369" s="1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0"/>
      <c r="V369" s="11"/>
      <c r="W369" s="10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2.75" customHeight="1">
      <c r="A370" s="10"/>
      <c r="B370" s="11"/>
      <c r="C370" s="10"/>
      <c r="D370" s="11"/>
      <c r="E370" s="10"/>
      <c r="F370" s="1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0"/>
      <c r="V370" s="11"/>
      <c r="W370" s="10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2.75" customHeight="1">
      <c r="A371" s="10"/>
      <c r="B371" s="11"/>
      <c r="C371" s="10"/>
      <c r="D371" s="11"/>
      <c r="E371" s="10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0"/>
      <c r="V371" s="11"/>
      <c r="W371" s="10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2.75" customHeight="1">
      <c r="A372" s="10"/>
      <c r="B372" s="11"/>
      <c r="C372" s="10"/>
      <c r="D372" s="11"/>
      <c r="E372" s="10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0"/>
      <c r="V372" s="11"/>
      <c r="W372" s="10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2.75" customHeight="1">
      <c r="A373" s="10"/>
      <c r="B373" s="11"/>
      <c r="C373" s="10"/>
      <c r="D373" s="11"/>
      <c r="E373" s="10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0"/>
      <c r="V373" s="11"/>
      <c r="W373" s="10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2.75" customHeight="1">
      <c r="A374" s="10"/>
      <c r="B374" s="11"/>
      <c r="C374" s="10"/>
      <c r="D374" s="11"/>
      <c r="E374" s="10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0"/>
      <c r="V374" s="11"/>
      <c r="W374" s="10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2.75" customHeight="1">
      <c r="A375" s="10"/>
      <c r="B375" s="11"/>
      <c r="C375" s="10"/>
      <c r="D375" s="11"/>
      <c r="E375" s="10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0"/>
      <c r="V375" s="11"/>
      <c r="W375" s="10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2.75" customHeight="1">
      <c r="A376" s="10"/>
      <c r="B376" s="11"/>
      <c r="C376" s="10"/>
      <c r="D376" s="11"/>
      <c r="E376" s="10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0"/>
      <c r="V376" s="11"/>
      <c r="W376" s="10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2.75" customHeight="1">
      <c r="A377" s="10"/>
      <c r="B377" s="11"/>
      <c r="C377" s="10"/>
      <c r="D377" s="11"/>
      <c r="E377" s="10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0"/>
      <c r="V377" s="11"/>
      <c r="W377" s="10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2.75" customHeight="1">
      <c r="A378" s="10"/>
      <c r="B378" s="11"/>
      <c r="C378" s="10"/>
      <c r="D378" s="11"/>
      <c r="E378" s="10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0"/>
      <c r="V378" s="11"/>
      <c r="W378" s="10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2.75" customHeight="1">
      <c r="A379" s="10"/>
      <c r="B379" s="11"/>
      <c r="C379" s="10"/>
      <c r="D379" s="11"/>
      <c r="E379" s="10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0"/>
      <c r="V379" s="11"/>
      <c r="W379" s="10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2.75" customHeight="1">
      <c r="A380" s="10"/>
      <c r="B380" s="11"/>
      <c r="C380" s="10"/>
      <c r="D380" s="11"/>
      <c r="E380" s="10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0"/>
      <c r="V380" s="11"/>
      <c r="W380" s="10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2.75" customHeight="1">
      <c r="A381" s="10"/>
      <c r="B381" s="11"/>
      <c r="C381" s="10"/>
      <c r="D381" s="11"/>
      <c r="E381" s="10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0"/>
      <c r="V381" s="11"/>
      <c r="W381" s="10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2.75" customHeight="1">
      <c r="A382" s="10"/>
      <c r="B382" s="11"/>
      <c r="C382" s="10"/>
      <c r="D382" s="11"/>
      <c r="E382" s="10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0"/>
      <c r="V382" s="11"/>
      <c r="W382" s="10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2.75" customHeight="1">
      <c r="A383" s="10"/>
      <c r="B383" s="11"/>
      <c r="C383" s="10"/>
      <c r="D383" s="11"/>
      <c r="E383" s="10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0"/>
      <c r="V383" s="11"/>
      <c r="W383" s="10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2.75" customHeight="1">
      <c r="A384" s="10"/>
      <c r="B384" s="11"/>
      <c r="C384" s="10"/>
      <c r="D384" s="11"/>
      <c r="E384" s="10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0"/>
      <c r="V384" s="11"/>
      <c r="W384" s="10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2.75" customHeight="1">
      <c r="A385" s="10"/>
      <c r="B385" s="11"/>
      <c r="C385" s="10"/>
      <c r="D385" s="11"/>
      <c r="E385" s="10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0"/>
      <c r="V385" s="11"/>
      <c r="W385" s="10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2.75" customHeight="1">
      <c r="A386" s="10"/>
      <c r="B386" s="11"/>
      <c r="C386" s="10"/>
      <c r="D386" s="11"/>
      <c r="E386" s="10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0"/>
      <c r="V386" s="11"/>
      <c r="W386" s="10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2.75" customHeight="1">
      <c r="A387" s="10"/>
      <c r="B387" s="11"/>
      <c r="C387" s="10"/>
      <c r="D387" s="11"/>
      <c r="E387" s="10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0"/>
      <c r="V387" s="11"/>
      <c r="W387" s="10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2.75" customHeight="1">
      <c r="A388" s="10"/>
      <c r="B388" s="11"/>
      <c r="C388" s="10"/>
      <c r="D388" s="11"/>
      <c r="E388" s="10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0"/>
      <c r="V388" s="11"/>
      <c r="W388" s="10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2.75" customHeight="1">
      <c r="A389" s="10"/>
      <c r="B389" s="11"/>
      <c r="C389" s="10"/>
      <c r="D389" s="11"/>
      <c r="E389" s="10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0"/>
      <c r="V389" s="11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2.75" customHeight="1">
      <c r="A390" s="10"/>
      <c r="B390" s="11"/>
      <c r="C390" s="10"/>
      <c r="D390" s="11"/>
      <c r="E390" s="10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0"/>
      <c r="V390" s="11"/>
      <c r="W390" s="10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2.75" customHeight="1">
      <c r="A391" s="10"/>
      <c r="B391" s="11"/>
      <c r="C391" s="10"/>
      <c r="D391" s="11"/>
      <c r="E391" s="10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0"/>
      <c r="V391" s="11"/>
      <c r="W391" s="10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2.75" customHeight="1">
      <c r="A392" s="10"/>
      <c r="B392" s="11"/>
      <c r="C392" s="10"/>
      <c r="D392" s="11"/>
      <c r="E392" s="10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0"/>
      <c r="V392" s="11"/>
      <c r="W392" s="10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2.75" customHeight="1">
      <c r="A393" s="10"/>
      <c r="B393" s="11"/>
      <c r="C393" s="10"/>
      <c r="D393" s="11"/>
      <c r="E393" s="10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0"/>
      <c r="V393" s="11"/>
      <c r="W393" s="10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2.75" customHeight="1">
      <c r="A394" s="10"/>
      <c r="B394" s="11"/>
      <c r="C394" s="10"/>
      <c r="D394" s="11"/>
      <c r="E394" s="10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0"/>
      <c r="V394" s="11"/>
      <c r="W394" s="10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2.75" customHeight="1">
      <c r="A395" s="10"/>
      <c r="B395" s="11"/>
      <c r="C395" s="10"/>
      <c r="D395" s="11"/>
      <c r="E395" s="10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0"/>
      <c r="V395" s="11"/>
      <c r="W395" s="10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2.75" customHeight="1">
      <c r="A396" s="10"/>
      <c r="B396" s="11"/>
      <c r="C396" s="10"/>
      <c r="D396" s="11"/>
      <c r="E396" s="10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0"/>
      <c r="V396" s="11"/>
      <c r="W396" s="10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2.75" customHeight="1">
      <c r="A397" s="10"/>
      <c r="B397" s="11"/>
      <c r="C397" s="10"/>
      <c r="D397" s="11"/>
      <c r="E397" s="10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0"/>
      <c r="V397" s="11"/>
      <c r="W397" s="10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2.75" customHeight="1">
      <c r="A398" s="10"/>
      <c r="B398" s="11"/>
      <c r="C398" s="10"/>
      <c r="D398" s="11"/>
      <c r="E398" s="10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0"/>
      <c r="V398" s="11"/>
      <c r="W398" s="10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2.75" customHeight="1">
      <c r="A399" s="10"/>
      <c r="B399" s="11"/>
      <c r="C399" s="10"/>
      <c r="D399" s="11"/>
      <c r="E399" s="10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0"/>
      <c r="V399" s="11"/>
      <c r="W399" s="10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2.75" customHeight="1">
      <c r="A400" s="10"/>
      <c r="B400" s="11"/>
      <c r="C400" s="10"/>
      <c r="D400" s="11"/>
      <c r="E400" s="10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0"/>
      <c r="V400" s="11"/>
      <c r="W400" s="10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2.75" customHeight="1">
      <c r="A401" s="10"/>
      <c r="B401" s="11"/>
      <c r="C401" s="10"/>
      <c r="D401" s="11"/>
      <c r="E401" s="10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0"/>
      <c r="V401" s="11"/>
      <c r="W401" s="10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2.75" customHeight="1">
      <c r="A402" s="10"/>
      <c r="B402" s="11"/>
      <c r="C402" s="10"/>
      <c r="D402" s="11"/>
      <c r="E402" s="10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0"/>
      <c r="V402" s="11"/>
      <c r="W402" s="10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2.75" customHeight="1">
      <c r="A403" s="10"/>
      <c r="B403" s="11"/>
      <c r="C403" s="10"/>
      <c r="D403" s="11"/>
      <c r="E403" s="10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0"/>
      <c r="V403" s="11"/>
      <c r="W403" s="10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2.75" customHeight="1">
      <c r="A404" s="10"/>
      <c r="B404" s="11"/>
      <c r="C404" s="10"/>
      <c r="D404" s="11"/>
      <c r="E404" s="10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0"/>
      <c r="V404" s="11"/>
      <c r="W404" s="10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2.75" customHeight="1">
      <c r="A405" s="10"/>
      <c r="B405" s="11"/>
      <c r="C405" s="10"/>
      <c r="D405" s="11"/>
      <c r="E405" s="10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0"/>
      <c r="V405" s="11"/>
      <c r="W405" s="10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2.75" customHeight="1">
      <c r="A406" s="10"/>
      <c r="B406" s="11"/>
      <c r="C406" s="10"/>
      <c r="D406" s="11"/>
      <c r="E406" s="10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0"/>
      <c r="V406" s="11"/>
      <c r="W406" s="10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2.75" customHeight="1">
      <c r="A407" s="10"/>
      <c r="B407" s="11"/>
      <c r="C407" s="10"/>
      <c r="D407" s="11"/>
      <c r="E407" s="10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0"/>
      <c r="V407" s="11"/>
      <c r="W407" s="10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2.75" customHeight="1">
      <c r="A408" s="10"/>
      <c r="B408" s="11"/>
      <c r="C408" s="10"/>
      <c r="D408" s="11"/>
      <c r="E408" s="10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0"/>
      <c r="V408" s="11"/>
      <c r="W408" s="10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2.75" customHeight="1">
      <c r="A409" s="10"/>
      <c r="B409" s="11"/>
      <c r="C409" s="10"/>
      <c r="D409" s="11"/>
      <c r="E409" s="10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0"/>
      <c r="V409" s="11"/>
      <c r="W409" s="10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2.75" customHeight="1">
      <c r="A410" s="10"/>
      <c r="B410" s="11"/>
      <c r="C410" s="10"/>
      <c r="D410" s="11"/>
      <c r="E410" s="10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0"/>
      <c r="V410" s="11"/>
      <c r="W410" s="10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2.75" customHeight="1">
      <c r="A411" s="10"/>
      <c r="B411" s="11"/>
      <c r="C411" s="10"/>
      <c r="D411" s="11"/>
      <c r="E411" s="10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0"/>
      <c r="V411" s="11"/>
      <c r="W411" s="10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2.75" customHeight="1">
      <c r="A412" s="10"/>
      <c r="B412" s="11"/>
      <c r="C412" s="10"/>
      <c r="D412" s="11"/>
      <c r="E412" s="10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0"/>
      <c r="V412" s="11"/>
      <c r="W412" s="10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2.75" customHeight="1">
      <c r="A413" s="10"/>
      <c r="B413" s="11"/>
      <c r="C413" s="10"/>
      <c r="D413" s="11"/>
      <c r="E413" s="10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0"/>
      <c r="V413" s="11"/>
      <c r="W413" s="10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2.75" customHeight="1">
      <c r="A414" s="10"/>
      <c r="B414" s="11"/>
      <c r="C414" s="10"/>
      <c r="D414" s="11"/>
      <c r="E414" s="10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0"/>
      <c r="V414" s="11"/>
      <c r="W414" s="10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2.75" customHeight="1">
      <c r="A415" s="10"/>
      <c r="B415" s="11"/>
      <c r="C415" s="10"/>
      <c r="D415" s="11"/>
      <c r="E415" s="10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0"/>
      <c r="V415" s="11"/>
      <c r="W415" s="10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2.75" customHeight="1">
      <c r="A416" s="10"/>
      <c r="B416" s="11"/>
      <c r="C416" s="10"/>
      <c r="D416" s="11"/>
      <c r="E416" s="10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0"/>
      <c r="V416" s="11"/>
      <c r="W416" s="10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2.75" customHeight="1">
      <c r="A417" s="10"/>
      <c r="B417" s="11"/>
      <c r="C417" s="10"/>
      <c r="D417" s="11"/>
      <c r="E417" s="10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0"/>
      <c r="V417" s="11"/>
      <c r="W417" s="10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2.75" customHeight="1">
      <c r="A418" s="10"/>
      <c r="B418" s="11"/>
      <c r="C418" s="10"/>
      <c r="D418" s="11"/>
      <c r="E418" s="10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0"/>
      <c r="V418" s="11"/>
      <c r="W418" s="10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2.75" customHeight="1">
      <c r="A419" s="10"/>
      <c r="B419" s="11"/>
      <c r="C419" s="10"/>
      <c r="D419" s="11"/>
      <c r="E419" s="10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0"/>
      <c r="V419" s="11"/>
      <c r="W419" s="10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2.75" customHeight="1">
      <c r="A420" s="10"/>
      <c r="B420" s="11"/>
      <c r="C420" s="10"/>
      <c r="D420" s="11"/>
      <c r="E420" s="10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0"/>
      <c r="V420" s="11"/>
      <c r="W420" s="10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2.75" customHeight="1">
      <c r="A421" s="10"/>
      <c r="B421" s="11"/>
      <c r="C421" s="10"/>
      <c r="D421" s="11"/>
      <c r="E421" s="10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0"/>
      <c r="V421" s="11"/>
      <c r="W421" s="10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2.75" customHeight="1">
      <c r="A422" s="10"/>
      <c r="B422" s="11"/>
      <c r="C422" s="10"/>
      <c r="D422" s="11"/>
      <c r="E422" s="10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0"/>
      <c r="V422" s="11"/>
      <c r="W422" s="10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2.75" customHeight="1">
      <c r="A423" s="10"/>
      <c r="B423" s="11"/>
      <c r="C423" s="10"/>
      <c r="D423" s="11"/>
      <c r="E423" s="10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0"/>
      <c r="V423" s="11"/>
      <c r="W423" s="10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2.75" customHeight="1">
      <c r="A424" s="10"/>
      <c r="B424" s="11"/>
      <c r="C424" s="10"/>
      <c r="D424" s="11"/>
      <c r="E424" s="10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0"/>
      <c r="V424" s="11"/>
      <c r="W424" s="10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2.75" customHeight="1">
      <c r="A425" s="10"/>
      <c r="B425" s="11"/>
      <c r="C425" s="10"/>
      <c r="D425" s="11"/>
      <c r="E425" s="10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0"/>
      <c r="V425" s="11"/>
      <c r="W425" s="10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2.75" customHeight="1">
      <c r="A426" s="10"/>
      <c r="B426" s="11"/>
      <c r="C426" s="10"/>
      <c r="D426" s="11"/>
      <c r="E426" s="10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0"/>
      <c r="V426" s="11"/>
      <c r="W426" s="10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2.75" customHeight="1">
      <c r="A427" s="10"/>
      <c r="B427" s="11"/>
      <c r="C427" s="10"/>
      <c r="D427" s="11"/>
      <c r="E427" s="10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0"/>
      <c r="V427" s="11"/>
      <c r="W427" s="10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2.75" customHeight="1">
      <c r="A428" s="10"/>
      <c r="B428" s="11"/>
      <c r="C428" s="10"/>
      <c r="D428" s="11"/>
      <c r="E428" s="10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0"/>
      <c r="V428" s="11"/>
      <c r="W428" s="10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2.75" customHeight="1">
      <c r="A429" s="10"/>
      <c r="B429" s="11"/>
      <c r="C429" s="10"/>
      <c r="D429" s="11"/>
      <c r="E429" s="10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0"/>
      <c r="V429" s="11"/>
      <c r="W429" s="10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2.75" customHeight="1">
      <c r="A430" s="10"/>
      <c r="B430" s="11"/>
      <c r="C430" s="10"/>
      <c r="D430" s="11"/>
      <c r="E430" s="10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0"/>
      <c r="V430" s="11"/>
      <c r="W430" s="10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2.75" customHeight="1">
      <c r="A431" s="10"/>
      <c r="B431" s="11"/>
      <c r="C431" s="10"/>
      <c r="D431" s="11"/>
      <c r="E431" s="10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0"/>
      <c r="V431" s="11"/>
      <c r="W431" s="10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2.75" customHeight="1">
      <c r="A432" s="10"/>
      <c r="B432" s="11"/>
      <c r="C432" s="10"/>
      <c r="D432" s="11"/>
      <c r="E432" s="10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0"/>
      <c r="V432" s="11"/>
      <c r="W432" s="10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2.75" customHeight="1">
      <c r="A433" s="10"/>
      <c r="B433" s="11"/>
      <c r="C433" s="10"/>
      <c r="D433" s="11"/>
      <c r="E433" s="10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0"/>
      <c r="V433" s="11"/>
      <c r="W433" s="10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2.75" customHeight="1">
      <c r="A434" s="10"/>
      <c r="B434" s="11"/>
      <c r="C434" s="10"/>
      <c r="D434" s="11"/>
      <c r="E434" s="10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0"/>
      <c r="V434" s="11"/>
      <c r="W434" s="10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2.75" customHeight="1">
      <c r="A435" s="10"/>
      <c r="B435" s="11"/>
      <c r="C435" s="10"/>
      <c r="D435" s="11"/>
      <c r="E435" s="10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0"/>
      <c r="V435" s="11"/>
      <c r="W435" s="10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2.75" customHeight="1">
      <c r="A436" s="10"/>
      <c r="B436" s="11"/>
      <c r="C436" s="10"/>
      <c r="D436" s="11"/>
      <c r="E436" s="10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0"/>
      <c r="V436" s="11"/>
      <c r="W436" s="10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2.75" customHeight="1">
      <c r="A437" s="10"/>
      <c r="B437" s="11"/>
      <c r="C437" s="10"/>
      <c r="D437" s="11"/>
      <c r="E437" s="10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0"/>
      <c r="V437" s="11"/>
      <c r="W437" s="10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2.75" customHeight="1">
      <c r="A438" s="10"/>
      <c r="B438" s="11"/>
      <c r="C438" s="10"/>
      <c r="D438" s="11"/>
      <c r="E438" s="10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0"/>
      <c r="V438" s="11"/>
      <c r="W438" s="10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2.75" customHeight="1">
      <c r="A439" s="10"/>
      <c r="B439" s="11"/>
      <c r="C439" s="10"/>
      <c r="D439" s="11"/>
      <c r="E439" s="10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0"/>
      <c r="V439" s="11"/>
      <c r="W439" s="10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2.75" customHeight="1">
      <c r="A440" s="10"/>
      <c r="B440" s="11"/>
      <c r="C440" s="10"/>
      <c r="D440" s="11"/>
      <c r="E440" s="10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0"/>
      <c r="V440" s="11"/>
      <c r="W440" s="10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2.75" customHeight="1">
      <c r="A441" s="10"/>
      <c r="B441" s="11"/>
      <c r="C441" s="10"/>
      <c r="D441" s="11"/>
      <c r="E441" s="10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0"/>
      <c r="V441" s="11"/>
      <c r="W441" s="10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2.75" customHeight="1">
      <c r="A442" s="10"/>
      <c r="B442" s="11"/>
      <c r="C442" s="10"/>
      <c r="D442" s="11"/>
      <c r="E442" s="10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0"/>
      <c r="V442" s="11"/>
      <c r="W442" s="10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2.75" customHeight="1">
      <c r="A443" s="10"/>
      <c r="B443" s="11"/>
      <c r="C443" s="10"/>
      <c r="D443" s="11"/>
      <c r="E443" s="10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0"/>
      <c r="V443" s="11"/>
      <c r="W443" s="10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2.75" customHeight="1">
      <c r="A444" s="10"/>
      <c r="B444" s="11"/>
      <c r="C444" s="10"/>
      <c r="D444" s="11"/>
      <c r="E444" s="10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0"/>
      <c r="V444" s="11"/>
      <c r="W444" s="10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2.75" customHeight="1">
      <c r="A445" s="10"/>
      <c r="B445" s="11"/>
      <c r="C445" s="10"/>
      <c r="D445" s="11"/>
      <c r="E445" s="10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0"/>
      <c r="V445" s="11"/>
      <c r="W445" s="10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2.75" customHeight="1">
      <c r="A446" s="10"/>
      <c r="B446" s="11"/>
      <c r="C446" s="10"/>
      <c r="D446" s="11"/>
      <c r="E446" s="10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0"/>
      <c r="V446" s="11"/>
      <c r="W446" s="10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2.75" customHeight="1">
      <c r="A447" s="10"/>
      <c r="B447" s="11"/>
      <c r="C447" s="10"/>
      <c r="D447" s="11"/>
      <c r="E447" s="10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0"/>
      <c r="V447" s="11"/>
      <c r="W447" s="10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2.75" customHeight="1">
      <c r="A448" s="10"/>
      <c r="B448" s="11"/>
      <c r="C448" s="10"/>
      <c r="D448" s="11"/>
      <c r="E448" s="10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0"/>
      <c r="V448" s="11"/>
      <c r="W448" s="10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2.75" customHeight="1">
      <c r="A449" s="10"/>
      <c r="B449" s="11"/>
      <c r="C449" s="10"/>
      <c r="D449" s="11"/>
      <c r="E449" s="10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0"/>
      <c r="V449" s="11"/>
      <c r="W449" s="10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2.75" customHeight="1">
      <c r="A450" s="10"/>
      <c r="B450" s="11"/>
      <c r="C450" s="10"/>
      <c r="D450" s="11"/>
      <c r="E450" s="10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0"/>
      <c r="V450" s="11"/>
      <c r="W450" s="10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2.75" customHeight="1">
      <c r="A451" s="10"/>
      <c r="B451" s="11"/>
      <c r="C451" s="10"/>
      <c r="D451" s="11"/>
      <c r="E451" s="10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0"/>
      <c r="V451" s="11"/>
      <c r="W451" s="10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2.75" customHeight="1">
      <c r="A452" s="10"/>
      <c r="B452" s="11"/>
      <c r="C452" s="10"/>
      <c r="D452" s="11"/>
      <c r="E452" s="10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0"/>
      <c r="V452" s="11"/>
      <c r="W452" s="10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2.75" customHeight="1">
      <c r="A453" s="10"/>
      <c r="B453" s="11"/>
      <c r="C453" s="10"/>
      <c r="D453" s="11"/>
      <c r="E453" s="10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0"/>
      <c r="V453" s="11"/>
      <c r="W453" s="10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2.75" customHeight="1">
      <c r="A454" s="10"/>
      <c r="B454" s="11"/>
      <c r="C454" s="10"/>
      <c r="D454" s="11"/>
      <c r="E454" s="10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0"/>
      <c r="V454" s="11"/>
      <c r="W454" s="10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2.75" customHeight="1">
      <c r="A455" s="10"/>
      <c r="B455" s="11"/>
      <c r="C455" s="10"/>
      <c r="D455" s="11"/>
      <c r="E455" s="10"/>
      <c r="F455" s="1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0"/>
      <c r="V455" s="11"/>
      <c r="W455" s="10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2.75" customHeight="1">
      <c r="A456" s="10"/>
      <c r="B456" s="11"/>
      <c r="C456" s="10"/>
      <c r="D456" s="11"/>
      <c r="E456" s="10"/>
      <c r="F456" s="1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0"/>
      <c r="V456" s="11"/>
      <c r="W456" s="10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2.75" customHeight="1">
      <c r="A457" s="10"/>
      <c r="B457" s="11"/>
      <c r="C457" s="10"/>
      <c r="D457" s="11"/>
      <c r="E457" s="10"/>
      <c r="F457" s="1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0"/>
      <c r="V457" s="11"/>
      <c r="W457" s="10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2.75" customHeight="1">
      <c r="A458" s="10"/>
      <c r="B458" s="11"/>
      <c r="C458" s="10"/>
      <c r="D458" s="11"/>
      <c r="E458" s="10"/>
      <c r="F458" s="1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0"/>
      <c r="V458" s="11"/>
      <c r="W458" s="10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2.75" customHeight="1">
      <c r="A459" s="10"/>
      <c r="B459" s="11"/>
      <c r="C459" s="10"/>
      <c r="D459" s="11"/>
      <c r="E459" s="10"/>
      <c r="F459" s="1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0"/>
      <c r="V459" s="11"/>
      <c r="W459" s="10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2.75" customHeight="1">
      <c r="A460" s="10"/>
      <c r="B460" s="11"/>
      <c r="C460" s="10"/>
      <c r="D460" s="11"/>
      <c r="E460" s="10"/>
      <c r="F460" s="1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0"/>
      <c r="V460" s="11"/>
      <c r="W460" s="10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2.75" customHeight="1">
      <c r="A461" s="10"/>
      <c r="B461" s="11"/>
      <c r="C461" s="10"/>
      <c r="D461" s="11"/>
      <c r="E461" s="10"/>
      <c r="F461" s="1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0"/>
      <c r="V461" s="11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2.75" customHeight="1">
      <c r="A462" s="10"/>
      <c r="B462" s="11"/>
      <c r="C462" s="10"/>
      <c r="D462" s="11"/>
      <c r="E462" s="10"/>
      <c r="F462" s="1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0"/>
      <c r="V462" s="11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2.75" customHeight="1">
      <c r="A463" s="10"/>
      <c r="B463" s="11"/>
      <c r="C463" s="10"/>
      <c r="D463" s="11"/>
      <c r="E463" s="10"/>
      <c r="F463" s="1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0"/>
      <c r="V463" s="11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2.75" customHeight="1">
      <c r="A464" s="10"/>
      <c r="B464" s="11"/>
      <c r="C464" s="10"/>
      <c r="D464" s="11"/>
      <c r="E464" s="10"/>
      <c r="F464" s="1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0"/>
      <c r="V464" s="11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2.75" customHeight="1">
      <c r="A465" s="10"/>
      <c r="B465" s="11"/>
      <c r="C465" s="10"/>
      <c r="D465" s="11"/>
      <c r="E465" s="10"/>
      <c r="F465" s="1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0"/>
      <c r="V465" s="11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2.75" customHeight="1">
      <c r="A466" s="10"/>
      <c r="B466" s="11"/>
      <c r="C466" s="10"/>
      <c r="D466" s="11"/>
      <c r="E466" s="10"/>
      <c r="F466" s="1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0"/>
      <c r="V466" s="11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2.75" customHeight="1">
      <c r="A467" s="10"/>
      <c r="B467" s="11"/>
      <c r="C467" s="10"/>
      <c r="D467" s="11"/>
      <c r="E467" s="10"/>
      <c r="F467" s="1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0"/>
      <c r="V467" s="11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2.75" customHeight="1">
      <c r="A468" s="10"/>
      <c r="B468" s="11"/>
      <c r="C468" s="10"/>
      <c r="D468" s="11"/>
      <c r="E468" s="10"/>
      <c r="F468" s="1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0"/>
      <c r="V468" s="11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2.75" customHeight="1">
      <c r="A469" s="10"/>
      <c r="B469" s="11"/>
      <c r="C469" s="10"/>
      <c r="D469" s="11"/>
      <c r="E469" s="10"/>
      <c r="F469" s="1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0"/>
      <c r="V469" s="11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2.75" customHeight="1">
      <c r="A470" s="10"/>
      <c r="B470" s="11"/>
      <c r="C470" s="10"/>
      <c r="D470" s="11"/>
      <c r="E470" s="10"/>
      <c r="F470" s="1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0"/>
      <c r="V470" s="11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2.75" customHeight="1">
      <c r="A471" s="10"/>
      <c r="B471" s="11"/>
      <c r="C471" s="10"/>
      <c r="D471" s="11"/>
      <c r="E471" s="10"/>
      <c r="F471" s="1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0"/>
      <c r="V471" s="11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2.75" customHeight="1">
      <c r="A472" s="10"/>
      <c r="B472" s="11"/>
      <c r="C472" s="10"/>
      <c r="D472" s="11"/>
      <c r="E472" s="10"/>
      <c r="F472" s="1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0"/>
      <c r="V472" s="11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2.75" customHeight="1">
      <c r="A473" s="10"/>
      <c r="B473" s="11"/>
      <c r="C473" s="10"/>
      <c r="D473" s="11"/>
      <c r="E473" s="10"/>
      <c r="F473" s="1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0"/>
      <c r="V473" s="11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2.75" customHeight="1">
      <c r="A474" s="10"/>
      <c r="B474" s="11"/>
      <c r="C474" s="10"/>
      <c r="D474" s="11"/>
      <c r="E474" s="10"/>
      <c r="F474" s="1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0"/>
      <c r="V474" s="11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2.75" customHeight="1">
      <c r="A475" s="10"/>
      <c r="B475" s="11"/>
      <c r="C475" s="10"/>
      <c r="D475" s="11"/>
      <c r="E475" s="10"/>
      <c r="F475" s="1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0"/>
      <c r="V475" s="11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2.75" customHeight="1">
      <c r="A476" s="10"/>
      <c r="B476" s="11"/>
      <c r="C476" s="10"/>
      <c r="D476" s="11"/>
      <c r="E476" s="10"/>
      <c r="F476" s="1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0"/>
      <c r="V476" s="11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2.75" customHeight="1">
      <c r="A477" s="10"/>
      <c r="B477" s="11"/>
      <c r="C477" s="10"/>
      <c r="D477" s="11"/>
      <c r="E477" s="10"/>
      <c r="F477" s="1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0"/>
      <c r="V477" s="11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2.75" customHeight="1">
      <c r="A478" s="10"/>
      <c r="B478" s="11"/>
      <c r="C478" s="10"/>
      <c r="D478" s="11"/>
      <c r="E478" s="10"/>
      <c r="F478" s="1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0"/>
      <c r="V478" s="11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2.75" customHeight="1">
      <c r="A479" s="10"/>
      <c r="B479" s="11"/>
      <c r="C479" s="10"/>
      <c r="D479" s="11"/>
      <c r="E479" s="10"/>
      <c r="F479" s="1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0"/>
      <c r="V479" s="11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2.75" customHeight="1">
      <c r="A480" s="10"/>
      <c r="B480" s="11"/>
      <c r="C480" s="10"/>
      <c r="D480" s="11"/>
      <c r="E480" s="10"/>
      <c r="F480" s="1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0"/>
      <c r="V480" s="11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2.75" customHeight="1">
      <c r="A481" s="10"/>
      <c r="B481" s="11"/>
      <c r="C481" s="10"/>
      <c r="D481" s="11"/>
      <c r="E481" s="10"/>
      <c r="F481" s="1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0"/>
      <c r="V481" s="11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2.75" customHeight="1">
      <c r="A482" s="10"/>
      <c r="B482" s="11"/>
      <c r="C482" s="10"/>
      <c r="D482" s="11"/>
      <c r="E482" s="10"/>
      <c r="F482" s="1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0"/>
      <c r="V482" s="11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2.75" customHeight="1">
      <c r="A483" s="10"/>
      <c r="B483" s="11"/>
      <c r="C483" s="10"/>
      <c r="D483" s="11"/>
      <c r="E483" s="10"/>
      <c r="F483" s="1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0"/>
      <c r="V483" s="11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2.75" customHeight="1">
      <c r="A484" s="10"/>
      <c r="B484" s="11"/>
      <c r="C484" s="10"/>
      <c r="D484" s="11"/>
      <c r="E484" s="10"/>
      <c r="F484" s="1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0"/>
      <c r="V484" s="11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2.75" customHeight="1">
      <c r="A485" s="10"/>
      <c r="B485" s="11"/>
      <c r="C485" s="10"/>
      <c r="D485" s="11"/>
      <c r="E485" s="10"/>
      <c r="F485" s="1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0"/>
      <c r="V485" s="11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2.75" customHeight="1">
      <c r="A486" s="10"/>
      <c r="B486" s="11"/>
      <c r="C486" s="10"/>
      <c r="D486" s="11"/>
      <c r="E486" s="10"/>
      <c r="F486" s="1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0"/>
      <c r="V486" s="11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2.75" customHeight="1">
      <c r="A487" s="10"/>
      <c r="B487" s="11"/>
      <c r="C487" s="10"/>
      <c r="D487" s="11"/>
      <c r="E487" s="10"/>
      <c r="F487" s="1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0"/>
      <c r="V487" s="11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2.75" customHeight="1">
      <c r="A488" s="10"/>
      <c r="B488" s="11"/>
      <c r="C488" s="10"/>
      <c r="D488" s="11"/>
      <c r="E488" s="10"/>
      <c r="F488" s="1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0"/>
      <c r="V488" s="11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2.75" customHeight="1">
      <c r="A489" s="10"/>
      <c r="B489" s="11"/>
      <c r="C489" s="10"/>
      <c r="D489" s="11"/>
      <c r="E489" s="10"/>
      <c r="F489" s="1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0"/>
      <c r="V489" s="11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2.75" customHeight="1">
      <c r="A490" s="10"/>
      <c r="B490" s="11"/>
      <c r="C490" s="10"/>
      <c r="D490" s="11"/>
      <c r="E490" s="10"/>
      <c r="F490" s="1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0"/>
      <c r="V490" s="11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2.75" customHeight="1">
      <c r="A491" s="10"/>
      <c r="B491" s="11"/>
      <c r="C491" s="10"/>
      <c r="D491" s="11"/>
      <c r="E491" s="10"/>
      <c r="F491" s="1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0"/>
      <c r="V491" s="11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2.75" customHeight="1">
      <c r="A492" s="10"/>
      <c r="B492" s="11"/>
      <c r="C492" s="10"/>
      <c r="D492" s="11"/>
      <c r="E492" s="10"/>
      <c r="F492" s="1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0"/>
      <c r="V492" s="11"/>
      <c r="W492" s="10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2.75" customHeight="1">
      <c r="A493" s="10"/>
      <c r="B493" s="11"/>
      <c r="C493" s="10"/>
      <c r="D493" s="11"/>
      <c r="E493" s="10"/>
      <c r="F493" s="1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0"/>
      <c r="V493" s="11"/>
      <c r="W493" s="10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2.75" customHeight="1">
      <c r="A494" s="10"/>
      <c r="B494" s="11"/>
      <c r="C494" s="10"/>
      <c r="D494" s="11"/>
      <c r="E494" s="10"/>
      <c r="F494" s="1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0"/>
      <c r="V494" s="11"/>
      <c r="W494" s="10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2.75" customHeight="1">
      <c r="A495" s="10"/>
      <c r="B495" s="11"/>
      <c r="C495" s="10"/>
      <c r="D495" s="11"/>
      <c r="E495" s="10"/>
      <c r="F495" s="1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0"/>
      <c r="V495" s="11"/>
      <c r="W495" s="10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2.75" customHeight="1">
      <c r="A496" s="10"/>
      <c r="B496" s="11"/>
      <c r="C496" s="10"/>
      <c r="D496" s="11"/>
      <c r="E496" s="10"/>
      <c r="F496" s="1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0"/>
      <c r="V496" s="11"/>
      <c r="W496" s="10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2.75" customHeight="1">
      <c r="A497" s="10"/>
      <c r="B497" s="11"/>
      <c r="C497" s="10"/>
      <c r="D497" s="11"/>
      <c r="E497" s="10"/>
      <c r="F497" s="1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0"/>
      <c r="V497" s="11"/>
      <c r="W497" s="10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2.75" customHeight="1">
      <c r="A498" s="10"/>
      <c r="B498" s="11"/>
      <c r="C498" s="10"/>
      <c r="D498" s="11"/>
      <c r="E498" s="10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0"/>
      <c r="V498" s="11"/>
      <c r="W498" s="10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2.75" customHeight="1">
      <c r="A499" s="10"/>
      <c r="B499" s="11"/>
      <c r="C499" s="10"/>
      <c r="D499" s="11"/>
      <c r="E499" s="10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0"/>
      <c r="V499" s="11"/>
      <c r="W499" s="10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2.75" customHeight="1">
      <c r="A500" s="10"/>
      <c r="B500" s="11"/>
      <c r="C500" s="10"/>
      <c r="D500" s="11"/>
      <c r="E500" s="10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0"/>
      <c r="V500" s="11"/>
      <c r="W500" s="10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2.75" customHeight="1">
      <c r="A501" s="10"/>
      <c r="B501" s="11"/>
      <c r="C501" s="10"/>
      <c r="D501" s="11"/>
      <c r="E501" s="10"/>
      <c r="F501" s="1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0"/>
      <c r="V501" s="11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2.75" customHeight="1">
      <c r="A502" s="10"/>
      <c r="B502" s="11"/>
      <c r="C502" s="10"/>
      <c r="D502" s="11"/>
      <c r="E502" s="10"/>
      <c r="F502" s="1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0"/>
      <c r="V502" s="11"/>
      <c r="W502" s="10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2.75" customHeight="1">
      <c r="A503" s="10"/>
      <c r="B503" s="11"/>
      <c r="C503" s="10"/>
      <c r="D503" s="11"/>
      <c r="E503" s="10"/>
      <c r="F503" s="1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0"/>
      <c r="V503" s="11"/>
      <c r="W503" s="10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2.75" customHeight="1">
      <c r="A504" s="10"/>
      <c r="B504" s="11"/>
      <c r="C504" s="10"/>
      <c r="D504" s="11"/>
      <c r="E504" s="10"/>
      <c r="F504" s="1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0"/>
      <c r="V504" s="11"/>
      <c r="W504" s="10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2.75" customHeight="1">
      <c r="A505" s="10"/>
      <c r="B505" s="11"/>
      <c r="C505" s="10"/>
      <c r="D505" s="11"/>
      <c r="E505" s="10"/>
      <c r="F505" s="1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0"/>
      <c r="V505" s="11"/>
      <c r="W505" s="10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2.75" customHeight="1">
      <c r="A506" s="10"/>
      <c r="B506" s="11"/>
      <c r="C506" s="10"/>
      <c r="D506" s="11"/>
      <c r="E506" s="10"/>
      <c r="F506" s="1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0"/>
      <c r="V506" s="11"/>
      <c r="W506" s="10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2.75" customHeight="1">
      <c r="A507" s="10"/>
      <c r="B507" s="11"/>
      <c r="C507" s="10"/>
      <c r="D507" s="11"/>
      <c r="E507" s="10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0"/>
      <c r="V507" s="11"/>
      <c r="W507" s="10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2.75" customHeight="1">
      <c r="A508" s="10"/>
      <c r="B508" s="11"/>
      <c r="C508" s="10"/>
      <c r="D508" s="11"/>
      <c r="E508" s="10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0"/>
      <c r="V508" s="11"/>
      <c r="W508" s="10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2.75" customHeight="1">
      <c r="A509" s="10"/>
      <c r="B509" s="11"/>
      <c r="C509" s="10"/>
      <c r="D509" s="11"/>
      <c r="E509" s="10"/>
      <c r="F509" s="1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0"/>
      <c r="V509" s="11"/>
      <c r="W509" s="10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2.75" customHeight="1">
      <c r="A510" s="10"/>
      <c r="B510" s="11"/>
      <c r="C510" s="10"/>
      <c r="D510" s="11"/>
      <c r="E510" s="10"/>
      <c r="F510" s="1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0"/>
      <c r="V510" s="11"/>
      <c r="W510" s="10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2.75" customHeight="1">
      <c r="A511" s="10"/>
      <c r="B511" s="11"/>
      <c r="C511" s="10"/>
      <c r="D511" s="11"/>
      <c r="E511" s="10"/>
      <c r="F511" s="1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0"/>
      <c r="V511" s="11"/>
      <c r="W511" s="10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2.75" customHeight="1">
      <c r="A512" s="10"/>
      <c r="B512" s="11"/>
      <c r="C512" s="10"/>
      <c r="D512" s="11"/>
      <c r="E512" s="10"/>
      <c r="F512" s="1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0"/>
      <c r="V512" s="11"/>
      <c r="W512" s="10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2.75" customHeight="1">
      <c r="A513" s="10"/>
      <c r="B513" s="11"/>
      <c r="C513" s="10"/>
      <c r="D513" s="11"/>
      <c r="E513" s="10"/>
      <c r="F513" s="1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0"/>
      <c r="V513" s="11"/>
      <c r="W513" s="10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2.75" customHeight="1">
      <c r="A514" s="10"/>
      <c r="B514" s="11"/>
      <c r="C514" s="10"/>
      <c r="D514" s="11"/>
      <c r="E514" s="10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0"/>
      <c r="V514" s="11"/>
      <c r="W514" s="10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2.75" customHeight="1">
      <c r="A515" s="10"/>
      <c r="B515" s="11"/>
      <c r="C515" s="10"/>
      <c r="D515" s="11"/>
      <c r="E515" s="10"/>
      <c r="F515" s="1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0"/>
      <c r="V515" s="11"/>
      <c r="W515" s="10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2.75" customHeight="1">
      <c r="A516" s="10"/>
      <c r="B516" s="11"/>
      <c r="C516" s="10"/>
      <c r="D516" s="11"/>
      <c r="E516" s="10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0"/>
      <c r="V516" s="11"/>
      <c r="W516" s="10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2.75" customHeight="1">
      <c r="A517" s="10"/>
      <c r="B517" s="11"/>
      <c r="C517" s="10"/>
      <c r="D517" s="11"/>
      <c r="E517" s="10"/>
      <c r="F517" s="1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0"/>
      <c r="V517" s="11"/>
      <c r="W517" s="10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2.75" customHeight="1">
      <c r="A518" s="10"/>
      <c r="B518" s="11"/>
      <c r="C518" s="10"/>
      <c r="D518" s="11"/>
      <c r="E518" s="10"/>
      <c r="F518" s="1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0"/>
      <c r="V518" s="11"/>
      <c r="W518" s="10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2.75" customHeight="1">
      <c r="A519" s="10"/>
      <c r="B519" s="11"/>
      <c r="C519" s="10"/>
      <c r="D519" s="11"/>
      <c r="E519" s="10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0"/>
      <c r="V519" s="11"/>
      <c r="W519" s="10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2.75" customHeight="1">
      <c r="A520" s="10"/>
      <c r="B520" s="11"/>
      <c r="C520" s="10"/>
      <c r="D520" s="11"/>
      <c r="E520" s="10"/>
      <c r="F520" s="1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0"/>
      <c r="V520" s="11"/>
      <c r="W520" s="10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2.75" customHeight="1">
      <c r="A521" s="10"/>
      <c r="B521" s="11"/>
      <c r="C521" s="10"/>
      <c r="D521" s="11"/>
      <c r="E521" s="10"/>
      <c r="F521" s="1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0"/>
      <c r="V521" s="11"/>
      <c r="W521" s="10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2.75" customHeight="1">
      <c r="A522" s="10"/>
      <c r="B522" s="11"/>
      <c r="C522" s="10"/>
      <c r="D522" s="11"/>
      <c r="E522" s="10"/>
      <c r="F522" s="1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0"/>
      <c r="V522" s="11"/>
      <c r="W522" s="10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2.75" customHeight="1">
      <c r="A523" s="10"/>
      <c r="B523" s="11"/>
      <c r="C523" s="10"/>
      <c r="D523" s="11"/>
      <c r="E523" s="10"/>
      <c r="F523" s="1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0"/>
      <c r="V523" s="11"/>
      <c r="W523" s="10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2.75" customHeight="1">
      <c r="A524" s="10"/>
      <c r="B524" s="11"/>
      <c r="C524" s="10"/>
      <c r="D524" s="11"/>
      <c r="E524" s="10"/>
      <c r="F524" s="1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0"/>
      <c r="V524" s="11"/>
      <c r="W524" s="10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2.75" customHeight="1">
      <c r="A525" s="10"/>
      <c r="B525" s="11"/>
      <c r="C525" s="10"/>
      <c r="D525" s="11"/>
      <c r="E525" s="10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0"/>
      <c r="V525" s="11"/>
      <c r="W525" s="10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2.75" customHeight="1">
      <c r="A526" s="10"/>
      <c r="B526" s="11"/>
      <c r="C526" s="10"/>
      <c r="D526" s="11"/>
      <c r="E526" s="10"/>
      <c r="F526" s="1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0"/>
      <c r="V526" s="11"/>
      <c r="W526" s="10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2.75" customHeight="1">
      <c r="A527" s="10"/>
      <c r="B527" s="11"/>
      <c r="C527" s="10"/>
      <c r="D527" s="11"/>
      <c r="E527" s="10"/>
      <c r="F527" s="1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0"/>
      <c r="V527" s="11"/>
      <c r="W527" s="10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2.75" customHeight="1">
      <c r="A528" s="10"/>
      <c r="B528" s="11"/>
      <c r="C528" s="10"/>
      <c r="D528" s="11"/>
      <c r="E528" s="10"/>
      <c r="F528" s="1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0"/>
      <c r="V528" s="11"/>
      <c r="W528" s="10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2.75" customHeight="1">
      <c r="A529" s="10"/>
      <c r="B529" s="11"/>
      <c r="C529" s="10"/>
      <c r="D529" s="11"/>
      <c r="E529" s="10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0"/>
      <c r="V529" s="11"/>
      <c r="W529" s="10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2.75" customHeight="1">
      <c r="A530" s="10"/>
      <c r="B530" s="11"/>
      <c r="C530" s="10"/>
      <c r="D530" s="11"/>
      <c r="E530" s="10"/>
      <c r="F530" s="1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0"/>
      <c r="V530" s="11"/>
      <c r="W530" s="10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2.75" customHeight="1">
      <c r="A531" s="10"/>
      <c r="B531" s="11"/>
      <c r="C531" s="10"/>
      <c r="D531" s="11"/>
      <c r="E531" s="10"/>
      <c r="F531" s="1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0"/>
      <c r="V531" s="11"/>
      <c r="W531" s="10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2.75" customHeight="1">
      <c r="A532" s="10"/>
      <c r="B532" s="11"/>
      <c r="C532" s="10"/>
      <c r="D532" s="11"/>
      <c r="E532" s="10"/>
      <c r="F532" s="1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0"/>
      <c r="V532" s="11"/>
      <c r="W532" s="10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2.75" customHeight="1">
      <c r="A533" s="10"/>
      <c r="B533" s="11"/>
      <c r="C533" s="10"/>
      <c r="D533" s="11"/>
      <c r="E533" s="10"/>
      <c r="F533" s="1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0"/>
      <c r="V533" s="11"/>
      <c r="W533" s="10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2.75" customHeight="1">
      <c r="A534" s="10"/>
      <c r="B534" s="11"/>
      <c r="C534" s="10"/>
      <c r="D534" s="11"/>
      <c r="E534" s="10"/>
      <c r="F534" s="1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0"/>
      <c r="V534" s="11"/>
      <c r="W534" s="10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2.75" customHeight="1">
      <c r="A535" s="10"/>
      <c r="B535" s="11"/>
      <c r="C535" s="10"/>
      <c r="D535" s="11"/>
      <c r="E535" s="10"/>
      <c r="F535" s="1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0"/>
      <c r="V535" s="11"/>
      <c r="W535" s="10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2.75" customHeight="1">
      <c r="A536" s="10"/>
      <c r="B536" s="11"/>
      <c r="C536" s="10"/>
      <c r="D536" s="11"/>
      <c r="E536" s="10"/>
      <c r="F536" s="1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0"/>
      <c r="V536" s="11"/>
      <c r="W536" s="10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2.75" customHeight="1">
      <c r="A537" s="10"/>
      <c r="B537" s="11"/>
      <c r="C537" s="10"/>
      <c r="D537" s="11"/>
      <c r="E537" s="10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0"/>
      <c r="V537" s="11"/>
      <c r="W537" s="10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2.75" customHeight="1">
      <c r="A538" s="10"/>
      <c r="B538" s="11"/>
      <c r="C538" s="10"/>
      <c r="D538" s="11"/>
      <c r="E538" s="10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0"/>
      <c r="V538" s="11"/>
      <c r="W538" s="10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2.75" customHeight="1">
      <c r="A539" s="10"/>
      <c r="B539" s="11"/>
      <c r="C539" s="10"/>
      <c r="D539" s="11"/>
      <c r="E539" s="10"/>
      <c r="F539" s="1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0"/>
      <c r="V539" s="11"/>
      <c r="W539" s="10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2.75" customHeight="1">
      <c r="A540" s="10"/>
      <c r="B540" s="11"/>
      <c r="C540" s="10"/>
      <c r="D540" s="11"/>
      <c r="E540" s="10"/>
      <c r="F540" s="1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0"/>
      <c r="V540" s="11"/>
      <c r="W540" s="10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2.75" customHeight="1">
      <c r="A541" s="10"/>
      <c r="B541" s="11"/>
      <c r="C541" s="10"/>
      <c r="D541" s="11"/>
      <c r="E541" s="10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0"/>
      <c r="V541" s="11"/>
      <c r="W541" s="10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2.75" customHeight="1">
      <c r="A542" s="10"/>
      <c r="B542" s="11"/>
      <c r="C542" s="10"/>
      <c r="D542" s="11"/>
      <c r="E542" s="10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0"/>
      <c r="V542" s="11"/>
      <c r="W542" s="10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2.75" customHeight="1">
      <c r="A543" s="10"/>
      <c r="B543" s="11"/>
      <c r="C543" s="10"/>
      <c r="D543" s="11"/>
      <c r="E543" s="10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0"/>
      <c r="V543" s="11"/>
      <c r="W543" s="10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2.75" customHeight="1">
      <c r="A544" s="10"/>
      <c r="B544" s="11"/>
      <c r="C544" s="10"/>
      <c r="D544" s="11"/>
      <c r="E544" s="10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0"/>
      <c r="V544" s="11"/>
      <c r="W544" s="10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2.75" customHeight="1">
      <c r="A545" s="10"/>
      <c r="B545" s="11"/>
      <c r="C545" s="10"/>
      <c r="D545" s="11"/>
      <c r="E545" s="10"/>
      <c r="F545" s="1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0"/>
      <c r="V545" s="11"/>
      <c r="W545" s="10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2.75" customHeight="1">
      <c r="A546" s="10"/>
      <c r="B546" s="11"/>
      <c r="C546" s="10"/>
      <c r="D546" s="11"/>
      <c r="E546" s="10"/>
      <c r="F546" s="1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0"/>
      <c r="V546" s="11"/>
      <c r="W546" s="10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2.75" customHeight="1">
      <c r="A547" s="10"/>
      <c r="B547" s="11"/>
      <c r="C547" s="10"/>
      <c r="D547" s="11"/>
      <c r="E547" s="10"/>
      <c r="F547" s="1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0"/>
      <c r="V547" s="11"/>
      <c r="W547" s="10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2.75" customHeight="1">
      <c r="A548" s="10"/>
      <c r="B548" s="11"/>
      <c r="C548" s="10"/>
      <c r="D548" s="11"/>
      <c r="E548" s="10"/>
      <c r="F548" s="1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0"/>
      <c r="V548" s="11"/>
      <c r="W548" s="10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2.75" customHeight="1">
      <c r="A549" s="10"/>
      <c r="B549" s="11"/>
      <c r="C549" s="10"/>
      <c r="D549" s="11"/>
      <c r="E549" s="10"/>
      <c r="F549" s="1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0"/>
      <c r="V549" s="11"/>
      <c r="W549" s="10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2.75" customHeight="1">
      <c r="A550" s="10"/>
      <c r="B550" s="11"/>
      <c r="C550" s="10"/>
      <c r="D550" s="11"/>
      <c r="E550" s="10"/>
      <c r="F550" s="1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0"/>
      <c r="V550" s="11"/>
      <c r="W550" s="10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2.75" customHeight="1">
      <c r="A551" s="10"/>
      <c r="B551" s="11"/>
      <c r="C551" s="10"/>
      <c r="D551" s="11"/>
      <c r="E551" s="10"/>
      <c r="F551" s="1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0"/>
      <c r="V551" s="11"/>
      <c r="W551" s="10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2.75" customHeight="1">
      <c r="A552" s="10"/>
      <c r="B552" s="11"/>
      <c r="C552" s="10"/>
      <c r="D552" s="11"/>
      <c r="E552" s="10"/>
      <c r="F552" s="1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0"/>
      <c r="V552" s="11"/>
      <c r="W552" s="10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2.75" customHeight="1">
      <c r="A553" s="10"/>
      <c r="B553" s="11"/>
      <c r="C553" s="10"/>
      <c r="D553" s="11"/>
      <c r="E553" s="10"/>
      <c r="F553" s="1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0"/>
      <c r="V553" s="11"/>
      <c r="W553" s="10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2.75" customHeight="1">
      <c r="A554" s="10"/>
      <c r="B554" s="11"/>
      <c r="C554" s="10"/>
      <c r="D554" s="11"/>
      <c r="E554" s="10"/>
      <c r="F554" s="1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0"/>
      <c r="V554" s="11"/>
      <c r="W554" s="10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2.75" customHeight="1">
      <c r="A555" s="10"/>
      <c r="B555" s="11"/>
      <c r="C555" s="10"/>
      <c r="D555" s="11"/>
      <c r="E555" s="10"/>
      <c r="F555" s="1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0"/>
      <c r="V555" s="11"/>
      <c r="W555" s="10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2.75" customHeight="1">
      <c r="A556" s="10"/>
      <c r="B556" s="11"/>
      <c r="C556" s="10"/>
      <c r="D556" s="11"/>
      <c r="E556" s="10"/>
      <c r="F556" s="1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0"/>
      <c r="V556" s="11"/>
      <c r="W556" s="10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2.75" customHeight="1">
      <c r="A557" s="10"/>
      <c r="B557" s="11"/>
      <c r="C557" s="10"/>
      <c r="D557" s="11"/>
      <c r="E557" s="10"/>
      <c r="F557" s="1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0"/>
      <c r="V557" s="11"/>
      <c r="W557" s="10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2.75" customHeight="1">
      <c r="A558" s="10"/>
      <c r="B558" s="11"/>
      <c r="C558" s="10"/>
      <c r="D558" s="11"/>
      <c r="E558" s="10"/>
      <c r="F558" s="1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0"/>
      <c r="V558" s="11"/>
      <c r="W558" s="10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2.75" customHeight="1">
      <c r="A559" s="10"/>
      <c r="B559" s="11"/>
      <c r="C559" s="10"/>
      <c r="D559" s="11"/>
      <c r="E559" s="10"/>
      <c r="F559" s="1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0"/>
      <c r="V559" s="11"/>
      <c r="W559" s="10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2.75" customHeight="1">
      <c r="A560" s="10"/>
      <c r="B560" s="11"/>
      <c r="C560" s="10"/>
      <c r="D560" s="11"/>
      <c r="E560" s="10"/>
      <c r="F560" s="1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0"/>
      <c r="V560" s="11"/>
      <c r="W560" s="10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2.75" customHeight="1">
      <c r="A561" s="10"/>
      <c r="B561" s="11"/>
      <c r="C561" s="10"/>
      <c r="D561" s="11"/>
      <c r="E561" s="10"/>
      <c r="F561" s="1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0"/>
      <c r="V561" s="11"/>
      <c r="W561" s="10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2.75" customHeight="1">
      <c r="A562" s="10"/>
      <c r="B562" s="11"/>
      <c r="C562" s="10"/>
      <c r="D562" s="11"/>
      <c r="E562" s="10"/>
      <c r="F562" s="1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0"/>
      <c r="V562" s="11"/>
      <c r="W562" s="10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2.75" customHeight="1">
      <c r="A563" s="10"/>
      <c r="B563" s="11"/>
      <c r="C563" s="10"/>
      <c r="D563" s="11"/>
      <c r="E563" s="10"/>
      <c r="F563" s="1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0"/>
      <c r="V563" s="11"/>
      <c r="W563" s="10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2.75" customHeight="1">
      <c r="A564" s="10"/>
      <c r="B564" s="11"/>
      <c r="C564" s="10"/>
      <c r="D564" s="11"/>
      <c r="E564" s="10"/>
      <c r="F564" s="1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0"/>
      <c r="V564" s="11"/>
      <c r="W564" s="10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2.75" customHeight="1">
      <c r="A565" s="10"/>
      <c r="B565" s="11"/>
      <c r="C565" s="10"/>
      <c r="D565" s="11"/>
      <c r="E565" s="10"/>
      <c r="F565" s="1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0"/>
      <c r="V565" s="11"/>
      <c r="W565" s="10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2.75" customHeight="1">
      <c r="A566" s="10"/>
      <c r="B566" s="11"/>
      <c r="C566" s="10"/>
      <c r="D566" s="11"/>
      <c r="E566" s="10"/>
      <c r="F566" s="1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0"/>
      <c r="V566" s="11"/>
      <c r="W566" s="10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2.75" customHeight="1">
      <c r="A567" s="10"/>
      <c r="B567" s="11"/>
      <c r="C567" s="10"/>
      <c r="D567" s="11"/>
      <c r="E567" s="10"/>
      <c r="F567" s="1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0"/>
      <c r="V567" s="11"/>
      <c r="W567" s="10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2.75" customHeight="1">
      <c r="A568" s="10"/>
      <c r="B568" s="11"/>
      <c r="C568" s="10"/>
      <c r="D568" s="11"/>
      <c r="E568" s="10"/>
      <c r="F568" s="1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0"/>
      <c r="V568" s="11"/>
      <c r="W568" s="10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2.75" customHeight="1">
      <c r="A569" s="10"/>
      <c r="B569" s="11"/>
      <c r="C569" s="10"/>
      <c r="D569" s="11"/>
      <c r="E569" s="10"/>
      <c r="F569" s="1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0"/>
      <c r="V569" s="11"/>
      <c r="W569" s="10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2.75" customHeight="1">
      <c r="A570" s="10"/>
      <c r="B570" s="11"/>
      <c r="C570" s="10"/>
      <c r="D570" s="11"/>
      <c r="E570" s="10"/>
      <c r="F570" s="1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0"/>
      <c r="V570" s="11"/>
      <c r="W570" s="10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2.75" customHeight="1">
      <c r="A571" s="10"/>
      <c r="B571" s="11"/>
      <c r="C571" s="10"/>
      <c r="D571" s="11"/>
      <c r="E571" s="10"/>
      <c r="F571" s="1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0"/>
      <c r="V571" s="11"/>
      <c r="W571" s="10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2.75" customHeight="1">
      <c r="A572" s="10"/>
      <c r="B572" s="11"/>
      <c r="C572" s="10"/>
      <c r="D572" s="11"/>
      <c r="E572" s="10"/>
      <c r="F572" s="1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0"/>
      <c r="V572" s="11"/>
      <c r="W572" s="10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2.75" customHeight="1">
      <c r="A573" s="10"/>
      <c r="B573" s="11"/>
      <c r="C573" s="10"/>
      <c r="D573" s="11"/>
      <c r="E573" s="10"/>
      <c r="F573" s="1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0"/>
      <c r="V573" s="11"/>
      <c r="W573" s="10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2.75" customHeight="1">
      <c r="A574" s="10"/>
      <c r="B574" s="11"/>
      <c r="C574" s="10"/>
      <c r="D574" s="11"/>
      <c r="E574" s="10"/>
      <c r="F574" s="1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0"/>
      <c r="V574" s="11"/>
      <c r="W574" s="10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2.75" customHeight="1">
      <c r="A575" s="10"/>
      <c r="B575" s="11"/>
      <c r="C575" s="10"/>
      <c r="D575" s="11"/>
      <c r="E575" s="10"/>
      <c r="F575" s="1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0"/>
      <c r="V575" s="11"/>
      <c r="W575" s="10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2.75" customHeight="1">
      <c r="A576" s="10"/>
      <c r="B576" s="11"/>
      <c r="C576" s="10"/>
      <c r="D576" s="11"/>
      <c r="E576" s="10"/>
      <c r="F576" s="1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0"/>
      <c r="V576" s="11"/>
      <c r="W576" s="10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2.75" customHeight="1">
      <c r="A577" s="10"/>
      <c r="B577" s="11"/>
      <c r="C577" s="10"/>
      <c r="D577" s="11"/>
      <c r="E577" s="10"/>
      <c r="F577" s="1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0"/>
      <c r="V577" s="11"/>
      <c r="W577" s="10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2.75" customHeight="1">
      <c r="A578" s="10"/>
      <c r="B578" s="11"/>
      <c r="C578" s="10"/>
      <c r="D578" s="11"/>
      <c r="E578" s="10"/>
      <c r="F578" s="1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0"/>
      <c r="V578" s="11"/>
      <c r="W578" s="10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2.75" customHeight="1">
      <c r="A579" s="10"/>
      <c r="B579" s="11"/>
      <c r="C579" s="10"/>
      <c r="D579" s="11"/>
      <c r="E579" s="10"/>
      <c r="F579" s="1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0"/>
      <c r="V579" s="11"/>
      <c r="W579" s="10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2.75" customHeight="1">
      <c r="A580" s="10"/>
      <c r="B580" s="11"/>
      <c r="C580" s="10"/>
      <c r="D580" s="11"/>
      <c r="E580" s="10"/>
      <c r="F580" s="1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0"/>
      <c r="V580" s="11"/>
      <c r="W580" s="10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2.75" customHeight="1">
      <c r="A581" s="10"/>
      <c r="B581" s="11"/>
      <c r="C581" s="10"/>
      <c r="D581" s="11"/>
      <c r="E581" s="10"/>
      <c r="F581" s="1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0"/>
      <c r="V581" s="11"/>
      <c r="W581" s="10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2.75" customHeight="1">
      <c r="A582" s="10"/>
      <c r="B582" s="11"/>
      <c r="C582" s="10"/>
      <c r="D582" s="11"/>
      <c r="E582" s="10"/>
      <c r="F582" s="1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0"/>
      <c r="V582" s="11"/>
      <c r="W582" s="10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2.75" customHeight="1">
      <c r="A583" s="10"/>
      <c r="B583" s="11"/>
      <c r="C583" s="10"/>
      <c r="D583" s="11"/>
      <c r="E583" s="10"/>
      <c r="F583" s="1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0"/>
      <c r="V583" s="11"/>
      <c r="W583" s="10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2.75" customHeight="1">
      <c r="A584" s="10"/>
      <c r="B584" s="11"/>
      <c r="C584" s="10"/>
      <c r="D584" s="11"/>
      <c r="E584" s="10"/>
      <c r="F584" s="1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0"/>
      <c r="V584" s="11"/>
      <c r="W584" s="10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2.75" customHeight="1">
      <c r="A585" s="10"/>
      <c r="B585" s="11"/>
      <c r="C585" s="10"/>
      <c r="D585" s="11"/>
      <c r="E585" s="10"/>
      <c r="F585" s="1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0"/>
      <c r="V585" s="11"/>
      <c r="W585" s="10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2.75" customHeight="1">
      <c r="A586" s="10"/>
      <c r="B586" s="11"/>
      <c r="C586" s="10"/>
      <c r="D586" s="11"/>
      <c r="E586" s="10"/>
      <c r="F586" s="1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0"/>
      <c r="V586" s="11"/>
      <c r="W586" s="10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2.75" customHeight="1">
      <c r="A587" s="10"/>
      <c r="B587" s="11"/>
      <c r="C587" s="10"/>
      <c r="D587" s="11"/>
      <c r="E587" s="10"/>
      <c r="F587" s="1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0"/>
      <c r="V587" s="11"/>
      <c r="W587" s="10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2.75" customHeight="1">
      <c r="A588" s="10"/>
      <c r="B588" s="11"/>
      <c r="C588" s="10"/>
      <c r="D588" s="11"/>
      <c r="E588" s="10"/>
      <c r="F588" s="1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0"/>
      <c r="V588" s="11"/>
      <c r="W588" s="10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2.75" customHeight="1">
      <c r="A589" s="10"/>
      <c r="B589" s="11"/>
      <c r="C589" s="10"/>
      <c r="D589" s="11"/>
      <c r="E589" s="10"/>
      <c r="F589" s="1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0"/>
      <c r="V589" s="11"/>
      <c r="W589" s="10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2.75" customHeight="1">
      <c r="A590" s="10"/>
      <c r="B590" s="11"/>
      <c r="C590" s="10"/>
      <c r="D590" s="11"/>
      <c r="E590" s="10"/>
      <c r="F590" s="1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0"/>
      <c r="V590" s="11"/>
      <c r="W590" s="10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2.75" customHeight="1">
      <c r="A591" s="10"/>
      <c r="B591" s="11"/>
      <c r="C591" s="10"/>
      <c r="D591" s="11"/>
      <c r="E591" s="10"/>
      <c r="F591" s="1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0"/>
      <c r="V591" s="11"/>
      <c r="W591" s="10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2.75" customHeight="1">
      <c r="A592" s="10"/>
      <c r="B592" s="11"/>
      <c r="C592" s="10"/>
      <c r="D592" s="11"/>
      <c r="E592" s="10"/>
      <c r="F592" s="1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0"/>
      <c r="V592" s="11"/>
      <c r="W592" s="10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2.75" customHeight="1">
      <c r="A593" s="10"/>
      <c r="B593" s="11"/>
      <c r="C593" s="10"/>
      <c r="D593" s="11"/>
      <c r="E593" s="10"/>
      <c r="F593" s="1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0"/>
      <c r="V593" s="11"/>
      <c r="W593" s="10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2.75" customHeight="1">
      <c r="A594" s="10"/>
      <c r="B594" s="11"/>
      <c r="C594" s="10"/>
      <c r="D594" s="11"/>
      <c r="E594" s="10"/>
      <c r="F594" s="1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0"/>
      <c r="V594" s="11"/>
      <c r="W594" s="10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2.75" customHeight="1">
      <c r="A595" s="10"/>
      <c r="B595" s="11"/>
      <c r="C595" s="10"/>
      <c r="D595" s="11"/>
      <c r="E595" s="10"/>
      <c r="F595" s="1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0"/>
      <c r="V595" s="11"/>
      <c r="W595" s="10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2.75" customHeight="1">
      <c r="A596" s="10"/>
      <c r="B596" s="11"/>
      <c r="C596" s="10"/>
      <c r="D596" s="11"/>
      <c r="E596" s="10"/>
      <c r="F596" s="1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0"/>
      <c r="V596" s="11"/>
      <c r="W596" s="10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2.75" customHeight="1">
      <c r="A597" s="10"/>
      <c r="B597" s="11"/>
      <c r="C597" s="10"/>
      <c r="D597" s="11"/>
      <c r="E597" s="10"/>
      <c r="F597" s="1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0"/>
      <c r="V597" s="11"/>
      <c r="W597" s="10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2.75" customHeight="1">
      <c r="A598" s="10"/>
      <c r="B598" s="11"/>
      <c r="C598" s="10"/>
      <c r="D598" s="11"/>
      <c r="E598" s="10"/>
      <c r="F598" s="1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0"/>
      <c r="V598" s="11"/>
      <c r="W598" s="10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2.75" customHeight="1">
      <c r="A599" s="10"/>
      <c r="B599" s="11"/>
      <c r="C599" s="10"/>
      <c r="D599" s="11"/>
      <c r="E599" s="10"/>
      <c r="F599" s="1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0"/>
      <c r="V599" s="11"/>
      <c r="W599" s="10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2.75" customHeight="1">
      <c r="A600" s="10"/>
      <c r="B600" s="11"/>
      <c r="C600" s="10"/>
      <c r="D600" s="11"/>
      <c r="E600" s="10"/>
      <c r="F600" s="1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0"/>
      <c r="V600" s="11"/>
      <c r="W600" s="10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2.75" customHeight="1">
      <c r="A601" s="10"/>
      <c r="B601" s="11"/>
      <c r="C601" s="10"/>
      <c r="D601" s="11"/>
      <c r="E601" s="10"/>
      <c r="F601" s="1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0"/>
      <c r="V601" s="11"/>
      <c r="W601" s="10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2.75" customHeight="1">
      <c r="A602" s="10"/>
      <c r="B602" s="11"/>
      <c r="C602" s="10"/>
      <c r="D602" s="11"/>
      <c r="E602" s="10"/>
      <c r="F602" s="1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0"/>
      <c r="V602" s="11"/>
      <c r="W602" s="10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2.75" customHeight="1">
      <c r="A603" s="10"/>
      <c r="B603" s="11"/>
      <c r="C603" s="10"/>
      <c r="D603" s="11"/>
      <c r="E603" s="10"/>
      <c r="F603" s="1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0"/>
      <c r="V603" s="11"/>
      <c r="W603" s="10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2.75" customHeight="1">
      <c r="A604" s="10"/>
      <c r="B604" s="11"/>
      <c r="C604" s="10"/>
      <c r="D604" s="11"/>
      <c r="E604" s="10"/>
      <c r="F604" s="1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0"/>
      <c r="V604" s="11"/>
      <c r="W604" s="10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2.75" customHeight="1">
      <c r="A605" s="10"/>
      <c r="B605" s="11"/>
      <c r="C605" s="10"/>
      <c r="D605" s="11"/>
      <c r="E605" s="10"/>
      <c r="F605" s="1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0"/>
      <c r="V605" s="11"/>
      <c r="W605" s="10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2.75" customHeight="1">
      <c r="A606" s="10"/>
      <c r="B606" s="11"/>
      <c r="C606" s="10"/>
      <c r="D606" s="11"/>
      <c r="E606" s="10"/>
      <c r="F606" s="1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0"/>
      <c r="V606" s="11"/>
      <c r="W606" s="10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2.75" customHeight="1">
      <c r="A607" s="10"/>
      <c r="B607" s="11"/>
      <c r="C607" s="10"/>
      <c r="D607" s="11"/>
      <c r="E607" s="10"/>
      <c r="F607" s="1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0"/>
      <c r="V607" s="11"/>
      <c r="W607" s="10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2.75" customHeight="1">
      <c r="A608" s="10"/>
      <c r="B608" s="11"/>
      <c r="C608" s="10"/>
      <c r="D608" s="11"/>
      <c r="E608" s="10"/>
      <c r="F608" s="1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0"/>
      <c r="V608" s="11"/>
      <c r="W608" s="10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2.75" customHeight="1">
      <c r="A609" s="10"/>
      <c r="B609" s="11"/>
      <c r="C609" s="10"/>
      <c r="D609" s="11"/>
      <c r="E609" s="10"/>
      <c r="F609" s="1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0"/>
      <c r="V609" s="11"/>
      <c r="W609" s="10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2.75" customHeight="1">
      <c r="A610" s="10"/>
      <c r="B610" s="11"/>
      <c r="C610" s="10"/>
      <c r="D610" s="11"/>
      <c r="E610" s="10"/>
      <c r="F610" s="1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0"/>
      <c r="V610" s="11"/>
      <c r="W610" s="10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2.75" customHeight="1">
      <c r="A611" s="10"/>
      <c r="B611" s="11"/>
      <c r="C611" s="10"/>
      <c r="D611" s="11"/>
      <c r="E611" s="10"/>
      <c r="F611" s="1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0"/>
      <c r="V611" s="11"/>
      <c r="W611" s="10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2.75" customHeight="1">
      <c r="A612" s="10"/>
      <c r="B612" s="11"/>
      <c r="C612" s="10"/>
      <c r="D612" s="11"/>
      <c r="E612" s="10"/>
      <c r="F612" s="1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0"/>
      <c r="V612" s="11"/>
      <c r="W612" s="10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2.75" customHeight="1">
      <c r="A613" s="10"/>
      <c r="B613" s="11"/>
      <c r="C613" s="10"/>
      <c r="D613" s="11"/>
      <c r="E613" s="10"/>
      <c r="F613" s="1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0"/>
      <c r="V613" s="11"/>
      <c r="W613" s="10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2.75" customHeight="1">
      <c r="A614" s="10"/>
      <c r="B614" s="11"/>
      <c r="C614" s="10"/>
      <c r="D614" s="11"/>
      <c r="E614" s="10"/>
      <c r="F614" s="1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0"/>
      <c r="V614" s="11"/>
      <c r="W614" s="10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2.75" customHeight="1">
      <c r="A615" s="10"/>
      <c r="B615" s="11"/>
      <c r="C615" s="10"/>
      <c r="D615" s="11"/>
      <c r="E615" s="10"/>
      <c r="F615" s="1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0"/>
      <c r="V615" s="11"/>
      <c r="W615" s="10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2.75" customHeight="1">
      <c r="A616" s="10"/>
      <c r="B616" s="11"/>
      <c r="C616" s="10"/>
      <c r="D616" s="11"/>
      <c r="E616" s="10"/>
      <c r="F616" s="1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0"/>
      <c r="V616" s="11"/>
      <c r="W616" s="10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2.75" customHeight="1">
      <c r="A617" s="10"/>
      <c r="B617" s="11"/>
      <c r="C617" s="10"/>
      <c r="D617" s="11"/>
      <c r="E617" s="10"/>
      <c r="F617" s="1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0"/>
      <c r="V617" s="11"/>
      <c r="W617" s="10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2.75" customHeight="1">
      <c r="A618" s="10"/>
      <c r="B618" s="11"/>
      <c r="C618" s="10"/>
      <c r="D618" s="11"/>
      <c r="E618" s="10"/>
      <c r="F618" s="1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0"/>
      <c r="V618" s="11"/>
      <c r="W618" s="10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2.75" customHeight="1">
      <c r="A619" s="10"/>
      <c r="B619" s="11"/>
      <c r="C619" s="10"/>
      <c r="D619" s="11"/>
      <c r="E619" s="10"/>
      <c r="F619" s="1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0"/>
      <c r="V619" s="11"/>
      <c r="W619" s="10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2.75" customHeight="1">
      <c r="A620" s="10"/>
      <c r="B620" s="11"/>
      <c r="C620" s="10"/>
      <c r="D620" s="11"/>
      <c r="E620" s="10"/>
      <c r="F620" s="1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0"/>
      <c r="V620" s="11"/>
      <c r="W620" s="10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2.75" customHeight="1">
      <c r="A621" s="10"/>
      <c r="B621" s="11"/>
      <c r="C621" s="10"/>
      <c r="D621" s="11"/>
      <c r="E621" s="10"/>
      <c r="F621" s="1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0"/>
      <c r="V621" s="11"/>
      <c r="W621" s="10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2.75" customHeight="1">
      <c r="A622" s="10"/>
      <c r="B622" s="11"/>
      <c r="C622" s="10"/>
      <c r="D622" s="11"/>
      <c r="E622" s="10"/>
      <c r="F622" s="1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0"/>
      <c r="V622" s="11"/>
      <c r="W622" s="10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2.75" customHeight="1">
      <c r="A623" s="10"/>
      <c r="B623" s="11"/>
      <c r="C623" s="10"/>
      <c r="D623" s="11"/>
      <c r="E623" s="10"/>
      <c r="F623" s="1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0"/>
      <c r="V623" s="11"/>
      <c r="W623" s="10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2.75" customHeight="1">
      <c r="A624" s="10"/>
      <c r="B624" s="11"/>
      <c r="C624" s="10"/>
      <c r="D624" s="11"/>
      <c r="E624" s="10"/>
      <c r="F624" s="1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0"/>
      <c r="V624" s="11"/>
      <c r="W624" s="10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2.75" customHeight="1">
      <c r="A625" s="10"/>
      <c r="B625" s="11"/>
      <c r="C625" s="10"/>
      <c r="D625" s="11"/>
      <c r="E625" s="10"/>
      <c r="F625" s="1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0"/>
      <c r="V625" s="11"/>
      <c r="W625" s="10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2.75" customHeight="1">
      <c r="A626" s="10"/>
      <c r="B626" s="11"/>
      <c r="C626" s="10"/>
      <c r="D626" s="11"/>
      <c r="E626" s="10"/>
      <c r="F626" s="1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0"/>
      <c r="V626" s="11"/>
      <c r="W626" s="10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2.75" customHeight="1">
      <c r="A627" s="10"/>
      <c r="B627" s="11"/>
      <c r="C627" s="10"/>
      <c r="D627" s="11"/>
      <c r="E627" s="10"/>
      <c r="F627" s="1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0"/>
      <c r="V627" s="11"/>
      <c r="W627" s="10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2.75" customHeight="1">
      <c r="A628" s="10"/>
      <c r="B628" s="11"/>
      <c r="C628" s="10"/>
      <c r="D628" s="11"/>
      <c r="E628" s="10"/>
      <c r="F628" s="1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0"/>
      <c r="V628" s="11"/>
      <c r="W628" s="10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2.75" customHeight="1">
      <c r="A629" s="10"/>
      <c r="B629" s="11"/>
      <c r="C629" s="10"/>
      <c r="D629" s="11"/>
      <c r="E629" s="10"/>
      <c r="F629" s="1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0"/>
      <c r="V629" s="11"/>
      <c r="W629" s="10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2.75" customHeight="1">
      <c r="A630" s="10"/>
      <c r="B630" s="11"/>
      <c r="C630" s="10"/>
      <c r="D630" s="11"/>
      <c r="E630" s="10"/>
      <c r="F630" s="1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0"/>
      <c r="V630" s="11"/>
      <c r="W630" s="10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2.75" customHeight="1">
      <c r="A631" s="10"/>
      <c r="B631" s="11"/>
      <c r="C631" s="10"/>
      <c r="D631" s="11"/>
      <c r="E631" s="10"/>
      <c r="F631" s="1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0"/>
      <c r="V631" s="11"/>
      <c r="W631" s="10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2.75" customHeight="1">
      <c r="A632" s="10"/>
      <c r="B632" s="11"/>
      <c r="C632" s="10"/>
      <c r="D632" s="11"/>
      <c r="E632" s="10"/>
      <c r="F632" s="1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0"/>
      <c r="V632" s="11"/>
      <c r="W632" s="10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2.75" customHeight="1">
      <c r="A633" s="10"/>
      <c r="B633" s="11"/>
      <c r="C633" s="10"/>
      <c r="D633" s="11"/>
      <c r="E633" s="10"/>
      <c r="F633" s="1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0"/>
      <c r="V633" s="11"/>
      <c r="W633" s="10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2.75" customHeight="1">
      <c r="A634" s="10"/>
      <c r="B634" s="11"/>
      <c r="C634" s="10"/>
      <c r="D634" s="11"/>
      <c r="E634" s="10"/>
      <c r="F634" s="1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0"/>
      <c r="V634" s="11"/>
      <c r="W634" s="10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2.75" customHeight="1">
      <c r="A635" s="10"/>
      <c r="B635" s="11"/>
      <c r="C635" s="10"/>
      <c r="D635" s="11"/>
      <c r="E635" s="10"/>
      <c r="F635" s="1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0"/>
      <c r="V635" s="11"/>
      <c r="W635" s="10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2.75" customHeight="1">
      <c r="A636" s="10"/>
      <c r="B636" s="11"/>
      <c r="C636" s="10"/>
      <c r="D636" s="11"/>
      <c r="E636" s="10"/>
      <c r="F636" s="1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0"/>
      <c r="V636" s="11"/>
      <c r="W636" s="10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2.75" customHeight="1">
      <c r="A637" s="10"/>
      <c r="B637" s="11"/>
      <c r="C637" s="10"/>
      <c r="D637" s="11"/>
      <c r="E637" s="10"/>
      <c r="F637" s="1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0"/>
      <c r="V637" s="11"/>
      <c r="W637" s="10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2.75" customHeight="1">
      <c r="A638" s="10"/>
      <c r="B638" s="11"/>
      <c r="C638" s="10"/>
      <c r="D638" s="11"/>
      <c r="E638" s="10"/>
      <c r="F638" s="1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0"/>
      <c r="V638" s="11"/>
      <c r="W638" s="10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2.75" customHeight="1">
      <c r="A639" s="10"/>
      <c r="B639" s="11"/>
      <c r="C639" s="10"/>
      <c r="D639" s="11"/>
      <c r="E639" s="10"/>
      <c r="F639" s="1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0"/>
      <c r="V639" s="11"/>
      <c r="W639" s="10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2.75" customHeight="1">
      <c r="A640" s="10"/>
      <c r="B640" s="11"/>
      <c r="C640" s="10"/>
      <c r="D640" s="11"/>
      <c r="E640" s="10"/>
      <c r="F640" s="1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0"/>
      <c r="V640" s="11"/>
      <c r="W640" s="10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2.75" customHeight="1">
      <c r="A641" s="10"/>
      <c r="B641" s="11"/>
      <c r="C641" s="10"/>
      <c r="D641" s="11"/>
      <c r="E641" s="10"/>
      <c r="F641" s="1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0"/>
      <c r="V641" s="11"/>
      <c r="W641" s="10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2.75" customHeight="1">
      <c r="A642" s="10"/>
      <c r="B642" s="11"/>
      <c r="C642" s="10"/>
      <c r="D642" s="11"/>
      <c r="E642" s="10"/>
      <c r="F642" s="1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0"/>
      <c r="V642" s="11"/>
      <c r="W642" s="10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2.75" customHeight="1">
      <c r="A643" s="10"/>
      <c r="B643" s="11"/>
      <c r="C643" s="10"/>
      <c r="D643" s="11"/>
      <c r="E643" s="10"/>
      <c r="F643" s="1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0"/>
      <c r="V643" s="11"/>
      <c r="W643" s="10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2.75" customHeight="1">
      <c r="A644" s="10"/>
      <c r="B644" s="11"/>
      <c r="C644" s="10"/>
      <c r="D644" s="11"/>
      <c r="E644" s="10"/>
      <c r="F644" s="1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0"/>
      <c r="V644" s="11"/>
      <c r="W644" s="10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2.75" customHeight="1">
      <c r="A645" s="10"/>
      <c r="B645" s="11"/>
      <c r="C645" s="10"/>
      <c r="D645" s="11"/>
      <c r="E645" s="10"/>
      <c r="F645" s="1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0"/>
      <c r="V645" s="11"/>
      <c r="W645" s="10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2.75" customHeight="1">
      <c r="A646" s="10"/>
      <c r="B646" s="11"/>
      <c r="C646" s="10"/>
      <c r="D646" s="11"/>
      <c r="E646" s="10"/>
      <c r="F646" s="1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0"/>
      <c r="V646" s="11"/>
      <c r="W646" s="10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2.75" customHeight="1">
      <c r="A647" s="10"/>
      <c r="B647" s="11"/>
      <c r="C647" s="10"/>
      <c r="D647" s="11"/>
      <c r="E647" s="10"/>
      <c r="F647" s="1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0"/>
      <c r="V647" s="11"/>
      <c r="W647" s="10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2.75" customHeight="1">
      <c r="A648" s="10"/>
      <c r="B648" s="11"/>
      <c r="C648" s="10"/>
      <c r="D648" s="11"/>
      <c r="E648" s="10"/>
      <c r="F648" s="1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0"/>
      <c r="V648" s="11"/>
      <c r="W648" s="10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2.75" customHeight="1">
      <c r="A649" s="10"/>
      <c r="B649" s="11"/>
      <c r="C649" s="10"/>
      <c r="D649" s="11"/>
      <c r="E649" s="10"/>
      <c r="F649" s="1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0"/>
      <c r="V649" s="11"/>
      <c r="W649" s="10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2.75" customHeight="1">
      <c r="A650" s="10"/>
      <c r="B650" s="11"/>
      <c r="C650" s="10"/>
      <c r="D650" s="11"/>
      <c r="E650" s="10"/>
      <c r="F650" s="1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0"/>
      <c r="V650" s="11"/>
      <c r="W650" s="10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2.75" customHeight="1">
      <c r="A651" s="10"/>
      <c r="B651" s="11"/>
      <c r="C651" s="10"/>
      <c r="D651" s="11"/>
      <c r="E651" s="10"/>
      <c r="F651" s="1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0"/>
      <c r="V651" s="11"/>
      <c r="W651" s="10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2.75" customHeight="1">
      <c r="A652" s="10"/>
      <c r="B652" s="11"/>
      <c r="C652" s="10"/>
      <c r="D652" s="11"/>
      <c r="E652" s="10"/>
      <c r="F652" s="1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0"/>
      <c r="V652" s="11"/>
      <c r="W652" s="10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2.75" customHeight="1">
      <c r="A653" s="10"/>
      <c r="B653" s="11"/>
      <c r="C653" s="10"/>
      <c r="D653" s="11"/>
      <c r="E653" s="10"/>
      <c r="F653" s="1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0"/>
      <c r="V653" s="11"/>
      <c r="W653" s="10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2.75" customHeight="1">
      <c r="A654" s="10"/>
      <c r="B654" s="11"/>
      <c r="C654" s="10"/>
      <c r="D654" s="11"/>
      <c r="E654" s="10"/>
      <c r="F654" s="1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0"/>
      <c r="V654" s="11"/>
      <c r="W654" s="10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2.75" customHeight="1">
      <c r="A655" s="10"/>
      <c r="B655" s="11"/>
      <c r="C655" s="10"/>
      <c r="D655" s="11"/>
      <c r="E655" s="10"/>
      <c r="F655" s="1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0"/>
      <c r="V655" s="11"/>
      <c r="W655" s="10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2.75" customHeight="1">
      <c r="A656" s="10"/>
      <c r="B656" s="11"/>
      <c r="C656" s="10"/>
      <c r="D656" s="11"/>
      <c r="E656" s="10"/>
      <c r="F656" s="1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0"/>
      <c r="V656" s="11"/>
      <c r="W656" s="10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2.75" customHeight="1">
      <c r="A657" s="10"/>
      <c r="B657" s="11"/>
      <c r="C657" s="10"/>
      <c r="D657" s="11"/>
      <c r="E657" s="10"/>
      <c r="F657" s="1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0"/>
      <c r="V657" s="11"/>
      <c r="W657" s="10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2.75" customHeight="1">
      <c r="A658" s="10"/>
      <c r="B658" s="11"/>
      <c r="C658" s="10"/>
      <c r="D658" s="11"/>
      <c r="E658" s="10"/>
      <c r="F658" s="1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0"/>
      <c r="V658" s="11"/>
      <c r="W658" s="10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2.75" customHeight="1">
      <c r="A659" s="10"/>
      <c r="B659" s="11"/>
      <c r="C659" s="10"/>
      <c r="D659" s="11"/>
      <c r="E659" s="10"/>
      <c r="F659" s="1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0"/>
      <c r="V659" s="11"/>
      <c r="W659" s="10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2.75" customHeight="1">
      <c r="A660" s="10"/>
      <c r="B660" s="11"/>
      <c r="C660" s="10"/>
      <c r="D660" s="11"/>
      <c r="E660" s="10"/>
      <c r="F660" s="1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0"/>
      <c r="V660" s="11"/>
      <c r="W660" s="10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2.75" customHeight="1">
      <c r="A661" s="10"/>
      <c r="B661" s="11"/>
      <c r="C661" s="10"/>
      <c r="D661" s="11"/>
      <c r="E661" s="10"/>
      <c r="F661" s="1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0"/>
      <c r="V661" s="11"/>
      <c r="W661" s="10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2.75" customHeight="1">
      <c r="A662" s="10"/>
      <c r="B662" s="11"/>
      <c r="C662" s="10"/>
      <c r="D662" s="11"/>
      <c r="E662" s="10"/>
      <c r="F662" s="1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0"/>
      <c r="V662" s="11"/>
      <c r="W662" s="10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2.75" customHeight="1">
      <c r="A663" s="10"/>
      <c r="B663" s="11"/>
      <c r="C663" s="10"/>
      <c r="D663" s="11"/>
      <c r="E663" s="10"/>
      <c r="F663" s="1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0"/>
      <c r="V663" s="11"/>
      <c r="W663" s="10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2.75" customHeight="1">
      <c r="A664" s="10"/>
      <c r="B664" s="11"/>
      <c r="C664" s="10"/>
      <c r="D664" s="11"/>
      <c r="E664" s="10"/>
      <c r="F664" s="1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0"/>
      <c r="V664" s="11"/>
      <c r="W664" s="10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2.75" customHeight="1">
      <c r="A665" s="10"/>
      <c r="B665" s="11"/>
      <c r="C665" s="10"/>
      <c r="D665" s="11"/>
      <c r="E665" s="10"/>
      <c r="F665" s="1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0"/>
      <c r="V665" s="11"/>
      <c r="W665" s="10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2.75" customHeight="1">
      <c r="A666" s="10"/>
      <c r="B666" s="11"/>
      <c r="C666" s="10"/>
      <c r="D666" s="11"/>
      <c r="E666" s="10"/>
      <c r="F666" s="1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0"/>
      <c r="V666" s="11"/>
      <c r="W666" s="10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2.75" customHeight="1">
      <c r="A667" s="10"/>
      <c r="B667" s="11"/>
      <c r="C667" s="10"/>
      <c r="D667" s="11"/>
      <c r="E667" s="10"/>
      <c r="F667" s="1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0"/>
      <c r="V667" s="11"/>
      <c r="W667" s="10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2.75" customHeight="1">
      <c r="A668" s="10"/>
      <c r="B668" s="11"/>
      <c r="C668" s="10"/>
      <c r="D668" s="11"/>
      <c r="E668" s="10"/>
      <c r="F668" s="1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0"/>
      <c r="V668" s="11"/>
      <c r="W668" s="10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2.75" customHeight="1">
      <c r="A669" s="10"/>
      <c r="B669" s="11"/>
      <c r="C669" s="10"/>
      <c r="D669" s="11"/>
      <c r="E669" s="10"/>
      <c r="F669" s="1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0"/>
      <c r="V669" s="11"/>
      <c r="W669" s="10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2.75" customHeight="1">
      <c r="A670" s="10"/>
      <c r="B670" s="11"/>
      <c r="C670" s="10"/>
      <c r="D670" s="11"/>
      <c r="E670" s="10"/>
      <c r="F670" s="1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0"/>
      <c r="V670" s="11"/>
      <c r="W670" s="10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2.75" customHeight="1">
      <c r="A671" s="10"/>
      <c r="B671" s="11"/>
      <c r="C671" s="10"/>
      <c r="D671" s="11"/>
      <c r="E671" s="10"/>
      <c r="F671" s="1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0"/>
      <c r="V671" s="11"/>
      <c r="W671" s="10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2.75" customHeight="1">
      <c r="A672" s="10"/>
      <c r="B672" s="11"/>
      <c r="C672" s="10"/>
      <c r="D672" s="11"/>
      <c r="E672" s="10"/>
      <c r="F672" s="1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0"/>
      <c r="V672" s="11"/>
      <c r="W672" s="10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2.75" customHeight="1">
      <c r="A673" s="10"/>
      <c r="B673" s="11"/>
      <c r="C673" s="10"/>
      <c r="D673" s="11"/>
      <c r="E673" s="10"/>
      <c r="F673" s="1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0"/>
      <c r="V673" s="11"/>
      <c r="W673" s="10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2.75" customHeight="1">
      <c r="A674" s="10"/>
      <c r="B674" s="11"/>
      <c r="C674" s="10"/>
      <c r="D674" s="11"/>
      <c r="E674" s="10"/>
      <c r="F674" s="1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0"/>
      <c r="V674" s="11"/>
      <c r="W674" s="10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2.75" customHeight="1">
      <c r="A675" s="10"/>
      <c r="B675" s="11"/>
      <c r="C675" s="10"/>
      <c r="D675" s="11"/>
      <c r="E675" s="10"/>
      <c r="F675" s="1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0"/>
      <c r="V675" s="11"/>
      <c r="W675" s="10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2.75" customHeight="1">
      <c r="A676" s="10"/>
      <c r="B676" s="11"/>
      <c r="C676" s="10"/>
      <c r="D676" s="11"/>
      <c r="E676" s="10"/>
      <c r="F676" s="1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0"/>
      <c r="V676" s="11"/>
      <c r="W676" s="10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2.75" customHeight="1">
      <c r="A677" s="10"/>
      <c r="B677" s="11"/>
      <c r="C677" s="10"/>
      <c r="D677" s="11"/>
      <c r="E677" s="10"/>
      <c r="F677" s="1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0"/>
      <c r="V677" s="11"/>
      <c r="W677" s="10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2.75" customHeight="1">
      <c r="A678" s="10"/>
      <c r="B678" s="11"/>
      <c r="C678" s="10"/>
      <c r="D678" s="11"/>
      <c r="E678" s="10"/>
      <c r="F678" s="1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0"/>
      <c r="V678" s="11"/>
      <c r="W678" s="10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2.75" customHeight="1">
      <c r="A679" s="10"/>
      <c r="B679" s="11"/>
      <c r="C679" s="10"/>
      <c r="D679" s="11"/>
      <c r="E679" s="10"/>
      <c r="F679" s="1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0"/>
      <c r="V679" s="11"/>
      <c r="W679" s="10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2.75" customHeight="1">
      <c r="A680" s="10"/>
      <c r="B680" s="11"/>
      <c r="C680" s="10"/>
      <c r="D680" s="11"/>
      <c r="E680" s="10"/>
      <c r="F680" s="1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0"/>
      <c r="V680" s="11"/>
      <c r="W680" s="10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2.75" customHeight="1">
      <c r="A681" s="10"/>
      <c r="B681" s="11"/>
      <c r="C681" s="10"/>
      <c r="D681" s="11"/>
      <c r="E681" s="10"/>
      <c r="F681" s="1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0"/>
      <c r="V681" s="11"/>
      <c r="W681" s="10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2.75" customHeight="1">
      <c r="A682" s="10"/>
      <c r="B682" s="11"/>
      <c r="C682" s="10"/>
      <c r="D682" s="11"/>
      <c r="E682" s="10"/>
      <c r="F682" s="1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0"/>
      <c r="V682" s="11"/>
      <c r="W682" s="10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2.75" customHeight="1">
      <c r="A683" s="10"/>
      <c r="B683" s="11"/>
      <c r="C683" s="10"/>
      <c r="D683" s="11"/>
      <c r="E683" s="10"/>
      <c r="F683" s="1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0"/>
      <c r="V683" s="11"/>
      <c r="W683" s="10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2.75" customHeight="1">
      <c r="A684" s="10"/>
      <c r="B684" s="11"/>
      <c r="C684" s="10"/>
      <c r="D684" s="11"/>
      <c r="E684" s="10"/>
      <c r="F684" s="1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0"/>
      <c r="V684" s="11"/>
      <c r="W684" s="10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2.75" customHeight="1">
      <c r="A685" s="10"/>
      <c r="B685" s="11"/>
      <c r="C685" s="10"/>
      <c r="D685" s="11"/>
      <c r="E685" s="10"/>
      <c r="F685" s="1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0"/>
      <c r="V685" s="11"/>
      <c r="W685" s="10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2.75" customHeight="1">
      <c r="A686" s="10"/>
      <c r="B686" s="11"/>
      <c r="C686" s="10"/>
      <c r="D686" s="11"/>
      <c r="E686" s="10"/>
      <c r="F686" s="1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0"/>
      <c r="V686" s="11"/>
      <c r="W686" s="10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2.75" customHeight="1">
      <c r="A687" s="10"/>
      <c r="B687" s="11"/>
      <c r="C687" s="10"/>
      <c r="D687" s="11"/>
      <c r="E687" s="10"/>
      <c r="F687" s="1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0"/>
      <c r="V687" s="11"/>
      <c r="W687" s="10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2.75" customHeight="1">
      <c r="A688" s="10"/>
      <c r="B688" s="11"/>
      <c r="C688" s="10"/>
      <c r="D688" s="11"/>
      <c r="E688" s="10"/>
      <c r="F688" s="1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0"/>
      <c r="V688" s="11"/>
      <c r="W688" s="10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2.75" customHeight="1">
      <c r="A689" s="10"/>
      <c r="B689" s="11"/>
      <c r="C689" s="10"/>
      <c r="D689" s="11"/>
      <c r="E689" s="10"/>
      <c r="F689" s="1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0"/>
      <c r="V689" s="11"/>
      <c r="W689" s="10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2.75" customHeight="1">
      <c r="A690" s="10"/>
      <c r="B690" s="11"/>
      <c r="C690" s="10"/>
      <c r="D690" s="11"/>
      <c r="E690" s="10"/>
      <c r="F690" s="1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0"/>
      <c r="V690" s="11"/>
      <c r="W690" s="10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2.75" customHeight="1">
      <c r="A691" s="10"/>
      <c r="B691" s="11"/>
      <c r="C691" s="10"/>
      <c r="D691" s="11"/>
      <c r="E691" s="10"/>
      <c r="F691" s="1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0"/>
      <c r="V691" s="11"/>
      <c r="W691" s="10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2.75" customHeight="1">
      <c r="A692" s="10"/>
      <c r="B692" s="11"/>
      <c r="C692" s="10"/>
      <c r="D692" s="11"/>
      <c r="E692" s="10"/>
      <c r="F692" s="1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0"/>
      <c r="V692" s="11"/>
      <c r="W692" s="10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2.75" customHeight="1">
      <c r="A693" s="10"/>
      <c r="B693" s="11"/>
      <c r="C693" s="10"/>
      <c r="D693" s="11"/>
      <c r="E693" s="10"/>
      <c r="F693" s="1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0"/>
      <c r="V693" s="11"/>
      <c r="W693" s="10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2.75" customHeight="1">
      <c r="A694" s="10"/>
      <c r="B694" s="11"/>
      <c r="C694" s="10"/>
      <c r="D694" s="11"/>
      <c r="E694" s="10"/>
      <c r="F694" s="1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0"/>
      <c r="V694" s="11"/>
      <c r="W694" s="10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2.75" customHeight="1">
      <c r="A695" s="10"/>
      <c r="B695" s="11"/>
      <c r="C695" s="10"/>
      <c r="D695" s="11"/>
      <c r="E695" s="10"/>
      <c r="F695" s="1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0"/>
      <c r="V695" s="11"/>
      <c r="W695" s="10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2.75" customHeight="1">
      <c r="A696" s="10"/>
      <c r="B696" s="11"/>
      <c r="C696" s="10"/>
      <c r="D696" s="11"/>
      <c r="E696" s="10"/>
      <c r="F696" s="1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0"/>
      <c r="V696" s="11"/>
      <c r="W696" s="10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2.75" customHeight="1">
      <c r="A697" s="10"/>
      <c r="B697" s="11"/>
      <c r="C697" s="10"/>
      <c r="D697" s="11"/>
      <c r="E697" s="10"/>
      <c r="F697" s="1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0"/>
      <c r="V697" s="11"/>
      <c r="W697" s="10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2.75" customHeight="1">
      <c r="A698" s="10"/>
      <c r="B698" s="11"/>
      <c r="C698" s="10"/>
      <c r="D698" s="11"/>
      <c r="E698" s="10"/>
      <c r="F698" s="1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0"/>
      <c r="V698" s="11"/>
      <c r="W698" s="10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2.75" customHeight="1">
      <c r="A699" s="10"/>
      <c r="B699" s="11"/>
      <c r="C699" s="10"/>
      <c r="D699" s="11"/>
      <c r="E699" s="10"/>
      <c r="F699" s="1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0"/>
      <c r="V699" s="11"/>
      <c r="W699" s="10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2.75" customHeight="1">
      <c r="A700" s="10"/>
      <c r="B700" s="11"/>
      <c r="C700" s="10"/>
      <c r="D700" s="11"/>
      <c r="E700" s="10"/>
      <c r="F700" s="1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0"/>
      <c r="V700" s="11"/>
      <c r="W700" s="10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2.75" customHeight="1">
      <c r="A701" s="10"/>
      <c r="B701" s="11"/>
      <c r="C701" s="10"/>
      <c r="D701" s="11"/>
      <c r="E701" s="10"/>
      <c r="F701" s="1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0"/>
      <c r="V701" s="11"/>
      <c r="W701" s="10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2.75" customHeight="1">
      <c r="A702" s="10"/>
      <c r="B702" s="11"/>
      <c r="C702" s="10"/>
      <c r="D702" s="11"/>
      <c r="E702" s="10"/>
      <c r="F702" s="1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0"/>
      <c r="V702" s="11"/>
      <c r="W702" s="10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2.75" customHeight="1">
      <c r="A703" s="10"/>
      <c r="B703" s="11"/>
      <c r="C703" s="10"/>
      <c r="D703" s="11"/>
      <c r="E703" s="10"/>
      <c r="F703" s="1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0"/>
      <c r="V703" s="11"/>
      <c r="W703" s="10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2.75" customHeight="1">
      <c r="A704" s="10"/>
      <c r="B704" s="11"/>
      <c r="C704" s="10"/>
      <c r="D704" s="11"/>
      <c r="E704" s="10"/>
      <c r="F704" s="1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0"/>
      <c r="V704" s="11"/>
      <c r="W704" s="10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2.75" customHeight="1">
      <c r="A705" s="10"/>
      <c r="B705" s="11"/>
      <c r="C705" s="10"/>
      <c r="D705" s="11"/>
      <c r="E705" s="10"/>
      <c r="F705" s="1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0"/>
      <c r="V705" s="11"/>
      <c r="W705" s="10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2.75" customHeight="1">
      <c r="A706" s="10"/>
      <c r="B706" s="11"/>
      <c r="C706" s="10"/>
      <c r="D706" s="11"/>
      <c r="E706" s="10"/>
      <c r="F706" s="1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0"/>
      <c r="V706" s="11"/>
      <c r="W706" s="10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2.75" customHeight="1">
      <c r="A707" s="10"/>
      <c r="B707" s="11"/>
      <c r="C707" s="10"/>
      <c r="D707" s="11"/>
      <c r="E707" s="10"/>
      <c r="F707" s="1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0"/>
      <c r="V707" s="11"/>
      <c r="W707" s="10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2.75" customHeight="1">
      <c r="A708" s="10"/>
      <c r="B708" s="11"/>
      <c r="C708" s="10"/>
      <c r="D708" s="11"/>
      <c r="E708" s="10"/>
      <c r="F708" s="1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0"/>
      <c r="V708" s="11"/>
      <c r="W708" s="10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2.75" customHeight="1">
      <c r="A709" s="10"/>
      <c r="B709" s="11"/>
      <c r="C709" s="10"/>
      <c r="D709" s="11"/>
      <c r="E709" s="10"/>
      <c r="F709" s="1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0"/>
      <c r="V709" s="11"/>
      <c r="W709" s="10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2.75" customHeight="1">
      <c r="A710" s="10"/>
      <c r="B710" s="11"/>
      <c r="C710" s="10"/>
      <c r="D710" s="11"/>
      <c r="E710" s="10"/>
      <c r="F710" s="1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0"/>
      <c r="V710" s="11"/>
      <c r="W710" s="10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2.75" customHeight="1">
      <c r="A711" s="10"/>
      <c r="B711" s="11"/>
      <c r="C711" s="10"/>
      <c r="D711" s="11"/>
      <c r="E711" s="10"/>
      <c r="F711" s="1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0"/>
      <c r="V711" s="11"/>
      <c r="W711" s="10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2.75" customHeight="1">
      <c r="A712" s="10"/>
      <c r="B712" s="11"/>
      <c r="C712" s="10"/>
      <c r="D712" s="11"/>
      <c r="E712" s="10"/>
      <c r="F712" s="1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0"/>
      <c r="V712" s="11"/>
      <c r="W712" s="10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2.75" customHeight="1">
      <c r="A713" s="10"/>
      <c r="B713" s="11"/>
      <c r="C713" s="10"/>
      <c r="D713" s="11"/>
      <c r="E713" s="10"/>
      <c r="F713" s="1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0"/>
      <c r="V713" s="11"/>
      <c r="W713" s="10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2.75" customHeight="1">
      <c r="A714" s="10"/>
      <c r="B714" s="11"/>
      <c r="C714" s="10"/>
      <c r="D714" s="11"/>
      <c r="E714" s="10"/>
      <c r="F714" s="1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0"/>
      <c r="V714" s="11"/>
      <c r="W714" s="10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2.75" customHeight="1">
      <c r="A715" s="10"/>
      <c r="B715" s="11"/>
      <c r="C715" s="10"/>
      <c r="D715" s="11"/>
      <c r="E715" s="10"/>
      <c r="F715" s="1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0"/>
      <c r="V715" s="11"/>
      <c r="W715" s="10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2.75" customHeight="1">
      <c r="A716" s="10"/>
      <c r="B716" s="11"/>
      <c r="C716" s="10"/>
      <c r="D716" s="11"/>
      <c r="E716" s="10"/>
      <c r="F716" s="1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0"/>
      <c r="V716" s="11"/>
      <c r="W716" s="10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2.75" customHeight="1">
      <c r="A717" s="10"/>
      <c r="B717" s="11"/>
      <c r="C717" s="10"/>
      <c r="D717" s="11"/>
      <c r="E717" s="10"/>
      <c r="F717" s="1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0"/>
      <c r="V717" s="11"/>
      <c r="W717" s="10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2.75" customHeight="1">
      <c r="A718" s="10"/>
      <c r="B718" s="11"/>
      <c r="C718" s="10"/>
      <c r="D718" s="11"/>
      <c r="E718" s="10"/>
      <c r="F718" s="1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0"/>
      <c r="V718" s="11"/>
      <c r="W718" s="10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2.75" customHeight="1">
      <c r="A719" s="10"/>
      <c r="B719" s="11"/>
      <c r="C719" s="10"/>
      <c r="D719" s="11"/>
      <c r="E719" s="10"/>
      <c r="F719" s="1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0"/>
      <c r="V719" s="11"/>
      <c r="W719" s="10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2.75" customHeight="1">
      <c r="A720" s="10"/>
      <c r="B720" s="11"/>
      <c r="C720" s="10"/>
      <c r="D720" s="11"/>
      <c r="E720" s="10"/>
      <c r="F720" s="1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0"/>
      <c r="V720" s="11"/>
      <c r="W720" s="10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2.75" customHeight="1">
      <c r="A721" s="10"/>
      <c r="B721" s="11"/>
      <c r="C721" s="10"/>
      <c r="D721" s="11"/>
      <c r="E721" s="10"/>
      <c r="F721" s="1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0"/>
      <c r="V721" s="11"/>
      <c r="W721" s="10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2.75" customHeight="1">
      <c r="A722" s="10"/>
      <c r="B722" s="11"/>
      <c r="C722" s="10"/>
      <c r="D722" s="11"/>
      <c r="E722" s="10"/>
      <c r="F722" s="1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0"/>
      <c r="V722" s="11"/>
      <c r="W722" s="10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2.75" customHeight="1">
      <c r="A723" s="10"/>
      <c r="B723" s="11"/>
      <c r="C723" s="10"/>
      <c r="D723" s="11"/>
      <c r="E723" s="10"/>
      <c r="F723" s="1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0"/>
      <c r="V723" s="11"/>
      <c r="W723" s="10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2.75" customHeight="1">
      <c r="A724" s="10"/>
      <c r="B724" s="11"/>
      <c r="C724" s="10"/>
      <c r="D724" s="11"/>
      <c r="E724" s="10"/>
      <c r="F724" s="1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0"/>
      <c r="V724" s="11"/>
      <c r="W724" s="10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2.75" customHeight="1">
      <c r="A725" s="10"/>
      <c r="B725" s="11"/>
      <c r="C725" s="10"/>
      <c r="D725" s="11"/>
      <c r="E725" s="10"/>
      <c r="F725" s="1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0"/>
      <c r="V725" s="11"/>
      <c r="W725" s="10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2.75" customHeight="1">
      <c r="A726" s="10"/>
      <c r="B726" s="11"/>
      <c r="C726" s="10"/>
      <c r="D726" s="11"/>
      <c r="E726" s="10"/>
      <c r="F726" s="1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0"/>
      <c r="V726" s="11"/>
      <c r="W726" s="10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2.75" customHeight="1">
      <c r="A727" s="10"/>
      <c r="B727" s="11"/>
      <c r="C727" s="10"/>
      <c r="D727" s="11"/>
      <c r="E727" s="10"/>
      <c r="F727" s="1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0"/>
      <c r="V727" s="11"/>
      <c r="W727" s="10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2.75" customHeight="1">
      <c r="A728" s="10"/>
      <c r="B728" s="11"/>
      <c r="C728" s="10"/>
      <c r="D728" s="11"/>
      <c r="E728" s="10"/>
      <c r="F728" s="1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0"/>
      <c r="V728" s="11"/>
      <c r="W728" s="10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2.75" customHeight="1">
      <c r="A729" s="10"/>
      <c r="B729" s="11"/>
      <c r="C729" s="10"/>
      <c r="D729" s="11"/>
      <c r="E729" s="10"/>
      <c r="F729" s="1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0"/>
      <c r="V729" s="11"/>
      <c r="W729" s="10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2.75" customHeight="1">
      <c r="A730" s="10"/>
      <c r="B730" s="11"/>
      <c r="C730" s="10"/>
      <c r="D730" s="11"/>
      <c r="E730" s="10"/>
      <c r="F730" s="1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0"/>
      <c r="V730" s="11"/>
      <c r="W730" s="10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2.75" customHeight="1">
      <c r="A731" s="10"/>
      <c r="B731" s="11"/>
      <c r="C731" s="10"/>
      <c r="D731" s="11"/>
      <c r="E731" s="10"/>
      <c r="F731" s="1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0"/>
      <c r="V731" s="11"/>
      <c r="W731" s="10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2.75" customHeight="1">
      <c r="A732" s="10"/>
      <c r="B732" s="11"/>
      <c r="C732" s="10"/>
      <c r="D732" s="11"/>
      <c r="E732" s="10"/>
      <c r="F732" s="1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0"/>
      <c r="V732" s="11"/>
      <c r="W732" s="10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2.75" customHeight="1">
      <c r="A733" s="10"/>
      <c r="B733" s="11"/>
      <c r="C733" s="10"/>
      <c r="D733" s="11"/>
      <c r="E733" s="10"/>
      <c r="F733" s="1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0"/>
      <c r="V733" s="11"/>
      <c r="W733" s="10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2.75" customHeight="1">
      <c r="A734" s="10"/>
      <c r="B734" s="11"/>
      <c r="C734" s="10"/>
      <c r="D734" s="11"/>
      <c r="E734" s="10"/>
      <c r="F734" s="1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0"/>
      <c r="V734" s="11"/>
      <c r="W734" s="10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2.75" customHeight="1">
      <c r="A735" s="10"/>
      <c r="B735" s="11"/>
      <c r="C735" s="10"/>
      <c r="D735" s="11"/>
      <c r="E735" s="10"/>
      <c r="F735" s="1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0"/>
      <c r="V735" s="11"/>
      <c r="W735" s="10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2.75" customHeight="1">
      <c r="A736" s="10"/>
      <c r="B736" s="11"/>
      <c r="C736" s="10"/>
      <c r="D736" s="11"/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0"/>
      <c r="V736" s="11"/>
      <c r="W736" s="10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2.75" customHeight="1">
      <c r="A737" s="10"/>
      <c r="B737" s="11"/>
      <c r="C737" s="10"/>
      <c r="D737" s="11"/>
      <c r="E737" s="10"/>
      <c r="F737" s="1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0"/>
      <c r="V737" s="11"/>
      <c r="W737" s="10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2.75" customHeight="1">
      <c r="A738" s="10"/>
      <c r="B738" s="11"/>
      <c r="C738" s="10"/>
      <c r="D738" s="11"/>
      <c r="E738" s="10"/>
      <c r="F738" s="1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0"/>
      <c r="V738" s="11"/>
      <c r="W738" s="10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2.75" customHeight="1">
      <c r="A739" s="10"/>
      <c r="B739" s="11"/>
      <c r="C739" s="10"/>
      <c r="D739" s="11"/>
      <c r="E739" s="10"/>
      <c r="F739" s="1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0"/>
      <c r="V739" s="11"/>
      <c r="W739" s="10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2.75" customHeight="1">
      <c r="A740" s="10"/>
      <c r="B740" s="11"/>
      <c r="C740" s="10"/>
      <c r="D740" s="11"/>
      <c r="E740" s="10"/>
      <c r="F740" s="1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0"/>
      <c r="V740" s="11"/>
      <c r="W740" s="10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2.75" customHeight="1">
      <c r="A741" s="10"/>
      <c r="B741" s="11"/>
      <c r="C741" s="10"/>
      <c r="D741" s="11"/>
      <c r="E741" s="10"/>
      <c r="F741" s="1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0"/>
      <c r="V741" s="11"/>
      <c r="W741" s="10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2.75" customHeight="1">
      <c r="A742" s="10"/>
      <c r="B742" s="11"/>
      <c r="C742" s="10"/>
      <c r="D742" s="11"/>
      <c r="E742" s="10"/>
      <c r="F742" s="1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0"/>
      <c r="V742" s="11"/>
      <c r="W742" s="10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2.75" customHeight="1">
      <c r="A743" s="10"/>
      <c r="B743" s="11"/>
      <c r="C743" s="10"/>
      <c r="D743" s="11"/>
      <c r="E743" s="10"/>
      <c r="F743" s="1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0"/>
      <c r="V743" s="11"/>
      <c r="W743" s="10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2.75" customHeight="1">
      <c r="A744" s="10"/>
      <c r="B744" s="11"/>
      <c r="C744" s="10"/>
      <c r="D744" s="11"/>
      <c r="E744" s="10"/>
      <c r="F744" s="1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0"/>
      <c r="V744" s="11"/>
      <c r="W744" s="10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2.75" customHeight="1">
      <c r="A745" s="10"/>
      <c r="B745" s="11"/>
      <c r="C745" s="10"/>
      <c r="D745" s="11"/>
      <c r="E745" s="10"/>
      <c r="F745" s="1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0"/>
      <c r="V745" s="11"/>
      <c r="W745" s="10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2.75" customHeight="1">
      <c r="A746" s="10"/>
      <c r="B746" s="11"/>
      <c r="C746" s="10"/>
      <c r="D746" s="11"/>
      <c r="E746" s="10"/>
      <c r="F746" s="1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0"/>
      <c r="V746" s="11"/>
      <c r="W746" s="10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2.75" customHeight="1">
      <c r="A747" s="10"/>
      <c r="B747" s="11"/>
      <c r="C747" s="10"/>
      <c r="D747" s="11"/>
      <c r="E747" s="10"/>
      <c r="F747" s="1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0"/>
      <c r="V747" s="11"/>
      <c r="W747" s="10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2.75" customHeight="1">
      <c r="A748" s="10"/>
      <c r="B748" s="11"/>
      <c r="C748" s="10"/>
      <c r="D748" s="11"/>
      <c r="E748" s="10"/>
      <c r="F748" s="1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0"/>
      <c r="V748" s="11"/>
      <c r="W748" s="10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2.75" customHeight="1">
      <c r="A749" s="10"/>
      <c r="B749" s="11"/>
      <c r="C749" s="10"/>
      <c r="D749" s="11"/>
      <c r="E749" s="10"/>
      <c r="F749" s="1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0"/>
      <c r="V749" s="11"/>
      <c r="W749" s="10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2.75" customHeight="1">
      <c r="A750" s="10"/>
      <c r="B750" s="11"/>
      <c r="C750" s="10"/>
      <c r="D750" s="11"/>
      <c r="E750" s="10"/>
      <c r="F750" s="1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0"/>
      <c r="V750" s="11"/>
      <c r="W750" s="10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2.75" customHeight="1">
      <c r="A751" s="10"/>
      <c r="B751" s="11"/>
      <c r="C751" s="10"/>
      <c r="D751" s="11"/>
      <c r="E751" s="10"/>
      <c r="F751" s="1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0"/>
      <c r="V751" s="11"/>
      <c r="W751" s="10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2.75" customHeight="1">
      <c r="A752" s="10"/>
      <c r="B752" s="11"/>
      <c r="C752" s="10"/>
      <c r="D752" s="11"/>
      <c r="E752" s="10"/>
      <c r="F752" s="1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0"/>
      <c r="V752" s="11"/>
      <c r="W752" s="10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2.75" customHeight="1">
      <c r="A753" s="10"/>
      <c r="B753" s="11"/>
      <c r="C753" s="10"/>
      <c r="D753" s="11"/>
      <c r="E753" s="10"/>
      <c r="F753" s="1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0"/>
      <c r="V753" s="11"/>
      <c r="W753" s="10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2.75" customHeight="1">
      <c r="A754" s="10"/>
      <c r="B754" s="11"/>
      <c r="C754" s="10"/>
      <c r="D754" s="11"/>
      <c r="E754" s="10"/>
      <c r="F754" s="1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0"/>
      <c r="V754" s="11"/>
      <c r="W754" s="10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2.75" customHeight="1">
      <c r="A755" s="10"/>
      <c r="B755" s="11"/>
      <c r="C755" s="10"/>
      <c r="D755" s="11"/>
      <c r="E755" s="10"/>
      <c r="F755" s="1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0"/>
      <c r="V755" s="11"/>
      <c r="W755" s="10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2.75" customHeight="1">
      <c r="A756" s="10"/>
      <c r="B756" s="11"/>
      <c r="C756" s="10"/>
      <c r="D756" s="11"/>
      <c r="E756" s="10"/>
      <c r="F756" s="1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0"/>
      <c r="V756" s="11"/>
      <c r="W756" s="10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2.75" customHeight="1">
      <c r="A757" s="10"/>
      <c r="B757" s="11"/>
      <c r="C757" s="10"/>
      <c r="D757" s="11"/>
      <c r="E757" s="10"/>
      <c r="F757" s="1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0"/>
      <c r="V757" s="11"/>
      <c r="W757" s="10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2.75" customHeight="1">
      <c r="A758" s="10"/>
      <c r="B758" s="11"/>
      <c r="C758" s="10"/>
      <c r="D758" s="11"/>
      <c r="E758" s="10"/>
      <c r="F758" s="1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0"/>
      <c r="V758" s="11"/>
      <c r="W758" s="10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2.75" customHeight="1">
      <c r="A759" s="10"/>
      <c r="B759" s="11"/>
      <c r="C759" s="10"/>
      <c r="D759" s="11"/>
      <c r="E759" s="10"/>
      <c r="F759" s="1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0"/>
      <c r="V759" s="11"/>
      <c r="W759" s="10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2.75" customHeight="1">
      <c r="A760" s="10"/>
      <c r="B760" s="11"/>
      <c r="C760" s="10"/>
      <c r="D760" s="11"/>
      <c r="E760" s="10"/>
      <c r="F760" s="1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0"/>
      <c r="V760" s="11"/>
      <c r="W760" s="10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2.75" customHeight="1">
      <c r="A761" s="10"/>
      <c r="B761" s="11"/>
      <c r="C761" s="10"/>
      <c r="D761" s="11"/>
      <c r="E761" s="10"/>
      <c r="F761" s="1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0"/>
      <c r="V761" s="11"/>
      <c r="W761" s="10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2.75" customHeight="1">
      <c r="A762" s="10"/>
      <c r="B762" s="11"/>
      <c r="C762" s="10"/>
      <c r="D762" s="11"/>
      <c r="E762" s="10"/>
      <c r="F762" s="1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0"/>
      <c r="V762" s="11"/>
      <c r="W762" s="10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2.75" customHeight="1">
      <c r="A763" s="10"/>
      <c r="B763" s="11"/>
      <c r="C763" s="10"/>
      <c r="D763" s="11"/>
      <c r="E763" s="10"/>
      <c r="F763" s="1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0"/>
      <c r="V763" s="11"/>
      <c r="W763" s="10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2.75" customHeight="1">
      <c r="A764" s="10"/>
      <c r="B764" s="11"/>
      <c r="C764" s="10"/>
      <c r="D764" s="11"/>
      <c r="E764" s="10"/>
      <c r="F764" s="1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0"/>
      <c r="V764" s="11"/>
      <c r="W764" s="10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2.75" customHeight="1">
      <c r="A765" s="10"/>
      <c r="B765" s="11"/>
      <c r="C765" s="10"/>
      <c r="D765" s="11"/>
      <c r="E765" s="10"/>
      <c r="F765" s="1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0"/>
      <c r="V765" s="11"/>
      <c r="W765" s="10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2.75" customHeight="1">
      <c r="A766" s="10"/>
      <c r="B766" s="11"/>
      <c r="C766" s="10"/>
      <c r="D766" s="11"/>
      <c r="E766" s="10"/>
      <c r="F766" s="1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0"/>
      <c r="V766" s="11"/>
      <c r="W766" s="10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2.75" customHeight="1">
      <c r="A767" s="10"/>
      <c r="B767" s="11"/>
      <c r="C767" s="10"/>
      <c r="D767" s="11"/>
      <c r="E767" s="10"/>
      <c r="F767" s="1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0"/>
      <c r="V767" s="11"/>
      <c r="W767" s="10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2.75" customHeight="1">
      <c r="A768" s="10"/>
      <c r="B768" s="11"/>
      <c r="C768" s="10"/>
      <c r="D768" s="11"/>
      <c r="E768" s="10"/>
      <c r="F768" s="1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0"/>
      <c r="V768" s="11"/>
      <c r="W768" s="10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2.75" customHeight="1">
      <c r="A769" s="10"/>
      <c r="B769" s="11"/>
      <c r="C769" s="10"/>
      <c r="D769" s="11"/>
      <c r="E769" s="10"/>
      <c r="F769" s="1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0"/>
      <c r="V769" s="11"/>
      <c r="W769" s="10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2.75" customHeight="1">
      <c r="A770" s="10"/>
      <c r="B770" s="11"/>
      <c r="C770" s="10"/>
      <c r="D770" s="11"/>
      <c r="E770" s="10"/>
      <c r="F770" s="1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0"/>
      <c r="V770" s="11"/>
      <c r="W770" s="10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2.75" customHeight="1">
      <c r="A771" s="10"/>
      <c r="B771" s="11"/>
      <c r="C771" s="10"/>
      <c r="D771" s="11"/>
      <c r="E771" s="10"/>
      <c r="F771" s="1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0"/>
      <c r="V771" s="11"/>
      <c r="W771" s="10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2.75" customHeight="1">
      <c r="A772" s="10"/>
      <c r="B772" s="11"/>
      <c r="C772" s="10"/>
      <c r="D772" s="11"/>
      <c r="E772" s="10"/>
      <c r="F772" s="1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0"/>
      <c r="V772" s="11"/>
      <c r="W772" s="10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2.75" customHeight="1">
      <c r="A773" s="10"/>
      <c r="B773" s="11"/>
      <c r="C773" s="10"/>
      <c r="D773" s="11"/>
      <c r="E773" s="10"/>
      <c r="F773" s="1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0"/>
      <c r="V773" s="11"/>
      <c r="W773" s="10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2.75" customHeight="1">
      <c r="A774" s="10"/>
      <c r="B774" s="11"/>
      <c r="C774" s="10"/>
      <c r="D774" s="11"/>
      <c r="E774" s="10"/>
      <c r="F774" s="1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0"/>
      <c r="V774" s="11"/>
      <c r="W774" s="10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2.75" customHeight="1">
      <c r="A775" s="10"/>
      <c r="B775" s="11"/>
      <c r="C775" s="10"/>
      <c r="D775" s="11"/>
      <c r="E775" s="10"/>
      <c r="F775" s="1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0"/>
      <c r="V775" s="11"/>
      <c r="W775" s="10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2.75" customHeight="1">
      <c r="A776" s="10"/>
      <c r="B776" s="11"/>
      <c r="C776" s="10"/>
      <c r="D776" s="11"/>
      <c r="E776" s="10"/>
      <c r="F776" s="1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0"/>
      <c r="V776" s="11"/>
      <c r="W776" s="10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2.75" customHeight="1">
      <c r="A777" s="10"/>
      <c r="B777" s="11"/>
      <c r="C777" s="10"/>
      <c r="D777" s="11"/>
      <c r="E777" s="10"/>
      <c r="F777" s="1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0"/>
      <c r="V777" s="11"/>
      <c r="W777" s="10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2.75" customHeight="1">
      <c r="A778" s="10"/>
      <c r="B778" s="11"/>
      <c r="C778" s="10"/>
      <c r="D778" s="11"/>
      <c r="E778" s="10"/>
      <c r="F778" s="1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0"/>
      <c r="V778" s="11"/>
      <c r="W778" s="10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2.75" customHeight="1">
      <c r="A779" s="10"/>
      <c r="B779" s="11"/>
      <c r="C779" s="10"/>
      <c r="D779" s="11"/>
      <c r="E779" s="10"/>
      <c r="F779" s="1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0"/>
      <c r="V779" s="11"/>
      <c r="W779" s="10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2.75" customHeight="1">
      <c r="A780" s="10"/>
      <c r="B780" s="11"/>
      <c r="C780" s="10"/>
      <c r="D780" s="11"/>
      <c r="E780" s="10"/>
      <c r="F780" s="1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0"/>
      <c r="V780" s="11"/>
      <c r="W780" s="10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2.75" customHeight="1">
      <c r="A781" s="10"/>
      <c r="B781" s="11"/>
      <c r="C781" s="10"/>
      <c r="D781" s="11"/>
      <c r="E781" s="10"/>
      <c r="F781" s="1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0"/>
      <c r="V781" s="11"/>
      <c r="W781" s="10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2.75" customHeight="1">
      <c r="A782" s="10"/>
      <c r="B782" s="11"/>
      <c r="C782" s="10"/>
      <c r="D782" s="11"/>
      <c r="E782" s="10"/>
      <c r="F782" s="1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0"/>
      <c r="V782" s="11"/>
      <c r="W782" s="10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2.75" customHeight="1">
      <c r="A783" s="10"/>
      <c r="B783" s="11"/>
      <c r="C783" s="10"/>
      <c r="D783" s="11"/>
      <c r="E783" s="10"/>
      <c r="F783" s="1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0"/>
      <c r="V783" s="11"/>
      <c r="W783" s="10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2.75" customHeight="1">
      <c r="A784" s="10"/>
      <c r="B784" s="11"/>
      <c r="C784" s="10"/>
      <c r="D784" s="11"/>
      <c r="E784" s="10"/>
      <c r="F784" s="1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0"/>
      <c r="V784" s="11"/>
      <c r="W784" s="10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2.75" customHeight="1">
      <c r="A785" s="10"/>
      <c r="B785" s="11"/>
      <c r="C785" s="10"/>
      <c r="D785" s="11"/>
      <c r="E785" s="10"/>
      <c r="F785" s="1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0"/>
      <c r="V785" s="11"/>
      <c r="W785" s="10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2.75" customHeight="1">
      <c r="A786" s="10"/>
      <c r="B786" s="11"/>
      <c r="C786" s="10"/>
      <c r="D786" s="11"/>
      <c r="E786" s="10"/>
      <c r="F786" s="1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0"/>
      <c r="V786" s="11"/>
      <c r="W786" s="10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2.75" customHeight="1">
      <c r="A787" s="10"/>
      <c r="B787" s="11"/>
      <c r="C787" s="10"/>
      <c r="D787" s="11"/>
      <c r="E787" s="10"/>
      <c r="F787" s="1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0"/>
      <c r="V787" s="11"/>
      <c r="W787" s="10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2.75" customHeight="1">
      <c r="A788" s="10"/>
      <c r="B788" s="11"/>
      <c r="C788" s="10"/>
      <c r="D788" s="11"/>
      <c r="E788" s="10"/>
      <c r="F788" s="1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0"/>
      <c r="V788" s="11"/>
      <c r="W788" s="10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2.75" customHeight="1">
      <c r="A789" s="10"/>
      <c r="B789" s="11"/>
      <c r="C789" s="10"/>
      <c r="D789" s="11"/>
      <c r="E789" s="10"/>
      <c r="F789" s="1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0"/>
      <c r="V789" s="11"/>
      <c r="W789" s="10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2.75" customHeight="1">
      <c r="A790" s="10"/>
      <c r="B790" s="11"/>
      <c r="C790" s="10"/>
      <c r="D790" s="11"/>
      <c r="E790" s="10"/>
      <c r="F790" s="1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0"/>
      <c r="V790" s="11"/>
      <c r="W790" s="10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2.75" customHeight="1">
      <c r="A791" s="10"/>
      <c r="B791" s="11"/>
      <c r="C791" s="10"/>
      <c r="D791" s="11"/>
      <c r="E791" s="10"/>
      <c r="F791" s="1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0"/>
      <c r="V791" s="11"/>
      <c r="W791" s="10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2.75" customHeight="1">
      <c r="A792" s="10"/>
      <c r="B792" s="11"/>
      <c r="C792" s="10"/>
      <c r="D792" s="11"/>
      <c r="E792" s="10"/>
      <c r="F792" s="1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0"/>
      <c r="V792" s="11"/>
      <c r="W792" s="10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2.75" customHeight="1">
      <c r="A793" s="10"/>
      <c r="B793" s="11"/>
      <c r="C793" s="10"/>
      <c r="D793" s="11"/>
      <c r="E793" s="10"/>
      <c r="F793" s="1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0"/>
      <c r="V793" s="11"/>
      <c r="W793" s="10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2.75" customHeight="1">
      <c r="A794" s="10"/>
      <c r="B794" s="11"/>
      <c r="C794" s="10"/>
      <c r="D794" s="11"/>
      <c r="E794" s="10"/>
      <c r="F794" s="1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0"/>
      <c r="V794" s="11"/>
      <c r="W794" s="10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2.75" customHeight="1">
      <c r="A795" s="10"/>
      <c r="B795" s="11"/>
      <c r="C795" s="10"/>
      <c r="D795" s="11"/>
      <c r="E795" s="10"/>
      <c r="F795" s="1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0"/>
      <c r="V795" s="11"/>
      <c r="W795" s="10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2.75" customHeight="1">
      <c r="A796" s="10"/>
      <c r="B796" s="11"/>
      <c r="C796" s="10"/>
      <c r="D796" s="11"/>
      <c r="E796" s="10"/>
      <c r="F796" s="1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0"/>
      <c r="V796" s="11"/>
      <c r="W796" s="10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2.75" customHeight="1">
      <c r="A797" s="10"/>
      <c r="B797" s="11"/>
      <c r="C797" s="10"/>
      <c r="D797" s="11"/>
      <c r="E797" s="10"/>
      <c r="F797" s="1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0"/>
      <c r="V797" s="11"/>
      <c r="W797" s="10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2.75" customHeight="1">
      <c r="A798" s="10"/>
      <c r="B798" s="11"/>
      <c r="C798" s="10"/>
      <c r="D798" s="11"/>
      <c r="E798" s="10"/>
      <c r="F798" s="1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0"/>
      <c r="V798" s="11"/>
      <c r="W798" s="10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2.75" customHeight="1">
      <c r="A799" s="10"/>
      <c r="B799" s="11"/>
      <c r="C799" s="10"/>
      <c r="D799" s="11"/>
      <c r="E799" s="10"/>
      <c r="F799" s="1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0"/>
      <c r="V799" s="11"/>
      <c r="W799" s="10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2.75" customHeight="1">
      <c r="A800" s="10"/>
      <c r="B800" s="11"/>
      <c r="C800" s="10"/>
      <c r="D800" s="11"/>
      <c r="E800" s="10"/>
      <c r="F800" s="1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0"/>
      <c r="V800" s="11"/>
      <c r="W800" s="10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2.75" customHeight="1">
      <c r="A801" s="10"/>
      <c r="B801" s="11"/>
      <c r="C801" s="10"/>
      <c r="D801" s="11"/>
      <c r="E801" s="10"/>
      <c r="F801" s="1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0"/>
      <c r="V801" s="11"/>
      <c r="W801" s="10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2.75" customHeight="1">
      <c r="A802" s="10"/>
      <c r="B802" s="11"/>
      <c r="C802" s="10"/>
      <c r="D802" s="11"/>
      <c r="E802" s="10"/>
      <c r="F802" s="1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0"/>
      <c r="V802" s="11"/>
      <c r="W802" s="10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2.75" customHeight="1">
      <c r="A803" s="10"/>
      <c r="B803" s="11"/>
      <c r="C803" s="10"/>
      <c r="D803" s="11"/>
      <c r="E803" s="10"/>
      <c r="F803" s="1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0"/>
      <c r="V803" s="11"/>
      <c r="W803" s="10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2.75" customHeight="1">
      <c r="A804" s="10"/>
      <c r="B804" s="11"/>
      <c r="C804" s="10"/>
      <c r="D804" s="11"/>
      <c r="E804" s="10"/>
      <c r="F804" s="1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0"/>
      <c r="V804" s="11"/>
      <c r="W804" s="10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2.75" customHeight="1">
      <c r="A805" s="10"/>
      <c r="B805" s="11"/>
      <c r="C805" s="10"/>
      <c r="D805" s="11"/>
      <c r="E805" s="10"/>
      <c r="F805" s="1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0"/>
      <c r="V805" s="11"/>
      <c r="W805" s="10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2.75" customHeight="1">
      <c r="A806" s="10"/>
      <c r="B806" s="11"/>
      <c r="C806" s="10"/>
      <c r="D806" s="11"/>
      <c r="E806" s="10"/>
      <c r="F806" s="1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0"/>
      <c r="V806" s="11"/>
      <c r="W806" s="10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2.75" customHeight="1">
      <c r="A807" s="10"/>
      <c r="B807" s="11"/>
      <c r="C807" s="10"/>
      <c r="D807" s="11"/>
      <c r="E807" s="10"/>
      <c r="F807" s="1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0"/>
      <c r="V807" s="11"/>
      <c r="W807" s="10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2.75" customHeight="1">
      <c r="A808" s="10"/>
      <c r="B808" s="11"/>
      <c r="C808" s="10"/>
      <c r="D808" s="11"/>
      <c r="E808" s="10"/>
      <c r="F808" s="1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0"/>
      <c r="V808" s="11"/>
      <c r="W808" s="10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2.75" customHeight="1">
      <c r="A809" s="10"/>
      <c r="B809" s="11"/>
      <c r="C809" s="10"/>
      <c r="D809" s="11"/>
      <c r="E809" s="10"/>
      <c r="F809" s="1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0"/>
      <c r="V809" s="11"/>
      <c r="W809" s="10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2.75" customHeight="1">
      <c r="A810" s="10"/>
      <c r="B810" s="11"/>
      <c r="C810" s="10"/>
      <c r="D810" s="11"/>
      <c r="E810" s="10"/>
      <c r="F810" s="1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0"/>
      <c r="V810" s="11"/>
      <c r="W810" s="10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2.75" customHeight="1">
      <c r="A811" s="10"/>
      <c r="B811" s="11"/>
      <c r="C811" s="10"/>
      <c r="D811" s="11"/>
      <c r="E811" s="10"/>
      <c r="F811" s="1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0"/>
      <c r="V811" s="11"/>
      <c r="W811" s="10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2.75" customHeight="1">
      <c r="A812" s="10"/>
      <c r="B812" s="11"/>
      <c r="C812" s="10"/>
      <c r="D812" s="11"/>
      <c r="E812" s="10"/>
      <c r="F812" s="1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0"/>
      <c r="V812" s="11"/>
      <c r="W812" s="10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2.75" customHeight="1">
      <c r="A813" s="10"/>
      <c r="B813" s="11"/>
      <c r="C813" s="10"/>
      <c r="D813" s="11"/>
      <c r="E813" s="10"/>
      <c r="F813" s="1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0"/>
      <c r="V813" s="11"/>
      <c r="W813" s="10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2.75" customHeight="1">
      <c r="A814" s="10"/>
      <c r="B814" s="11"/>
      <c r="C814" s="10"/>
      <c r="D814" s="11"/>
      <c r="E814" s="10"/>
      <c r="F814" s="1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0"/>
      <c r="V814" s="11"/>
      <c r="W814" s="10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2.75" customHeight="1">
      <c r="A815" s="10"/>
      <c r="B815" s="11"/>
      <c r="C815" s="10"/>
      <c r="D815" s="11"/>
      <c r="E815" s="10"/>
      <c r="F815" s="1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0"/>
      <c r="V815" s="11"/>
      <c r="W815" s="10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2.75" customHeight="1">
      <c r="A816" s="10"/>
      <c r="B816" s="11"/>
      <c r="C816" s="10"/>
      <c r="D816" s="11"/>
      <c r="E816" s="10"/>
      <c r="F816" s="1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0"/>
      <c r="V816" s="11"/>
      <c r="W816" s="10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2.75" customHeight="1">
      <c r="A817" s="10"/>
      <c r="B817" s="11"/>
      <c r="C817" s="10"/>
      <c r="D817" s="11"/>
      <c r="E817" s="10"/>
      <c r="F817" s="1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0"/>
      <c r="V817" s="11"/>
      <c r="W817" s="10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2.75" customHeight="1">
      <c r="A818" s="10"/>
      <c r="B818" s="11"/>
      <c r="C818" s="10"/>
      <c r="D818" s="11"/>
      <c r="E818" s="10"/>
      <c r="F818" s="1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0"/>
      <c r="V818" s="11"/>
      <c r="W818" s="10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2.75" customHeight="1">
      <c r="A819" s="10"/>
      <c r="B819" s="11"/>
      <c r="C819" s="10"/>
      <c r="D819" s="11"/>
      <c r="E819" s="10"/>
      <c r="F819" s="1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0"/>
      <c r="V819" s="11"/>
      <c r="W819" s="10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2.75" customHeight="1">
      <c r="A820" s="10"/>
      <c r="B820" s="11"/>
      <c r="C820" s="10"/>
      <c r="D820" s="11"/>
      <c r="E820" s="10"/>
      <c r="F820" s="1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0"/>
      <c r="V820" s="11"/>
      <c r="W820" s="10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2.75" customHeight="1">
      <c r="A821" s="10"/>
      <c r="B821" s="11"/>
      <c r="C821" s="10"/>
      <c r="D821" s="11"/>
      <c r="E821" s="10"/>
      <c r="F821" s="1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0"/>
      <c r="V821" s="11"/>
      <c r="W821" s="10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2.75" customHeight="1">
      <c r="A822" s="10"/>
      <c r="B822" s="11"/>
      <c r="C822" s="10"/>
      <c r="D822" s="11"/>
      <c r="E822" s="10"/>
      <c r="F822" s="1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0"/>
      <c r="V822" s="11"/>
      <c r="W822" s="10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2.75" customHeight="1">
      <c r="A823" s="10"/>
      <c r="B823" s="11"/>
      <c r="C823" s="10"/>
      <c r="D823" s="11"/>
      <c r="E823" s="10"/>
      <c r="F823" s="1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0"/>
      <c r="V823" s="11"/>
      <c r="W823" s="10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2.75" customHeight="1">
      <c r="A824" s="10"/>
      <c r="B824" s="11"/>
      <c r="C824" s="10"/>
      <c r="D824" s="11"/>
      <c r="E824" s="10"/>
      <c r="F824" s="1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0"/>
      <c r="V824" s="11"/>
      <c r="W824" s="10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2.75" customHeight="1">
      <c r="A825" s="10"/>
      <c r="B825" s="11"/>
      <c r="C825" s="10"/>
      <c r="D825" s="11"/>
      <c r="E825" s="10"/>
      <c r="F825" s="1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0"/>
      <c r="V825" s="11"/>
      <c r="W825" s="10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2.75" customHeight="1">
      <c r="A826" s="10"/>
      <c r="B826" s="11"/>
      <c r="C826" s="10"/>
      <c r="D826" s="11"/>
      <c r="E826" s="10"/>
      <c r="F826" s="1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0"/>
      <c r="V826" s="11"/>
      <c r="W826" s="10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2.75" customHeight="1">
      <c r="A827" s="10"/>
      <c r="B827" s="11"/>
      <c r="C827" s="10"/>
      <c r="D827" s="11"/>
      <c r="E827" s="10"/>
      <c r="F827" s="1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0"/>
      <c r="V827" s="11"/>
      <c r="W827" s="10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2.75" customHeight="1">
      <c r="A828" s="10"/>
      <c r="B828" s="11"/>
      <c r="C828" s="10"/>
      <c r="D828" s="11"/>
      <c r="E828" s="10"/>
      <c r="F828" s="1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0"/>
      <c r="V828" s="11"/>
      <c r="W828" s="10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2.75" customHeight="1">
      <c r="A829" s="10"/>
      <c r="B829" s="11"/>
      <c r="C829" s="10"/>
      <c r="D829" s="11"/>
      <c r="E829" s="10"/>
      <c r="F829" s="1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0"/>
      <c r="V829" s="11"/>
      <c r="W829" s="10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2.75" customHeight="1">
      <c r="A830" s="10"/>
      <c r="B830" s="11"/>
      <c r="C830" s="10"/>
      <c r="D830" s="11"/>
      <c r="E830" s="10"/>
      <c r="F830" s="1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0"/>
      <c r="V830" s="11"/>
      <c r="W830" s="10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2.75" customHeight="1">
      <c r="A831" s="10"/>
      <c r="B831" s="11"/>
      <c r="C831" s="10"/>
      <c r="D831" s="11"/>
      <c r="E831" s="10"/>
      <c r="F831" s="1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0"/>
      <c r="V831" s="11"/>
      <c r="W831" s="10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2.75" customHeight="1">
      <c r="A832" s="10"/>
      <c r="B832" s="11"/>
      <c r="C832" s="10"/>
      <c r="D832" s="11"/>
      <c r="E832" s="10"/>
      <c r="F832" s="1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0"/>
      <c r="V832" s="11"/>
      <c r="W832" s="10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2.75" customHeight="1">
      <c r="A833" s="10"/>
      <c r="B833" s="11"/>
      <c r="C833" s="10"/>
      <c r="D833" s="11"/>
      <c r="E833" s="10"/>
      <c r="F833" s="1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0"/>
      <c r="V833" s="11"/>
      <c r="W833" s="10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2.75" customHeight="1">
      <c r="A834" s="10"/>
      <c r="B834" s="11"/>
      <c r="C834" s="10"/>
      <c r="D834" s="11"/>
      <c r="E834" s="10"/>
      <c r="F834" s="1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0"/>
      <c r="V834" s="11"/>
      <c r="W834" s="10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2.75" customHeight="1">
      <c r="A835" s="10"/>
      <c r="B835" s="11"/>
      <c r="C835" s="10"/>
      <c r="D835" s="11"/>
      <c r="E835" s="10"/>
      <c r="F835" s="1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0"/>
      <c r="V835" s="11"/>
      <c r="W835" s="10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2.75" customHeight="1">
      <c r="A836" s="10"/>
      <c r="B836" s="11"/>
      <c r="C836" s="10"/>
      <c r="D836" s="11"/>
      <c r="E836" s="10"/>
      <c r="F836" s="1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0"/>
      <c r="V836" s="11"/>
      <c r="W836" s="10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2.75" customHeight="1">
      <c r="A837" s="10"/>
      <c r="B837" s="11"/>
      <c r="C837" s="10"/>
      <c r="D837" s="11"/>
      <c r="E837" s="10"/>
      <c r="F837" s="1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0"/>
      <c r="V837" s="11"/>
      <c r="W837" s="10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2.75" customHeight="1">
      <c r="A838" s="10"/>
      <c r="B838" s="11"/>
      <c r="C838" s="10"/>
      <c r="D838" s="11"/>
      <c r="E838" s="10"/>
      <c r="F838" s="1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0"/>
      <c r="V838" s="11"/>
      <c r="W838" s="10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2.75" customHeight="1">
      <c r="A839" s="10"/>
      <c r="B839" s="11"/>
      <c r="C839" s="10"/>
      <c r="D839" s="11"/>
      <c r="E839" s="10"/>
      <c r="F839" s="1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0"/>
      <c r="V839" s="11"/>
      <c r="W839" s="10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2.75" customHeight="1">
      <c r="A840" s="10"/>
      <c r="B840" s="11"/>
      <c r="C840" s="10"/>
      <c r="D840" s="11"/>
      <c r="E840" s="10"/>
      <c r="F840" s="1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0"/>
      <c r="V840" s="11"/>
      <c r="W840" s="10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2.75" customHeight="1">
      <c r="A841" s="10"/>
      <c r="B841" s="11"/>
      <c r="C841" s="10"/>
      <c r="D841" s="11"/>
      <c r="E841" s="10"/>
      <c r="F841" s="1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0"/>
      <c r="V841" s="11"/>
      <c r="W841" s="10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2.75" customHeight="1">
      <c r="A842" s="10"/>
      <c r="B842" s="11"/>
      <c r="C842" s="10"/>
      <c r="D842" s="11"/>
      <c r="E842" s="10"/>
      <c r="F842" s="1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0"/>
      <c r="V842" s="11"/>
      <c r="W842" s="10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2.75" customHeight="1">
      <c r="A843" s="10"/>
      <c r="B843" s="11"/>
      <c r="C843" s="10"/>
      <c r="D843" s="11"/>
      <c r="E843" s="10"/>
      <c r="F843" s="1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0"/>
      <c r="V843" s="11"/>
      <c r="W843" s="10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2.75" customHeight="1">
      <c r="A844" s="10"/>
      <c r="B844" s="11"/>
      <c r="C844" s="10"/>
      <c r="D844" s="11"/>
      <c r="E844" s="10"/>
      <c r="F844" s="1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0"/>
      <c r="V844" s="11"/>
      <c r="W844" s="10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2.75" customHeight="1">
      <c r="A845" s="10"/>
      <c r="B845" s="11"/>
      <c r="C845" s="10"/>
      <c r="D845" s="11"/>
      <c r="E845" s="10"/>
      <c r="F845" s="1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0"/>
      <c r="V845" s="11"/>
      <c r="W845" s="10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2.75" customHeight="1">
      <c r="A846" s="10"/>
      <c r="B846" s="11"/>
      <c r="C846" s="10"/>
      <c r="D846" s="11"/>
      <c r="E846" s="10"/>
      <c r="F846" s="1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0"/>
      <c r="V846" s="11"/>
      <c r="W846" s="10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2.75" customHeight="1">
      <c r="A847" s="10"/>
      <c r="B847" s="11"/>
      <c r="C847" s="10"/>
      <c r="D847" s="11"/>
      <c r="E847" s="10"/>
      <c r="F847" s="1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0"/>
      <c r="V847" s="11"/>
      <c r="W847" s="10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2.75" customHeight="1">
      <c r="A848" s="10"/>
      <c r="B848" s="11"/>
      <c r="C848" s="10"/>
      <c r="D848" s="11"/>
      <c r="E848" s="10"/>
      <c r="F848" s="1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0"/>
      <c r="V848" s="11"/>
      <c r="W848" s="10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2.75" customHeight="1">
      <c r="A849" s="10"/>
      <c r="B849" s="11"/>
      <c r="C849" s="10"/>
      <c r="D849" s="11"/>
      <c r="E849" s="10"/>
      <c r="F849" s="1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0"/>
      <c r="V849" s="11"/>
      <c r="W849" s="10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2.75" customHeight="1">
      <c r="A850" s="10"/>
      <c r="B850" s="11"/>
      <c r="C850" s="10"/>
      <c r="D850" s="11"/>
      <c r="E850" s="10"/>
      <c r="F850" s="1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0"/>
      <c r="V850" s="11"/>
      <c r="W850" s="10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2.75" customHeight="1">
      <c r="A851" s="10"/>
      <c r="B851" s="11"/>
      <c r="C851" s="10"/>
      <c r="D851" s="11"/>
      <c r="E851" s="10"/>
      <c r="F851" s="1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0"/>
      <c r="V851" s="11"/>
      <c r="W851" s="10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2.75" customHeight="1">
      <c r="A852" s="10"/>
      <c r="B852" s="11"/>
      <c r="C852" s="10"/>
      <c r="D852" s="11"/>
      <c r="E852" s="10"/>
      <c r="F852" s="1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0"/>
      <c r="V852" s="11"/>
      <c r="W852" s="10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2.75" customHeight="1">
      <c r="A853" s="10"/>
      <c r="B853" s="11"/>
      <c r="C853" s="10"/>
      <c r="D853" s="11"/>
      <c r="E853" s="10"/>
      <c r="F853" s="1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0"/>
      <c r="V853" s="11"/>
      <c r="W853" s="10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2.75" customHeight="1">
      <c r="A854" s="10"/>
      <c r="B854" s="11"/>
      <c r="C854" s="10"/>
      <c r="D854" s="11"/>
      <c r="E854" s="10"/>
      <c r="F854" s="1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0"/>
      <c r="V854" s="11"/>
      <c r="W854" s="10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2.75" customHeight="1">
      <c r="A855" s="10"/>
      <c r="B855" s="11"/>
      <c r="C855" s="10"/>
      <c r="D855" s="11"/>
      <c r="E855" s="10"/>
      <c r="F855" s="1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0"/>
      <c r="V855" s="11"/>
      <c r="W855" s="10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2.75" customHeight="1">
      <c r="A856" s="10"/>
      <c r="B856" s="11"/>
      <c r="C856" s="10"/>
      <c r="D856" s="11"/>
      <c r="E856" s="10"/>
      <c r="F856" s="1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0"/>
      <c r="V856" s="11"/>
      <c r="W856" s="10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2.75" customHeight="1">
      <c r="A857" s="10"/>
      <c r="B857" s="11"/>
      <c r="C857" s="10"/>
      <c r="D857" s="11"/>
      <c r="E857" s="10"/>
      <c r="F857" s="1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0"/>
      <c r="V857" s="11"/>
      <c r="W857" s="10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2.75" customHeight="1">
      <c r="A858" s="10"/>
      <c r="B858" s="11"/>
      <c r="C858" s="10"/>
      <c r="D858" s="11"/>
      <c r="E858" s="10"/>
      <c r="F858" s="1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0"/>
      <c r="V858" s="11"/>
      <c r="W858" s="10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2.75" customHeight="1">
      <c r="A859" s="10"/>
      <c r="B859" s="11"/>
      <c r="C859" s="10"/>
      <c r="D859" s="11"/>
      <c r="E859" s="10"/>
      <c r="F859" s="1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0"/>
      <c r="V859" s="11"/>
      <c r="W859" s="10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2.75" customHeight="1">
      <c r="A860" s="10"/>
      <c r="B860" s="11"/>
      <c r="C860" s="10"/>
      <c r="D860" s="11"/>
      <c r="E860" s="10"/>
      <c r="F860" s="1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0"/>
      <c r="V860" s="11"/>
      <c r="W860" s="10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2.75" customHeight="1">
      <c r="A861" s="10"/>
      <c r="B861" s="11"/>
      <c r="C861" s="10"/>
      <c r="D861" s="11"/>
      <c r="E861" s="10"/>
      <c r="F861" s="1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0"/>
      <c r="V861" s="11"/>
      <c r="W861" s="10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2.75" customHeight="1">
      <c r="A862" s="10"/>
      <c r="B862" s="11"/>
      <c r="C862" s="10"/>
      <c r="D862" s="11"/>
      <c r="E862" s="10"/>
      <c r="F862" s="1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0"/>
      <c r="V862" s="11"/>
      <c r="W862" s="10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2.75" customHeight="1">
      <c r="A863" s="10"/>
      <c r="B863" s="11"/>
      <c r="C863" s="10"/>
      <c r="D863" s="11"/>
      <c r="E863" s="10"/>
      <c r="F863" s="1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0"/>
      <c r="V863" s="11"/>
      <c r="W863" s="10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2.75" customHeight="1">
      <c r="A864" s="10"/>
      <c r="B864" s="11"/>
      <c r="C864" s="10"/>
      <c r="D864" s="11"/>
      <c r="E864" s="10"/>
      <c r="F864" s="1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0"/>
      <c r="V864" s="11"/>
      <c r="W864" s="10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2.75" customHeight="1">
      <c r="A865" s="10"/>
      <c r="B865" s="11"/>
      <c r="C865" s="10"/>
      <c r="D865" s="11"/>
      <c r="E865" s="10"/>
      <c r="F865" s="1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0"/>
      <c r="V865" s="11"/>
      <c r="W865" s="10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2.75" customHeight="1">
      <c r="A866" s="10"/>
      <c r="B866" s="11"/>
      <c r="C866" s="10"/>
      <c r="D866" s="11"/>
      <c r="E866" s="10"/>
      <c r="F866" s="1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0"/>
      <c r="V866" s="11"/>
      <c r="W866" s="10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2.75" customHeight="1">
      <c r="A867" s="10"/>
      <c r="B867" s="11"/>
      <c r="C867" s="10"/>
      <c r="D867" s="11"/>
      <c r="E867" s="10"/>
      <c r="F867" s="1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0"/>
      <c r="V867" s="11"/>
      <c r="W867" s="10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2.75" customHeight="1">
      <c r="A868" s="10"/>
      <c r="B868" s="11"/>
      <c r="C868" s="10"/>
      <c r="D868" s="11"/>
      <c r="E868" s="10"/>
      <c r="F868" s="1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0"/>
      <c r="V868" s="11"/>
      <c r="W868" s="10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2.75" customHeight="1">
      <c r="A869" s="10"/>
      <c r="B869" s="11"/>
      <c r="C869" s="10"/>
      <c r="D869" s="11"/>
      <c r="E869" s="10"/>
      <c r="F869" s="1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0"/>
      <c r="V869" s="11"/>
      <c r="W869" s="10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2.75" customHeight="1">
      <c r="A870" s="10"/>
      <c r="B870" s="11"/>
      <c r="C870" s="10"/>
      <c r="D870" s="11"/>
      <c r="E870" s="10"/>
      <c r="F870" s="1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0"/>
      <c r="V870" s="11"/>
      <c r="W870" s="10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2.75" customHeight="1">
      <c r="A871" s="10"/>
      <c r="B871" s="11"/>
      <c r="C871" s="10"/>
      <c r="D871" s="11"/>
      <c r="E871" s="10"/>
      <c r="F871" s="1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0"/>
      <c r="V871" s="11"/>
      <c r="W871" s="10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2.75" customHeight="1">
      <c r="A872" s="10"/>
      <c r="B872" s="11"/>
      <c r="C872" s="10"/>
      <c r="D872" s="11"/>
      <c r="E872" s="10"/>
      <c r="F872" s="1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0"/>
      <c r="V872" s="11"/>
      <c r="W872" s="10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2.75" customHeight="1">
      <c r="A873" s="10"/>
      <c r="B873" s="11"/>
      <c r="C873" s="10"/>
      <c r="D873" s="11"/>
      <c r="E873" s="10"/>
      <c r="F873" s="1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0"/>
      <c r="V873" s="11"/>
      <c r="W873" s="10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2.75" customHeight="1">
      <c r="A874" s="10"/>
      <c r="B874" s="11"/>
      <c r="C874" s="10"/>
      <c r="D874" s="11"/>
      <c r="E874" s="10"/>
      <c r="F874" s="1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0"/>
      <c r="V874" s="11"/>
      <c r="W874" s="10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2.75" customHeight="1">
      <c r="A875" s="10"/>
      <c r="B875" s="11"/>
      <c r="C875" s="10"/>
      <c r="D875" s="11"/>
      <c r="E875" s="10"/>
      <c r="F875" s="1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0"/>
      <c r="V875" s="11"/>
      <c r="W875" s="10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2.75" customHeight="1">
      <c r="A876" s="10"/>
      <c r="B876" s="11"/>
      <c r="C876" s="10"/>
      <c r="D876" s="11"/>
      <c r="E876" s="10"/>
      <c r="F876" s="1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0"/>
      <c r="V876" s="11"/>
      <c r="W876" s="10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2.75" customHeight="1">
      <c r="A877" s="10"/>
      <c r="B877" s="11"/>
      <c r="C877" s="10"/>
      <c r="D877" s="11"/>
      <c r="E877" s="10"/>
      <c r="F877" s="1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0"/>
      <c r="V877" s="11"/>
      <c r="W877" s="10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2.75" customHeight="1">
      <c r="A878" s="10"/>
      <c r="B878" s="11"/>
      <c r="C878" s="10"/>
      <c r="D878" s="11"/>
      <c r="E878" s="10"/>
      <c r="F878" s="1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0"/>
      <c r="V878" s="11"/>
      <c r="W878" s="10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2.75" customHeight="1">
      <c r="A879" s="10"/>
      <c r="B879" s="11"/>
      <c r="C879" s="10"/>
      <c r="D879" s="11"/>
      <c r="E879" s="10"/>
      <c r="F879" s="1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0"/>
      <c r="V879" s="11"/>
      <c r="W879" s="10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2.75" customHeight="1">
      <c r="A880" s="10"/>
      <c r="B880" s="11"/>
      <c r="C880" s="10"/>
      <c r="D880" s="11"/>
      <c r="E880" s="10"/>
      <c r="F880" s="1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0"/>
      <c r="V880" s="11"/>
      <c r="W880" s="10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2.75" customHeight="1">
      <c r="A881" s="10"/>
      <c r="B881" s="11"/>
      <c r="C881" s="10"/>
      <c r="D881" s="11"/>
      <c r="E881" s="10"/>
      <c r="F881" s="1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0"/>
      <c r="V881" s="11"/>
      <c r="W881" s="10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2.75" customHeight="1">
      <c r="A882" s="10"/>
      <c r="B882" s="11"/>
      <c r="C882" s="10"/>
      <c r="D882" s="11"/>
      <c r="E882" s="10"/>
      <c r="F882" s="1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0"/>
      <c r="V882" s="11"/>
      <c r="W882" s="10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2.75" customHeight="1">
      <c r="A883" s="10"/>
      <c r="B883" s="11"/>
      <c r="C883" s="10"/>
      <c r="D883" s="11"/>
      <c r="E883" s="10"/>
      <c r="F883" s="1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0"/>
      <c r="V883" s="11"/>
      <c r="W883" s="10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2.75" customHeight="1">
      <c r="A884" s="10"/>
      <c r="B884" s="11"/>
      <c r="C884" s="10"/>
      <c r="D884" s="11"/>
      <c r="E884" s="10"/>
      <c r="F884" s="1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0"/>
      <c r="V884" s="11"/>
      <c r="W884" s="10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2.75" customHeight="1">
      <c r="A885" s="10"/>
      <c r="B885" s="11"/>
      <c r="C885" s="10"/>
      <c r="D885" s="11"/>
      <c r="E885" s="10"/>
      <c r="F885" s="1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0"/>
      <c r="V885" s="11"/>
      <c r="W885" s="10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2.75" customHeight="1">
      <c r="A886" s="10"/>
      <c r="B886" s="11"/>
      <c r="C886" s="10"/>
      <c r="D886" s="11"/>
      <c r="E886" s="10"/>
      <c r="F886" s="1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0"/>
      <c r="V886" s="11"/>
      <c r="W886" s="10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2.75" customHeight="1">
      <c r="A887" s="10"/>
      <c r="B887" s="11"/>
      <c r="C887" s="10"/>
      <c r="D887" s="11"/>
      <c r="E887" s="10"/>
      <c r="F887" s="1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0"/>
      <c r="V887" s="11"/>
      <c r="W887" s="10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2.75" customHeight="1">
      <c r="A888" s="10"/>
      <c r="B888" s="11"/>
      <c r="C888" s="10"/>
      <c r="D888" s="11"/>
      <c r="E888" s="10"/>
      <c r="F888" s="1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0"/>
      <c r="V888" s="11"/>
      <c r="W888" s="10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2.75" customHeight="1">
      <c r="A889" s="10"/>
      <c r="B889" s="11"/>
      <c r="C889" s="10"/>
      <c r="D889" s="11"/>
      <c r="E889" s="10"/>
      <c r="F889" s="1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0"/>
      <c r="V889" s="11"/>
      <c r="W889" s="10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2.75" customHeight="1">
      <c r="A890" s="10"/>
      <c r="B890" s="11"/>
      <c r="C890" s="10"/>
      <c r="D890" s="11"/>
      <c r="E890" s="10"/>
      <c r="F890" s="1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0"/>
      <c r="V890" s="11"/>
      <c r="W890" s="10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2.75" customHeight="1">
      <c r="A891" s="10"/>
      <c r="B891" s="11"/>
      <c r="C891" s="10"/>
      <c r="D891" s="11"/>
      <c r="E891" s="10"/>
      <c r="F891" s="1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0"/>
      <c r="V891" s="11"/>
      <c r="W891" s="10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2.75" customHeight="1">
      <c r="A892" s="10"/>
      <c r="B892" s="11"/>
      <c r="C892" s="10"/>
      <c r="D892" s="11"/>
      <c r="E892" s="10"/>
      <c r="F892" s="1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0"/>
      <c r="V892" s="11"/>
      <c r="W892" s="10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2.75" customHeight="1">
      <c r="A893" s="10"/>
      <c r="B893" s="11"/>
      <c r="C893" s="10"/>
      <c r="D893" s="11"/>
      <c r="E893" s="10"/>
      <c r="F893" s="1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0"/>
      <c r="V893" s="11"/>
      <c r="W893" s="10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2.75" customHeight="1">
      <c r="A894" s="10"/>
      <c r="B894" s="11"/>
      <c r="C894" s="10"/>
      <c r="D894" s="11"/>
      <c r="E894" s="10"/>
      <c r="F894" s="1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0"/>
      <c r="V894" s="11"/>
      <c r="W894" s="10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2.75" customHeight="1">
      <c r="A895" s="10"/>
      <c r="B895" s="11"/>
      <c r="C895" s="10"/>
      <c r="D895" s="11"/>
      <c r="E895" s="10"/>
      <c r="F895" s="1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0"/>
      <c r="V895" s="11"/>
      <c r="W895" s="10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2.75" customHeight="1">
      <c r="A896" s="10"/>
      <c r="B896" s="11"/>
      <c r="C896" s="10"/>
      <c r="D896" s="11"/>
      <c r="E896" s="10"/>
      <c r="F896" s="1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0"/>
      <c r="V896" s="11"/>
      <c r="W896" s="10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2.75" customHeight="1">
      <c r="A897" s="10"/>
      <c r="B897" s="11"/>
      <c r="C897" s="10"/>
      <c r="D897" s="11"/>
      <c r="E897" s="10"/>
      <c r="F897" s="1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0"/>
      <c r="V897" s="11"/>
      <c r="W897" s="10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2.75" customHeight="1">
      <c r="A898" s="10"/>
      <c r="B898" s="11"/>
      <c r="C898" s="10"/>
      <c r="D898" s="11"/>
      <c r="E898" s="10"/>
      <c r="F898" s="1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0"/>
      <c r="V898" s="11"/>
      <c r="W898" s="10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2.75" customHeight="1">
      <c r="A899" s="10"/>
      <c r="B899" s="11"/>
      <c r="C899" s="10"/>
      <c r="D899" s="11"/>
      <c r="E899" s="10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0"/>
      <c r="V899" s="11"/>
      <c r="W899" s="10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2.75" customHeight="1">
      <c r="A900" s="10"/>
      <c r="B900" s="11"/>
      <c r="C900" s="10"/>
      <c r="D900" s="11"/>
      <c r="E900" s="10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0"/>
      <c r="V900" s="11"/>
      <c r="W900" s="10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2.75" customHeight="1">
      <c r="A901" s="10"/>
      <c r="B901" s="11"/>
      <c r="C901" s="10"/>
      <c r="D901" s="11"/>
      <c r="E901" s="10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0"/>
      <c r="V901" s="11"/>
      <c r="W901" s="10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2.75" customHeight="1">
      <c r="A902" s="10"/>
      <c r="B902" s="11"/>
      <c r="C902" s="10"/>
      <c r="D902" s="11"/>
      <c r="E902" s="10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0"/>
      <c r="V902" s="11"/>
      <c r="W902" s="10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2.75" customHeight="1">
      <c r="A903" s="10"/>
      <c r="B903" s="11"/>
      <c r="C903" s="10"/>
      <c r="D903" s="11"/>
      <c r="E903" s="10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0"/>
      <c r="V903" s="11"/>
      <c r="W903" s="10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2.75" customHeight="1">
      <c r="A904" s="10"/>
      <c r="B904" s="11"/>
      <c r="C904" s="10"/>
      <c r="D904" s="11"/>
      <c r="E904" s="10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0"/>
      <c r="V904" s="11"/>
      <c r="W904" s="10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2.75" customHeight="1">
      <c r="A905" s="10"/>
      <c r="B905" s="11"/>
      <c r="C905" s="10"/>
      <c r="D905" s="11"/>
      <c r="E905" s="10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0"/>
      <c r="V905" s="11"/>
      <c r="W905" s="10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2.75" customHeight="1">
      <c r="A906" s="10"/>
      <c r="B906" s="11"/>
      <c r="C906" s="10"/>
      <c r="D906" s="11"/>
      <c r="E906" s="10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0"/>
      <c r="V906" s="11"/>
      <c r="W906" s="10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2.75" customHeight="1">
      <c r="A907" s="10"/>
      <c r="B907" s="11"/>
      <c r="C907" s="10"/>
      <c r="D907" s="11"/>
      <c r="E907" s="10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0"/>
      <c r="V907" s="11"/>
      <c r="W907" s="10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2.75" customHeight="1">
      <c r="A908" s="10"/>
      <c r="B908" s="11"/>
      <c r="C908" s="10"/>
      <c r="D908" s="11"/>
      <c r="E908" s="10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0"/>
      <c r="V908" s="11"/>
      <c r="W908" s="10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2.75" customHeight="1">
      <c r="A909" s="10"/>
      <c r="B909" s="11"/>
      <c r="C909" s="10"/>
      <c r="D909" s="11"/>
      <c r="E909" s="10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0"/>
      <c r="V909" s="11"/>
      <c r="W909" s="10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2.75" customHeight="1">
      <c r="A910" s="10"/>
      <c r="B910" s="11"/>
      <c r="C910" s="10"/>
      <c r="D910" s="11"/>
      <c r="E910" s="10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0"/>
      <c r="V910" s="11"/>
      <c r="W910" s="10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2.75" customHeight="1">
      <c r="A911" s="10"/>
      <c r="B911" s="11"/>
      <c r="C911" s="10"/>
      <c r="D911" s="11"/>
      <c r="E911" s="10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0"/>
      <c r="V911" s="11"/>
      <c r="W911" s="10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2.75" customHeight="1">
      <c r="A912" s="10"/>
      <c r="B912" s="11"/>
      <c r="C912" s="10"/>
      <c r="D912" s="11"/>
      <c r="E912" s="10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0"/>
      <c r="V912" s="11"/>
      <c r="W912" s="10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2.75" customHeight="1">
      <c r="A913" s="10"/>
      <c r="B913" s="11"/>
      <c r="C913" s="10"/>
      <c r="D913" s="11"/>
      <c r="E913" s="10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0"/>
      <c r="V913" s="11"/>
      <c r="W913" s="10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2.75" customHeight="1">
      <c r="A914" s="10"/>
      <c r="B914" s="11"/>
      <c r="C914" s="10"/>
      <c r="D914" s="11"/>
      <c r="E914" s="10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0"/>
      <c r="V914" s="11"/>
      <c r="W914" s="10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2.75" customHeight="1">
      <c r="A915" s="10"/>
      <c r="B915" s="11"/>
      <c r="C915" s="10"/>
      <c r="D915" s="11"/>
      <c r="E915" s="10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0"/>
      <c r="V915" s="11"/>
      <c r="W915" s="10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2.75" customHeight="1">
      <c r="A916" s="10"/>
      <c r="B916" s="11"/>
      <c r="C916" s="10"/>
      <c r="D916" s="11"/>
      <c r="E916" s="10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0"/>
      <c r="V916" s="11"/>
      <c r="W916" s="10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2.75" customHeight="1">
      <c r="A917" s="10"/>
      <c r="B917" s="11"/>
      <c r="C917" s="10"/>
      <c r="D917" s="11"/>
      <c r="E917" s="10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0"/>
      <c r="V917" s="11"/>
      <c r="W917" s="10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2.75" customHeight="1">
      <c r="A918" s="10"/>
      <c r="B918" s="11"/>
      <c r="C918" s="10"/>
      <c r="D918" s="11"/>
      <c r="E918" s="10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0"/>
      <c r="V918" s="11"/>
      <c r="W918" s="10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2.75" customHeight="1">
      <c r="A919" s="10"/>
      <c r="B919" s="11"/>
      <c r="C919" s="10"/>
      <c r="D919" s="11"/>
      <c r="E919" s="10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0"/>
      <c r="V919" s="11"/>
      <c r="W919" s="10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2.75" customHeight="1">
      <c r="A920" s="10"/>
      <c r="B920" s="11"/>
      <c r="C920" s="10"/>
      <c r="D920" s="11"/>
      <c r="E920" s="10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0"/>
      <c r="V920" s="11"/>
      <c r="W920" s="10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2.75" customHeight="1">
      <c r="A921" s="10"/>
      <c r="B921" s="11"/>
      <c r="C921" s="10"/>
      <c r="D921" s="11"/>
      <c r="E921" s="10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0"/>
      <c r="V921" s="11"/>
      <c r="W921" s="10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2.75" customHeight="1">
      <c r="A922" s="10"/>
      <c r="B922" s="11"/>
      <c r="C922" s="10"/>
      <c r="D922" s="11"/>
      <c r="E922" s="10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0"/>
      <c r="V922" s="11"/>
      <c r="W922" s="10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2.75" customHeight="1">
      <c r="A923" s="10"/>
      <c r="B923" s="11"/>
      <c r="C923" s="10"/>
      <c r="D923" s="11"/>
      <c r="E923" s="10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0"/>
      <c r="V923" s="11"/>
      <c r="W923" s="10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2.75" customHeight="1">
      <c r="A924" s="10"/>
      <c r="B924" s="11"/>
      <c r="C924" s="10"/>
      <c r="D924" s="11"/>
      <c r="E924" s="10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0"/>
      <c r="V924" s="11"/>
      <c r="W924" s="10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2.75" customHeight="1">
      <c r="A925" s="10"/>
      <c r="B925" s="11"/>
      <c r="C925" s="10"/>
      <c r="D925" s="11"/>
      <c r="E925" s="10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0"/>
      <c r="V925" s="11"/>
      <c r="W925" s="10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2.75" customHeight="1">
      <c r="A926" s="10"/>
      <c r="B926" s="11"/>
      <c r="C926" s="10"/>
      <c r="D926" s="11"/>
      <c r="E926" s="10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0"/>
      <c r="V926" s="11"/>
      <c r="W926" s="10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2.75" customHeight="1">
      <c r="A927" s="10"/>
      <c r="B927" s="11"/>
      <c r="C927" s="10"/>
      <c r="D927" s="11"/>
      <c r="E927" s="10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0"/>
      <c r="V927" s="11"/>
      <c r="W927" s="10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2.75" customHeight="1">
      <c r="A928" s="10"/>
      <c r="B928" s="11"/>
      <c r="C928" s="10"/>
      <c r="D928" s="11"/>
      <c r="E928" s="10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0"/>
      <c r="V928" s="11"/>
      <c r="W928" s="10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2.75" customHeight="1">
      <c r="A929" s="10"/>
      <c r="B929" s="11"/>
      <c r="C929" s="10"/>
      <c r="D929" s="11"/>
      <c r="E929" s="10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0"/>
      <c r="V929" s="11"/>
      <c r="W929" s="10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2.75" customHeight="1">
      <c r="A930" s="10"/>
      <c r="B930" s="11"/>
      <c r="C930" s="10"/>
      <c r="D930" s="11"/>
      <c r="E930" s="10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0"/>
      <c r="V930" s="11"/>
      <c r="W930" s="10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2.75" customHeight="1">
      <c r="A931" s="10"/>
      <c r="B931" s="11"/>
      <c r="C931" s="10"/>
      <c r="D931" s="11"/>
      <c r="E931" s="10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0"/>
      <c r="V931" s="11"/>
      <c r="W931" s="10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2.75" customHeight="1">
      <c r="A932" s="10"/>
      <c r="B932" s="11"/>
      <c r="C932" s="10"/>
      <c r="D932" s="11"/>
      <c r="E932" s="10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0"/>
      <c r="V932" s="11"/>
      <c r="W932" s="10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2.75" customHeight="1">
      <c r="A933" s="10"/>
      <c r="B933" s="11"/>
      <c r="C933" s="10"/>
      <c r="D933" s="11"/>
      <c r="E933" s="10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0"/>
      <c r="V933" s="11"/>
      <c r="W933" s="10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2.75" customHeight="1">
      <c r="A934" s="10"/>
      <c r="B934" s="11"/>
      <c r="C934" s="10"/>
      <c r="D934" s="11"/>
      <c r="E934" s="10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0"/>
      <c r="V934" s="11"/>
      <c r="W934" s="10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2.75" customHeight="1">
      <c r="A935" s="10"/>
      <c r="B935" s="11"/>
      <c r="C935" s="10"/>
      <c r="D935" s="11"/>
      <c r="E935" s="10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0"/>
      <c r="V935" s="11"/>
      <c r="W935" s="10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2.75" customHeight="1">
      <c r="A936" s="10"/>
      <c r="B936" s="11"/>
      <c r="C936" s="10"/>
      <c r="D936" s="11"/>
      <c r="E936" s="10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0"/>
      <c r="V936" s="11"/>
      <c r="W936" s="10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2.75" customHeight="1">
      <c r="A937" s="10"/>
      <c r="B937" s="11"/>
      <c r="C937" s="10"/>
      <c r="D937" s="11"/>
      <c r="E937" s="10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0"/>
      <c r="V937" s="11"/>
      <c r="W937" s="10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2.75" customHeight="1">
      <c r="A938" s="10"/>
      <c r="B938" s="11"/>
      <c r="C938" s="10"/>
      <c r="D938" s="11"/>
      <c r="E938" s="10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0"/>
      <c r="V938" s="11"/>
      <c r="W938" s="10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2.75" customHeight="1">
      <c r="A939" s="10"/>
      <c r="B939" s="11"/>
      <c r="C939" s="10"/>
      <c r="D939" s="11"/>
      <c r="E939" s="10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0"/>
      <c r="V939" s="11"/>
      <c r="W939" s="10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2.75" customHeight="1">
      <c r="A940" s="10"/>
      <c r="B940" s="11"/>
      <c r="C940" s="10"/>
      <c r="D940" s="11"/>
      <c r="E940" s="10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0"/>
      <c r="V940" s="11"/>
      <c r="W940" s="10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2.75" customHeight="1">
      <c r="A941" s="10"/>
      <c r="B941" s="11"/>
      <c r="C941" s="10"/>
      <c r="D941" s="11"/>
      <c r="E941" s="10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0"/>
      <c r="V941" s="11"/>
      <c r="W941" s="10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2.75" customHeight="1">
      <c r="A942" s="10"/>
      <c r="B942" s="11"/>
      <c r="C942" s="10"/>
      <c r="D942" s="11"/>
      <c r="E942" s="10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0"/>
      <c r="V942" s="11"/>
      <c r="W942" s="10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2.75" customHeight="1">
      <c r="A943" s="10"/>
      <c r="B943" s="11"/>
      <c r="C943" s="10"/>
      <c r="D943" s="11"/>
      <c r="E943" s="10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0"/>
      <c r="V943" s="11"/>
      <c r="W943" s="10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2.75" customHeight="1">
      <c r="A944" s="10"/>
      <c r="B944" s="11"/>
      <c r="C944" s="10"/>
      <c r="D944" s="11"/>
      <c r="E944" s="10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0"/>
      <c r="V944" s="11"/>
      <c r="W944" s="10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2.75" customHeight="1">
      <c r="A945" s="10"/>
      <c r="B945" s="11"/>
      <c r="C945" s="10"/>
      <c r="D945" s="11"/>
      <c r="E945" s="10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0"/>
      <c r="V945" s="11"/>
      <c r="W945" s="10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2.75" customHeight="1">
      <c r="A946" s="10"/>
      <c r="B946" s="11"/>
      <c r="C946" s="10"/>
      <c r="D946" s="11"/>
      <c r="E946" s="10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0"/>
      <c r="V946" s="11"/>
      <c r="W946" s="10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2.75" customHeight="1">
      <c r="A947" s="10"/>
      <c r="B947" s="11"/>
      <c r="C947" s="10"/>
      <c r="D947" s="11"/>
      <c r="E947" s="10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0"/>
      <c r="V947" s="11"/>
      <c r="W947" s="10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2.75" customHeight="1">
      <c r="A948" s="10"/>
      <c r="B948" s="11"/>
      <c r="C948" s="10"/>
      <c r="D948" s="11"/>
      <c r="E948" s="10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0"/>
      <c r="V948" s="11"/>
      <c r="W948" s="10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2.75" customHeight="1">
      <c r="A949" s="10"/>
      <c r="B949" s="11"/>
      <c r="C949" s="10"/>
      <c r="D949" s="11"/>
      <c r="E949" s="10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0"/>
      <c r="V949" s="11"/>
      <c r="W949" s="10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2.75" customHeight="1">
      <c r="A950" s="10"/>
      <c r="B950" s="11"/>
      <c r="C950" s="10"/>
      <c r="D950" s="11"/>
      <c r="E950" s="10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0"/>
      <c r="V950" s="11"/>
      <c r="W950" s="10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2.75" customHeight="1">
      <c r="A951" s="10"/>
      <c r="B951" s="11"/>
      <c r="C951" s="10"/>
      <c r="D951" s="11"/>
      <c r="E951" s="10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0"/>
      <c r="V951" s="11"/>
      <c r="W951" s="10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2.75" customHeight="1">
      <c r="A952" s="10"/>
      <c r="B952" s="11"/>
      <c r="C952" s="10"/>
      <c r="D952" s="11"/>
      <c r="E952" s="10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0"/>
      <c r="V952" s="11"/>
      <c r="W952" s="10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2.75" customHeight="1">
      <c r="A953" s="10"/>
      <c r="B953" s="11"/>
      <c r="C953" s="10"/>
      <c r="D953" s="11"/>
      <c r="E953" s="10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0"/>
      <c r="V953" s="11"/>
      <c r="W953" s="10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2.75" customHeight="1">
      <c r="A954" s="10"/>
      <c r="B954" s="11"/>
      <c r="C954" s="10"/>
      <c r="D954" s="11"/>
      <c r="E954" s="10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0"/>
      <c r="V954" s="11"/>
      <c r="W954" s="10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2.75" customHeight="1">
      <c r="A955" s="10"/>
      <c r="B955" s="11"/>
      <c r="C955" s="10"/>
      <c r="D955" s="11"/>
      <c r="E955" s="10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0"/>
      <c r="V955" s="11"/>
      <c r="W955" s="10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2.75" customHeight="1">
      <c r="A956" s="10"/>
      <c r="B956" s="11"/>
      <c r="C956" s="10"/>
      <c r="D956" s="11"/>
      <c r="E956" s="10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0"/>
      <c r="V956" s="11"/>
      <c r="W956" s="10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2.75" customHeight="1">
      <c r="A957" s="10"/>
      <c r="B957" s="11"/>
      <c r="C957" s="10"/>
      <c r="D957" s="11"/>
      <c r="E957" s="10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0"/>
      <c r="V957" s="11"/>
      <c r="W957" s="10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2.75" customHeight="1">
      <c r="A958" s="10"/>
      <c r="B958" s="11"/>
      <c r="C958" s="10"/>
      <c r="D958" s="11"/>
      <c r="E958" s="10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0"/>
      <c r="V958" s="11"/>
      <c r="W958" s="10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2.75" customHeight="1">
      <c r="A959" s="10"/>
      <c r="B959" s="11"/>
      <c r="C959" s="10"/>
      <c r="D959" s="11"/>
      <c r="E959" s="10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0"/>
      <c r="V959" s="11"/>
      <c r="W959" s="10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2.75" customHeight="1">
      <c r="A960" s="10"/>
      <c r="B960" s="11"/>
      <c r="C960" s="10"/>
      <c r="D960" s="11"/>
      <c r="E960" s="10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0"/>
      <c r="V960" s="11"/>
      <c r="W960" s="10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2.75" customHeight="1">
      <c r="A961" s="10"/>
      <c r="B961" s="11"/>
      <c r="C961" s="10"/>
      <c r="D961" s="11"/>
      <c r="E961" s="10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0"/>
      <c r="V961" s="11"/>
      <c r="W961" s="10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2.75" customHeight="1">
      <c r="A962" s="10"/>
      <c r="B962" s="11"/>
      <c r="C962" s="10"/>
      <c r="D962" s="11"/>
      <c r="E962" s="10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0"/>
      <c r="V962" s="11"/>
      <c r="W962" s="10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2.75" customHeight="1">
      <c r="A963" s="10"/>
      <c r="B963" s="11"/>
      <c r="C963" s="10"/>
      <c r="D963" s="11"/>
      <c r="E963" s="10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0"/>
      <c r="V963" s="11"/>
      <c r="W963" s="10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2.75" customHeight="1">
      <c r="A964" s="10"/>
      <c r="B964" s="11"/>
      <c r="C964" s="10"/>
      <c r="D964" s="11"/>
      <c r="E964" s="10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0"/>
      <c r="V964" s="11"/>
      <c r="W964" s="10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2.75" customHeight="1">
      <c r="A965" s="10"/>
      <c r="B965" s="11"/>
      <c r="C965" s="10"/>
      <c r="D965" s="11"/>
      <c r="E965" s="10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0"/>
      <c r="V965" s="11"/>
      <c r="W965" s="10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2.75" customHeight="1">
      <c r="A966" s="10"/>
      <c r="B966" s="11"/>
      <c r="C966" s="10"/>
      <c r="D966" s="11"/>
      <c r="E966" s="10"/>
      <c r="F966" s="1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0"/>
      <c r="V966" s="11"/>
      <c r="W966" s="10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2.75" customHeight="1">
      <c r="A967" s="10"/>
      <c r="B967" s="11"/>
      <c r="C967" s="10"/>
      <c r="D967" s="11"/>
      <c r="E967" s="10"/>
      <c r="F967" s="1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0"/>
      <c r="V967" s="11"/>
      <c r="W967" s="10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2.75" customHeight="1">
      <c r="A968" s="10"/>
      <c r="B968" s="11"/>
      <c r="C968" s="10"/>
      <c r="D968" s="11"/>
      <c r="E968" s="10"/>
      <c r="F968" s="1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0"/>
      <c r="V968" s="11"/>
      <c r="W968" s="10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2.75" customHeight="1">
      <c r="A969" s="10"/>
      <c r="B969" s="11"/>
      <c r="C969" s="10"/>
      <c r="D969" s="11"/>
      <c r="E969" s="10"/>
      <c r="F969" s="1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0"/>
      <c r="V969" s="11"/>
      <c r="W969" s="10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2.75" customHeight="1">
      <c r="A970" s="10"/>
      <c r="B970" s="11"/>
      <c r="C970" s="10"/>
      <c r="D970" s="11"/>
      <c r="E970" s="10"/>
      <c r="F970" s="1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0"/>
      <c r="V970" s="11"/>
      <c r="W970" s="10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2.75" customHeight="1">
      <c r="A971" s="10"/>
      <c r="B971" s="11"/>
      <c r="C971" s="10"/>
      <c r="D971" s="11"/>
      <c r="E971" s="10"/>
      <c r="F971" s="1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0"/>
      <c r="V971" s="11"/>
      <c r="W971" s="10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2.75" customHeight="1">
      <c r="A972" s="10"/>
      <c r="B972" s="11"/>
      <c r="C972" s="10"/>
      <c r="D972" s="11"/>
      <c r="E972" s="10"/>
      <c r="F972" s="1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0"/>
      <c r="V972" s="11"/>
      <c r="W972" s="10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2.75" customHeight="1">
      <c r="A973" s="10"/>
      <c r="B973" s="11"/>
      <c r="C973" s="10"/>
      <c r="D973" s="11"/>
      <c r="E973" s="10"/>
      <c r="F973" s="1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0"/>
      <c r="V973" s="11"/>
      <c r="W973" s="10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2.75" customHeight="1">
      <c r="A974" s="10"/>
      <c r="B974" s="11"/>
      <c r="C974" s="10"/>
      <c r="D974" s="11"/>
      <c r="E974" s="10"/>
      <c r="F974" s="1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0"/>
      <c r="V974" s="11"/>
      <c r="W974" s="10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2.75" customHeight="1">
      <c r="A975" s="10"/>
      <c r="B975" s="11"/>
      <c r="C975" s="10"/>
      <c r="D975" s="11"/>
      <c r="E975" s="10"/>
      <c r="F975" s="1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0"/>
      <c r="V975" s="11"/>
      <c r="W975" s="10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2.75" customHeight="1">
      <c r="A976" s="10"/>
      <c r="B976" s="11"/>
      <c r="C976" s="10"/>
      <c r="D976" s="11"/>
      <c r="E976" s="10"/>
      <c r="F976" s="1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0"/>
      <c r="V976" s="11"/>
      <c r="W976" s="10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2.75" customHeight="1">
      <c r="A977" s="10"/>
      <c r="B977" s="11"/>
      <c r="C977" s="10"/>
      <c r="D977" s="11"/>
      <c r="E977" s="10"/>
      <c r="F977" s="1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0"/>
      <c r="V977" s="11"/>
      <c r="W977" s="10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2.75" customHeight="1">
      <c r="A978" s="10"/>
      <c r="B978" s="11"/>
      <c r="C978" s="10"/>
      <c r="D978" s="11"/>
      <c r="E978" s="10"/>
      <c r="F978" s="1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0"/>
      <c r="V978" s="11"/>
      <c r="W978" s="10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2.75" customHeight="1">
      <c r="A979" s="10"/>
      <c r="B979" s="11"/>
      <c r="C979" s="10"/>
      <c r="D979" s="11"/>
      <c r="E979" s="10"/>
      <c r="F979" s="1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0"/>
      <c r="V979" s="11"/>
      <c r="W979" s="10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2.75" customHeight="1">
      <c r="A980" s="10"/>
      <c r="B980" s="11"/>
      <c r="C980" s="10"/>
      <c r="D980" s="11"/>
      <c r="E980" s="10"/>
      <c r="F980" s="1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0"/>
      <c r="V980" s="11"/>
      <c r="W980" s="10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2.75" customHeight="1">
      <c r="A981" s="10"/>
      <c r="B981" s="11"/>
      <c r="C981" s="10"/>
      <c r="D981" s="11"/>
      <c r="E981" s="10"/>
      <c r="F981" s="1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0"/>
      <c r="V981" s="11"/>
      <c r="W981" s="10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2.75" customHeight="1">
      <c r="A982" s="10"/>
      <c r="B982" s="11"/>
      <c r="C982" s="10"/>
      <c r="D982" s="11"/>
      <c r="E982" s="10"/>
      <c r="F982" s="1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0"/>
      <c r="V982" s="11"/>
      <c r="W982" s="10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2.75" customHeight="1">
      <c r="A983" s="10"/>
      <c r="B983" s="11"/>
      <c r="C983" s="10"/>
      <c r="D983" s="11"/>
      <c r="E983" s="10"/>
      <c r="F983" s="1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0"/>
      <c r="V983" s="11"/>
      <c r="W983" s="10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2.75" customHeight="1">
      <c r="A984" s="10"/>
      <c r="B984" s="11"/>
      <c r="C984" s="10"/>
      <c r="D984" s="11"/>
      <c r="E984" s="10"/>
      <c r="F984" s="1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0"/>
      <c r="V984" s="11"/>
      <c r="W984" s="10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2.75" customHeight="1">
      <c r="A985" s="10"/>
      <c r="B985" s="11"/>
      <c r="C985" s="10"/>
      <c r="D985" s="11"/>
      <c r="E985" s="10"/>
      <c r="F985" s="1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0"/>
      <c r="V985" s="11"/>
      <c r="W985" s="10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2.75" customHeight="1">
      <c r="A986" s="10"/>
      <c r="B986" s="11"/>
      <c r="C986" s="10"/>
      <c r="D986" s="11"/>
      <c r="E986" s="10"/>
      <c r="F986" s="1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0"/>
      <c r="V986" s="11"/>
      <c r="W986" s="10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2.75" customHeight="1">
      <c r="A987" s="10"/>
      <c r="B987" s="11"/>
      <c r="C987" s="10"/>
      <c r="D987" s="11"/>
      <c r="E987" s="10"/>
      <c r="F987" s="1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0"/>
      <c r="V987" s="11"/>
      <c r="W987" s="10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2.75" customHeight="1">
      <c r="A988" s="10"/>
      <c r="B988" s="11"/>
      <c r="C988" s="10"/>
      <c r="D988" s="11"/>
      <c r="E988" s="10"/>
      <c r="F988" s="1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0"/>
      <c r="V988" s="11"/>
      <c r="W988" s="10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2.75" customHeight="1">
      <c r="A989" s="10"/>
      <c r="B989" s="11"/>
      <c r="C989" s="10"/>
      <c r="D989" s="11"/>
      <c r="E989" s="10"/>
      <c r="F989" s="1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0"/>
      <c r="V989" s="11"/>
      <c r="W989" s="10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2.75" customHeight="1">
      <c r="A990" s="10"/>
      <c r="B990" s="11"/>
      <c r="C990" s="10"/>
      <c r="D990" s="11"/>
      <c r="E990" s="10"/>
      <c r="F990" s="1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0"/>
      <c r="V990" s="11"/>
      <c r="W990" s="10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2.75" customHeight="1">
      <c r="A991" s="10"/>
      <c r="B991" s="11"/>
      <c r="C991" s="10"/>
      <c r="D991" s="11"/>
      <c r="E991" s="10"/>
      <c r="F991" s="1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0"/>
      <c r="V991" s="11"/>
      <c r="W991" s="10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2.75" customHeight="1">
      <c r="A992" s="10"/>
      <c r="B992" s="11"/>
      <c r="C992" s="10"/>
      <c r="D992" s="11"/>
      <c r="E992" s="10"/>
      <c r="F992" s="1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0"/>
      <c r="V992" s="11"/>
      <c r="W992" s="10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2.75" customHeight="1">
      <c r="A993" s="10"/>
      <c r="B993" s="11"/>
      <c r="C993" s="10"/>
      <c r="D993" s="11"/>
      <c r="E993" s="10"/>
      <c r="F993" s="1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0"/>
      <c r="V993" s="11"/>
      <c r="W993" s="10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2.75" customHeight="1">
      <c r="A994" s="10"/>
      <c r="B994" s="11"/>
      <c r="C994" s="10"/>
      <c r="D994" s="11"/>
      <c r="E994" s="10"/>
      <c r="F994" s="1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0"/>
      <c r="V994" s="11"/>
      <c r="W994" s="10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2.75" customHeight="1">
      <c r="A995" s="10"/>
      <c r="B995" s="11"/>
      <c r="C995" s="10"/>
      <c r="D995" s="11"/>
      <c r="E995" s="10"/>
      <c r="F995" s="1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0"/>
      <c r="V995" s="11"/>
      <c r="W995" s="10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2.75" customHeight="1">
      <c r="A996" s="10"/>
      <c r="B996" s="11"/>
      <c r="C996" s="10"/>
      <c r="D996" s="11"/>
      <c r="E996" s="10"/>
      <c r="F996" s="1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0"/>
      <c r="V996" s="11"/>
      <c r="W996" s="10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2.75" customHeight="1">
      <c r="A997" s="10"/>
      <c r="B997" s="11"/>
      <c r="C997" s="10"/>
      <c r="D997" s="11"/>
      <c r="E997" s="10"/>
      <c r="F997" s="1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0"/>
      <c r="V997" s="11"/>
      <c r="W997" s="10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2.75" customHeight="1">
      <c r="A998" s="10"/>
      <c r="B998" s="11"/>
      <c r="C998" s="10"/>
      <c r="D998" s="11"/>
      <c r="E998" s="10"/>
      <c r="F998" s="1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0"/>
      <c r="V998" s="11"/>
      <c r="W998" s="10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2.75" customHeight="1">
      <c r="A999" s="10"/>
      <c r="B999" s="11"/>
      <c r="C999" s="10"/>
      <c r="D999" s="11"/>
      <c r="E999" s="10"/>
      <c r="F999" s="1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0"/>
      <c r="V999" s="11"/>
      <c r="W999" s="10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2.75" customHeight="1">
      <c r="A1000" s="10"/>
      <c r="B1000" s="11"/>
      <c r="C1000" s="10"/>
      <c r="D1000" s="11"/>
      <c r="E1000" s="10"/>
      <c r="F1000" s="1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0"/>
      <c r="V1000" s="11"/>
      <c r="W1000" s="10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5.13" defaultRowHeight="15.0"/>
  <cols>
    <col customWidth="1" min="1" max="1" width="4.0"/>
    <col customWidth="1" min="2" max="2" width="7.75"/>
    <col customWidth="1" min="3" max="3" width="10.88"/>
    <col customWidth="1" min="4" max="4" width="3.0"/>
    <col customWidth="1" min="5" max="5" width="2.63"/>
    <col customWidth="1" min="6" max="6" width="6.63"/>
    <col customWidth="1" min="7" max="7" width="2.75"/>
    <col customWidth="1" min="8" max="9" width="3.5"/>
    <col customWidth="1" min="10" max="10" width="2.75"/>
    <col customWidth="1" min="11" max="11" width="3.25"/>
    <col customWidth="1" min="12" max="12" width="3.13"/>
    <col customWidth="1" min="13" max="13" width="4.63"/>
    <col customWidth="1" min="14" max="19" width="4.5"/>
    <col customWidth="1" min="20" max="20" width="5.38"/>
    <col customWidth="1" min="21" max="21" width="3.13"/>
    <col customWidth="1" min="22" max="22" width="9.0"/>
    <col customWidth="1" min="23" max="23" width="3.13"/>
    <col customWidth="1" min="24" max="24" width="2.63"/>
    <col customWidth="1" min="25" max="25" width="7.25"/>
    <col customWidth="1" min="26" max="26" width="7.88"/>
    <col customWidth="1" min="27" max="3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3">
        <v>1.0</v>
      </c>
      <c r="B2" s="4" t="s">
        <v>26</v>
      </c>
      <c r="C2" s="3"/>
      <c r="D2" s="4">
        <v>6.0</v>
      </c>
      <c r="E2" s="3">
        <v>4.0</v>
      </c>
      <c r="F2" s="3">
        <f t="shared" ref="F2:F49" si="1">D2-E2</f>
        <v>2</v>
      </c>
      <c r="G2" s="5">
        <v>0.0</v>
      </c>
      <c r="H2" s="5">
        <v>0.0</v>
      </c>
      <c r="I2" s="5">
        <v>2.0</v>
      </c>
      <c r="J2" s="5">
        <v>0.0</v>
      </c>
      <c r="K2" s="5">
        <v>0.0</v>
      </c>
      <c r="L2" s="5">
        <v>0.0</v>
      </c>
      <c r="M2" s="4" t="s">
        <v>27</v>
      </c>
      <c r="N2" s="5">
        <f>(E2-1)+VLOOKUP(M2,Size,2,0)</f>
        <v>5</v>
      </c>
      <c r="O2" s="5">
        <f>VLOOKUP(E2,LevelData,4)</f>
        <v>4</v>
      </c>
      <c r="P2" s="5">
        <f>O2+VLOOKUP(M2,Size,3,0)</f>
        <v>6</v>
      </c>
      <c r="Q2" s="5">
        <f t="shared" ref="Q2:Q49" si="2">R2</f>
        <v>4</v>
      </c>
      <c r="R2" s="5">
        <f>VLOOKUP(E2,LevelData,2)</f>
        <v>4</v>
      </c>
      <c r="S2" s="5">
        <f t="shared" ref="S2:S49" si="3">R2</f>
        <v>4</v>
      </c>
      <c r="T2" s="4"/>
      <c r="U2" s="3"/>
      <c r="V2" s="6"/>
      <c r="W2" s="3"/>
      <c r="X2" s="4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3">
        <f t="shared" ref="A3:A49" si="4">A2+1</f>
        <v>2</v>
      </c>
      <c r="B3" s="4"/>
      <c r="C3" s="3"/>
      <c r="D3" s="4">
        <f t="shared" ref="D3:D49" si="5">D2+1</f>
        <v>7</v>
      </c>
      <c r="E3" s="3">
        <v>5.0</v>
      </c>
      <c r="F3" s="3">
        <f t="shared" si="1"/>
        <v>2</v>
      </c>
      <c r="G3" s="5"/>
      <c r="H3" s="5"/>
      <c r="I3" s="5"/>
      <c r="J3" s="5"/>
      <c r="K3" s="5"/>
      <c r="L3" s="5"/>
      <c r="M3" s="4" t="s">
        <v>27</v>
      </c>
      <c r="N3" s="5">
        <f>(E3-1)+VLOOKUP(M3,Size,2,0)</f>
        <v>6</v>
      </c>
      <c r="O3" s="5">
        <f>VLOOKUP(E3,LevelData,4)</f>
        <v>5</v>
      </c>
      <c r="P3" s="5">
        <f>O3+VLOOKUP(M3,Size,3,0)</f>
        <v>7</v>
      </c>
      <c r="Q3" s="5">
        <f t="shared" si="2"/>
        <v>4</v>
      </c>
      <c r="R3" s="5">
        <f>VLOOKUP(E3,LevelData,2)</f>
        <v>4</v>
      </c>
      <c r="S3" s="5">
        <f t="shared" si="3"/>
        <v>4</v>
      </c>
      <c r="T3" s="4"/>
      <c r="U3" s="3"/>
      <c r="V3" s="4"/>
      <c r="W3" s="3"/>
      <c r="X3" s="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3">
        <f t="shared" si="4"/>
        <v>3</v>
      </c>
      <c r="B4" s="4"/>
      <c r="C4" s="3"/>
      <c r="D4" s="4">
        <f t="shared" si="5"/>
        <v>8</v>
      </c>
      <c r="E4" s="3">
        <v>6.0</v>
      </c>
      <c r="F4" s="3">
        <f t="shared" si="1"/>
        <v>2</v>
      </c>
      <c r="G4" s="5"/>
      <c r="H4" s="5"/>
      <c r="I4" s="5"/>
      <c r="J4" s="5"/>
      <c r="K4" s="5"/>
      <c r="L4" s="5"/>
      <c r="M4" s="4" t="s">
        <v>27</v>
      </c>
      <c r="N4" s="5">
        <f>(E4-1)+VLOOKUP(M4,Size,2,0)</f>
        <v>7</v>
      </c>
      <c r="O4" s="5">
        <f>VLOOKUP(E4,LevelData,4)</f>
        <v>6</v>
      </c>
      <c r="P4" s="5">
        <f>O4+VLOOKUP(M4,Size,3,0)</f>
        <v>8</v>
      </c>
      <c r="Q4" s="5">
        <f t="shared" si="2"/>
        <v>5</v>
      </c>
      <c r="R4" s="5">
        <f>VLOOKUP(E4,LevelData,2)</f>
        <v>5</v>
      </c>
      <c r="S4" s="5">
        <f t="shared" si="3"/>
        <v>5</v>
      </c>
      <c r="T4" s="4"/>
      <c r="U4" s="3"/>
      <c r="V4" s="4"/>
      <c r="W4" s="3"/>
      <c r="X4" s="4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2.75" customHeight="1">
      <c r="A5" s="7">
        <f t="shared" si="4"/>
        <v>4</v>
      </c>
      <c r="B5" s="8"/>
      <c r="C5" s="7"/>
      <c r="D5" s="8">
        <f t="shared" si="5"/>
        <v>9</v>
      </c>
      <c r="E5" s="7">
        <v>6.0</v>
      </c>
      <c r="F5" s="7">
        <f t="shared" si="1"/>
        <v>3</v>
      </c>
      <c r="G5" s="9"/>
      <c r="H5" s="9"/>
      <c r="I5" s="9"/>
      <c r="J5" s="9"/>
      <c r="K5" s="9"/>
      <c r="L5" s="9"/>
      <c r="M5" s="8" t="s">
        <v>27</v>
      </c>
      <c r="N5" s="9">
        <f>(E5-1)+VLOOKUP(M5,Size,2,0)</f>
        <v>7</v>
      </c>
      <c r="O5" s="9">
        <f>VLOOKUP(E5,LevelData,4)</f>
        <v>6</v>
      </c>
      <c r="P5" s="9">
        <f>O5+VLOOKUP(M5,Size,3,0)</f>
        <v>8</v>
      </c>
      <c r="Q5" s="9">
        <f t="shared" si="2"/>
        <v>5</v>
      </c>
      <c r="R5" s="9">
        <f>VLOOKUP(E5,LevelData,2)</f>
        <v>5</v>
      </c>
      <c r="S5" s="9">
        <f t="shared" si="3"/>
        <v>5</v>
      </c>
      <c r="T5" s="8"/>
      <c r="U5" s="7"/>
      <c r="V5" s="8"/>
      <c r="W5" s="7"/>
      <c r="X5" s="8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t="12.75" customHeight="1">
      <c r="A6" s="10">
        <f t="shared" si="4"/>
        <v>5</v>
      </c>
      <c r="B6" s="11" t="s">
        <v>35</v>
      </c>
      <c r="C6" s="10"/>
      <c r="D6" s="11">
        <f t="shared" si="5"/>
        <v>10</v>
      </c>
      <c r="E6" s="10">
        <v>7.0</v>
      </c>
      <c r="F6" s="10">
        <f t="shared" si="1"/>
        <v>3</v>
      </c>
      <c r="G6" s="12"/>
      <c r="H6" s="12"/>
      <c r="I6" s="12"/>
      <c r="J6" s="12"/>
      <c r="K6" s="12"/>
      <c r="L6" s="12"/>
      <c r="M6" s="11" t="s">
        <v>36</v>
      </c>
      <c r="N6" s="12">
        <f>(E6-1)+VLOOKUP(M6,Size,2,0)</f>
        <v>7</v>
      </c>
      <c r="O6" s="12">
        <f>VLOOKUP(E6,LevelData,4)</f>
        <v>7</v>
      </c>
      <c r="P6" s="12">
        <f>O6+VLOOKUP(M6,Size,3,0)</f>
        <v>8</v>
      </c>
      <c r="Q6" s="12">
        <f t="shared" si="2"/>
        <v>5</v>
      </c>
      <c r="R6" s="12">
        <f>VLOOKUP(E6,LevelData,2)</f>
        <v>5</v>
      </c>
      <c r="S6" s="12">
        <f t="shared" si="3"/>
        <v>5</v>
      </c>
      <c r="T6" s="11"/>
      <c r="U6" s="10"/>
      <c r="V6" s="11"/>
      <c r="W6" s="10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2.75" customHeight="1">
      <c r="A7" s="10">
        <f t="shared" si="4"/>
        <v>6</v>
      </c>
      <c r="B7" s="11"/>
      <c r="C7" s="10"/>
      <c r="D7" s="11">
        <f t="shared" si="5"/>
        <v>11</v>
      </c>
      <c r="E7" s="10">
        <v>8.0</v>
      </c>
      <c r="F7" s="10">
        <f t="shared" si="1"/>
        <v>3</v>
      </c>
      <c r="G7" s="12"/>
      <c r="H7" s="12"/>
      <c r="I7" s="12"/>
      <c r="J7" s="12"/>
      <c r="K7" s="12"/>
      <c r="L7" s="12"/>
      <c r="M7" s="11" t="s">
        <v>36</v>
      </c>
      <c r="N7" s="12">
        <f>(E7-1)+VLOOKUP(M7,Size,2,0)</f>
        <v>8</v>
      </c>
      <c r="O7" s="12">
        <f>VLOOKUP(E7,LevelData,4)</f>
        <v>8</v>
      </c>
      <c r="P7" s="12">
        <f>O7+VLOOKUP(M7,Size,3,0)</f>
        <v>9</v>
      </c>
      <c r="Q7" s="12">
        <f t="shared" si="2"/>
        <v>6</v>
      </c>
      <c r="R7" s="12">
        <f>VLOOKUP(E7,LevelData,2)</f>
        <v>6</v>
      </c>
      <c r="S7" s="12">
        <f t="shared" si="3"/>
        <v>6</v>
      </c>
      <c r="T7" s="11"/>
      <c r="U7" s="10"/>
      <c r="V7" s="11"/>
      <c r="W7" s="10"/>
      <c r="X7" s="11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2.75" customHeight="1">
      <c r="A8" s="10">
        <f t="shared" si="4"/>
        <v>7</v>
      </c>
      <c r="B8" s="11"/>
      <c r="C8" s="10"/>
      <c r="D8" s="11">
        <f t="shared" si="5"/>
        <v>12</v>
      </c>
      <c r="E8" s="10">
        <v>9.0</v>
      </c>
      <c r="F8" s="10">
        <f t="shared" si="1"/>
        <v>3</v>
      </c>
      <c r="G8" s="12"/>
      <c r="H8" s="12"/>
      <c r="I8" s="12"/>
      <c r="J8" s="12"/>
      <c r="K8" s="12"/>
      <c r="L8" s="12"/>
      <c r="M8" s="11" t="s">
        <v>36</v>
      </c>
      <c r="N8" s="12">
        <f>(E8-1)+VLOOKUP(M8,Size,2,0)</f>
        <v>9</v>
      </c>
      <c r="O8" s="12">
        <f>VLOOKUP(E8,LevelData,4)</f>
        <v>9</v>
      </c>
      <c r="P8" s="12">
        <f>O8+VLOOKUP(M8,Size,3,0)</f>
        <v>10</v>
      </c>
      <c r="Q8" s="12">
        <f t="shared" si="2"/>
        <v>6</v>
      </c>
      <c r="R8" s="12">
        <f>VLOOKUP(E8,LevelData,2)</f>
        <v>6</v>
      </c>
      <c r="S8" s="12">
        <f t="shared" si="3"/>
        <v>6</v>
      </c>
      <c r="T8" s="11"/>
      <c r="U8" s="10"/>
      <c r="V8" s="11"/>
      <c r="W8" s="10"/>
      <c r="X8" s="11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12.75" customHeight="1">
      <c r="A9" s="1">
        <f t="shared" si="4"/>
        <v>8</v>
      </c>
      <c r="B9" s="2"/>
      <c r="C9" s="1"/>
      <c r="D9" s="2">
        <f t="shared" si="5"/>
        <v>13</v>
      </c>
      <c r="E9" s="1">
        <v>9.0</v>
      </c>
      <c r="F9" s="1">
        <f t="shared" si="1"/>
        <v>4</v>
      </c>
      <c r="G9" s="13"/>
      <c r="H9" s="13"/>
      <c r="I9" s="13"/>
      <c r="J9" s="13"/>
      <c r="K9" s="13"/>
      <c r="L9" s="13"/>
      <c r="M9" s="2" t="s">
        <v>36</v>
      </c>
      <c r="N9" s="13">
        <f>(E9-1)+VLOOKUP(M9,Size,2,0)</f>
        <v>9</v>
      </c>
      <c r="O9" s="13">
        <f>VLOOKUP(E9,LevelData,4)</f>
        <v>9</v>
      </c>
      <c r="P9" s="13">
        <f>O9+VLOOKUP(M9,Size,3,0)</f>
        <v>10</v>
      </c>
      <c r="Q9" s="13">
        <f t="shared" si="2"/>
        <v>6</v>
      </c>
      <c r="R9" s="13">
        <f>VLOOKUP(E9,LevelData,2)</f>
        <v>6</v>
      </c>
      <c r="S9" s="13">
        <f t="shared" si="3"/>
        <v>6</v>
      </c>
      <c r="T9" s="2"/>
      <c r="U9" s="1"/>
      <c r="V9" s="2"/>
      <c r="W9" s="1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2.75" customHeight="1">
      <c r="A10" s="3">
        <f t="shared" si="4"/>
        <v>9</v>
      </c>
      <c r="B10" s="4" t="s">
        <v>39</v>
      </c>
      <c r="C10" s="3"/>
      <c r="D10" s="4">
        <f t="shared" si="5"/>
        <v>14</v>
      </c>
      <c r="E10" s="3">
        <v>10.0</v>
      </c>
      <c r="F10" s="3">
        <f t="shared" si="1"/>
        <v>4</v>
      </c>
      <c r="G10" s="5"/>
      <c r="H10" s="5"/>
      <c r="I10" s="5"/>
      <c r="J10" s="5"/>
      <c r="K10" s="5"/>
      <c r="L10" s="5"/>
      <c r="M10" s="4" t="s">
        <v>40</v>
      </c>
      <c r="N10" s="5">
        <f>(E10-1)+VLOOKUP(M10,Size,2,0)</f>
        <v>9</v>
      </c>
      <c r="O10" s="5">
        <f>VLOOKUP(E10,LevelData,4)</f>
        <v>10</v>
      </c>
      <c r="P10" s="5">
        <f>O10+VLOOKUP(M10,Size,3,0)</f>
        <v>10</v>
      </c>
      <c r="Q10" s="5">
        <f t="shared" si="2"/>
        <v>7</v>
      </c>
      <c r="R10" s="5">
        <f>VLOOKUP(E10,LevelData,2)</f>
        <v>7</v>
      </c>
      <c r="S10" s="5">
        <f t="shared" si="3"/>
        <v>7</v>
      </c>
      <c r="T10" s="4"/>
      <c r="U10" s="3"/>
      <c r="V10" s="4"/>
      <c r="W10" s="3"/>
      <c r="X10" s="4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3">
        <f t="shared" si="4"/>
        <v>10</v>
      </c>
      <c r="B11" s="4"/>
      <c r="C11" s="3"/>
      <c r="D11" s="4">
        <f t="shared" si="5"/>
        <v>15</v>
      </c>
      <c r="E11" s="3">
        <v>11.0</v>
      </c>
      <c r="F11" s="3">
        <f t="shared" si="1"/>
        <v>4</v>
      </c>
      <c r="G11" s="5"/>
      <c r="H11" s="5"/>
      <c r="I11" s="5"/>
      <c r="J11" s="5"/>
      <c r="K11" s="5"/>
      <c r="L11" s="5"/>
      <c r="M11" s="4" t="s">
        <v>40</v>
      </c>
      <c r="N11" s="5">
        <f>(E11-1)+VLOOKUP(M11,Size,2,0)</f>
        <v>10</v>
      </c>
      <c r="O11" s="5">
        <f>VLOOKUP(E11,LevelData,4)</f>
        <v>11</v>
      </c>
      <c r="P11" s="5">
        <f>O11+VLOOKUP(M11,Size,3,0)</f>
        <v>11</v>
      </c>
      <c r="Q11" s="5">
        <f t="shared" si="2"/>
        <v>7</v>
      </c>
      <c r="R11" s="5">
        <f>VLOOKUP(E11,LevelData,2)</f>
        <v>7</v>
      </c>
      <c r="S11" s="5">
        <f t="shared" si="3"/>
        <v>7</v>
      </c>
      <c r="T11" s="4"/>
      <c r="U11" s="3"/>
      <c r="V11" s="4"/>
      <c r="W11" s="3"/>
      <c r="X11" s="4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2.75" customHeight="1">
      <c r="A12" s="7">
        <f t="shared" si="4"/>
        <v>11</v>
      </c>
      <c r="B12" s="8"/>
      <c r="C12" s="7"/>
      <c r="D12" s="8">
        <f t="shared" si="5"/>
        <v>16</v>
      </c>
      <c r="E12" s="7">
        <v>12.0</v>
      </c>
      <c r="F12" s="7">
        <f t="shared" si="1"/>
        <v>4</v>
      </c>
      <c r="G12" s="9"/>
      <c r="H12" s="9"/>
      <c r="I12" s="9"/>
      <c r="J12" s="9"/>
      <c r="K12" s="9"/>
      <c r="L12" s="9"/>
      <c r="M12" s="8" t="s">
        <v>40</v>
      </c>
      <c r="N12" s="9">
        <f>(E12-1)+VLOOKUP(M12,Size,2,0)</f>
        <v>11</v>
      </c>
      <c r="O12" s="9">
        <f>VLOOKUP(E12,LevelData,4)</f>
        <v>12</v>
      </c>
      <c r="P12" s="9">
        <f>O12+VLOOKUP(M12,Size,3,0)</f>
        <v>12</v>
      </c>
      <c r="Q12" s="9">
        <f t="shared" si="2"/>
        <v>8</v>
      </c>
      <c r="R12" s="9">
        <f>VLOOKUP(E12,LevelData,2)</f>
        <v>8</v>
      </c>
      <c r="S12" s="9">
        <f t="shared" si="3"/>
        <v>8</v>
      </c>
      <c r="T12" s="8"/>
      <c r="U12" s="7"/>
      <c r="V12" s="8"/>
      <c r="W12" s="7"/>
      <c r="X12" s="8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ht="12.75" customHeight="1">
      <c r="A13" s="10">
        <f t="shared" si="4"/>
        <v>12</v>
      </c>
      <c r="B13" s="11" t="s">
        <v>44</v>
      </c>
      <c r="C13" s="10"/>
      <c r="D13" s="11">
        <f t="shared" si="5"/>
        <v>17</v>
      </c>
      <c r="E13" s="10">
        <v>13.0</v>
      </c>
      <c r="F13" s="10">
        <f t="shared" si="1"/>
        <v>4</v>
      </c>
      <c r="G13" s="12"/>
      <c r="H13" s="12"/>
      <c r="I13" s="12"/>
      <c r="J13" s="12"/>
      <c r="K13" s="12"/>
      <c r="L13" s="12"/>
      <c r="M13" s="11" t="s">
        <v>40</v>
      </c>
      <c r="N13" s="12">
        <f>(E13-1)+VLOOKUP(M13,Size,2,0)</f>
        <v>12</v>
      </c>
      <c r="O13" s="12">
        <f>VLOOKUP(E13,LevelData,4)</f>
        <v>13</v>
      </c>
      <c r="P13" s="12">
        <f>O13+VLOOKUP(M13,Size,3,0)</f>
        <v>13</v>
      </c>
      <c r="Q13" s="12">
        <f t="shared" si="2"/>
        <v>8</v>
      </c>
      <c r="R13" s="12">
        <f>VLOOKUP(E13,LevelData,2)</f>
        <v>8</v>
      </c>
      <c r="S13" s="12">
        <f t="shared" si="3"/>
        <v>8</v>
      </c>
      <c r="T13" s="11"/>
      <c r="U13" s="10"/>
      <c r="V13" s="11"/>
      <c r="W13" s="10"/>
      <c r="X13" s="11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12.75" customHeight="1">
      <c r="A14" s="10">
        <f t="shared" si="4"/>
        <v>13</v>
      </c>
      <c r="B14" s="11"/>
      <c r="C14" s="10">
        <v>26.0</v>
      </c>
      <c r="D14" s="11">
        <f t="shared" si="5"/>
        <v>18</v>
      </c>
      <c r="E14" s="10">
        <v>14.0</v>
      </c>
      <c r="F14" s="10">
        <f t="shared" si="1"/>
        <v>4</v>
      </c>
      <c r="G14" s="12"/>
      <c r="H14" s="12"/>
      <c r="I14" s="12"/>
      <c r="J14" s="12"/>
      <c r="K14" s="12"/>
      <c r="L14" s="12"/>
      <c r="M14" s="11" t="s">
        <v>40</v>
      </c>
      <c r="N14" s="12">
        <f>(E14-1)+VLOOKUP(M14,Size,2,0)</f>
        <v>13</v>
      </c>
      <c r="O14" s="12">
        <f>VLOOKUP(E14,LevelData,4)</f>
        <v>14</v>
      </c>
      <c r="P14" s="12">
        <f>O14+VLOOKUP(M14,Size,3,0)</f>
        <v>14</v>
      </c>
      <c r="Q14" s="12">
        <f t="shared" si="2"/>
        <v>9</v>
      </c>
      <c r="R14" s="12">
        <f>VLOOKUP(E14,LevelData,2)</f>
        <v>9</v>
      </c>
      <c r="S14" s="12">
        <f t="shared" si="3"/>
        <v>9</v>
      </c>
      <c r="T14" s="11"/>
      <c r="U14" s="10"/>
      <c r="V14" s="11"/>
      <c r="W14" s="10"/>
      <c r="X14" s="11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2.75" customHeight="1">
      <c r="A15" s="10">
        <f t="shared" si="4"/>
        <v>14</v>
      </c>
      <c r="B15" s="11"/>
      <c r="C15" s="10">
        <v>32.0</v>
      </c>
      <c r="D15" s="11">
        <f t="shared" si="5"/>
        <v>19</v>
      </c>
      <c r="E15" s="10">
        <v>15.0</v>
      </c>
      <c r="F15" s="10">
        <f t="shared" si="1"/>
        <v>4</v>
      </c>
      <c r="G15" s="12"/>
      <c r="H15" s="12"/>
      <c r="I15" s="12"/>
      <c r="J15" s="12"/>
      <c r="K15" s="12"/>
      <c r="L15" s="12"/>
      <c r="M15" s="11" t="s">
        <v>40</v>
      </c>
      <c r="N15" s="12">
        <f>(E15-1)+VLOOKUP(M15,Size,2,0)</f>
        <v>14</v>
      </c>
      <c r="O15" s="12">
        <f>VLOOKUP(E15,LevelData,4)</f>
        <v>15</v>
      </c>
      <c r="P15" s="12">
        <f>O15+VLOOKUP(M15,Size,3,0)</f>
        <v>15</v>
      </c>
      <c r="Q15" s="12">
        <f t="shared" si="2"/>
        <v>9</v>
      </c>
      <c r="R15" s="12">
        <f>VLOOKUP(E15,LevelData,2)</f>
        <v>9</v>
      </c>
      <c r="S15" s="12">
        <f t="shared" si="3"/>
        <v>9</v>
      </c>
      <c r="T15" s="11"/>
      <c r="U15" s="10"/>
      <c r="V15" s="11"/>
      <c r="W15" s="10"/>
      <c r="X15" s="11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2.75" customHeight="1">
      <c r="A16" s="1">
        <f t="shared" si="4"/>
        <v>15</v>
      </c>
      <c r="B16" s="2"/>
      <c r="C16" s="1">
        <v>39.0</v>
      </c>
      <c r="D16" s="2">
        <f t="shared" si="5"/>
        <v>20</v>
      </c>
      <c r="E16" s="1">
        <v>15.0</v>
      </c>
      <c r="F16" s="1">
        <f t="shared" si="1"/>
        <v>5</v>
      </c>
      <c r="G16" s="13"/>
      <c r="H16" s="13"/>
      <c r="I16" s="13"/>
      <c r="J16" s="13"/>
      <c r="K16" s="13"/>
      <c r="L16" s="13"/>
      <c r="M16" s="2" t="s">
        <v>40</v>
      </c>
      <c r="N16" s="13">
        <f>(E16-1)+VLOOKUP(M16,Size,2,0)</f>
        <v>14</v>
      </c>
      <c r="O16" s="13">
        <f>VLOOKUP(E16,LevelData,4)</f>
        <v>15</v>
      </c>
      <c r="P16" s="13">
        <f>O16+VLOOKUP(M16,Size,3,0)</f>
        <v>15</v>
      </c>
      <c r="Q16" s="13">
        <f t="shared" si="2"/>
        <v>9</v>
      </c>
      <c r="R16" s="13">
        <f>VLOOKUP(E16,LevelData,2)</f>
        <v>9</v>
      </c>
      <c r="S16" s="13">
        <f t="shared" si="3"/>
        <v>9</v>
      </c>
      <c r="T16" s="2"/>
      <c r="U16" s="1"/>
      <c r="V16" s="2"/>
      <c r="W16" s="1"/>
      <c r="X16" s="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12.75" customHeight="1">
      <c r="A17" s="3">
        <f t="shared" si="4"/>
        <v>16</v>
      </c>
      <c r="B17" s="4" t="s">
        <v>48</v>
      </c>
      <c r="C17" s="3">
        <v>45.0</v>
      </c>
      <c r="D17" s="4">
        <f t="shared" si="5"/>
        <v>21</v>
      </c>
      <c r="E17" s="3">
        <v>16.0</v>
      </c>
      <c r="F17" s="3">
        <f t="shared" si="1"/>
        <v>5</v>
      </c>
      <c r="G17" s="5"/>
      <c r="H17" s="5"/>
      <c r="I17" s="5"/>
      <c r="J17" s="5"/>
      <c r="K17" s="5"/>
      <c r="L17" s="5"/>
      <c r="M17" s="4" t="s">
        <v>49</v>
      </c>
      <c r="N17" s="5">
        <f>(E17-1)+VLOOKUP(M17,Size,2,0)</f>
        <v>14</v>
      </c>
      <c r="O17" s="5">
        <f>VLOOKUP(E17,LevelData,4)</f>
        <v>16</v>
      </c>
      <c r="P17" s="5">
        <f>O17+VLOOKUP(M17,Size,3,0)</f>
        <v>15</v>
      </c>
      <c r="Q17" s="5">
        <f t="shared" si="2"/>
        <v>10</v>
      </c>
      <c r="R17" s="5">
        <f>VLOOKUP(E17,LevelData,2)</f>
        <v>10</v>
      </c>
      <c r="S17" s="5">
        <f t="shared" si="3"/>
        <v>10</v>
      </c>
      <c r="T17" s="4"/>
      <c r="U17" s="3"/>
      <c r="V17" s="4">
        <f t="shared" ref="V17:V49" si="6">INT(10+(E17/2))</f>
        <v>18</v>
      </c>
      <c r="W17" s="3">
        <f t="shared" ref="W17:W49" si="7">INT((E17/2)+10)</f>
        <v>18</v>
      </c>
      <c r="X17" s="4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2.75" customHeight="1">
      <c r="A18" s="3">
        <f t="shared" si="4"/>
        <v>17</v>
      </c>
      <c r="B18" s="4"/>
      <c r="C18" s="3">
        <v>51.0</v>
      </c>
      <c r="D18" s="4">
        <f t="shared" si="5"/>
        <v>22</v>
      </c>
      <c r="E18" s="3">
        <v>17.0</v>
      </c>
      <c r="F18" s="3">
        <f t="shared" si="1"/>
        <v>5</v>
      </c>
      <c r="G18" s="5"/>
      <c r="H18" s="5"/>
      <c r="I18" s="5"/>
      <c r="J18" s="5"/>
      <c r="K18" s="5"/>
      <c r="L18" s="5"/>
      <c r="M18" s="4" t="s">
        <v>49</v>
      </c>
      <c r="N18" s="5">
        <f>(E18-1)+VLOOKUP(M18,Size,2,0)</f>
        <v>15</v>
      </c>
      <c r="O18" s="5">
        <f>VLOOKUP(E18,LevelData,4)</f>
        <v>17</v>
      </c>
      <c r="P18" s="5">
        <f>O18+VLOOKUP(M18,Size,3,0)</f>
        <v>16</v>
      </c>
      <c r="Q18" s="5">
        <f t="shared" si="2"/>
        <v>10</v>
      </c>
      <c r="R18" s="5">
        <f>VLOOKUP(E18,LevelData,2)</f>
        <v>10</v>
      </c>
      <c r="S18" s="5">
        <f t="shared" si="3"/>
        <v>10</v>
      </c>
      <c r="T18" s="4"/>
      <c r="U18" s="3"/>
      <c r="V18" s="4">
        <f t="shared" si="6"/>
        <v>18</v>
      </c>
      <c r="W18" s="3">
        <f t="shared" si="7"/>
        <v>18</v>
      </c>
      <c r="X18" s="4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3">
        <f t="shared" si="4"/>
        <v>18</v>
      </c>
      <c r="B19" s="4"/>
      <c r="C19" s="3">
        <v>63.0</v>
      </c>
      <c r="D19" s="4">
        <f t="shared" si="5"/>
        <v>23</v>
      </c>
      <c r="E19" s="3">
        <v>18.0</v>
      </c>
      <c r="F19" s="3">
        <f t="shared" si="1"/>
        <v>5</v>
      </c>
      <c r="G19" s="5"/>
      <c r="H19" s="5"/>
      <c r="I19" s="5"/>
      <c r="J19" s="5"/>
      <c r="K19" s="5"/>
      <c r="L19" s="5"/>
      <c r="M19" s="4" t="s">
        <v>49</v>
      </c>
      <c r="N19" s="5">
        <f>(E19-1)+VLOOKUP(M19,Size,2,0)</f>
        <v>16</v>
      </c>
      <c r="O19" s="5">
        <f>VLOOKUP(E19,LevelData,4)</f>
        <v>18</v>
      </c>
      <c r="P19" s="5">
        <f>O19+VLOOKUP(M19,Size,3,0)</f>
        <v>17</v>
      </c>
      <c r="Q19" s="5">
        <f t="shared" si="2"/>
        <v>11</v>
      </c>
      <c r="R19" s="5">
        <f>VLOOKUP(E19,LevelData,2)</f>
        <v>11</v>
      </c>
      <c r="S19" s="5">
        <f t="shared" si="3"/>
        <v>11</v>
      </c>
      <c r="T19" s="4"/>
      <c r="U19" s="3"/>
      <c r="V19" s="4">
        <f t="shared" si="6"/>
        <v>19</v>
      </c>
      <c r="W19" s="3">
        <f t="shared" si="7"/>
        <v>19</v>
      </c>
      <c r="X19" s="4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7">
        <f t="shared" si="4"/>
        <v>19</v>
      </c>
      <c r="B20" s="8"/>
      <c r="C20" s="7">
        <v>75.0</v>
      </c>
      <c r="D20" s="8">
        <f t="shared" si="5"/>
        <v>24</v>
      </c>
      <c r="E20" s="7">
        <v>18.0</v>
      </c>
      <c r="F20" s="7">
        <f t="shared" si="1"/>
        <v>6</v>
      </c>
      <c r="G20" s="9"/>
      <c r="H20" s="9"/>
      <c r="I20" s="9"/>
      <c r="J20" s="9"/>
      <c r="K20" s="9"/>
      <c r="L20" s="9"/>
      <c r="M20" s="8" t="s">
        <v>49</v>
      </c>
      <c r="N20" s="9">
        <f>(E20-1)+VLOOKUP(M20,Size,2,0)</f>
        <v>16</v>
      </c>
      <c r="O20" s="9">
        <f>VLOOKUP(E20,LevelData,4)</f>
        <v>18</v>
      </c>
      <c r="P20" s="9">
        <f>O20+VLOOKUP(M20,Size,3,0)</f>
        <v>17</v>
      </c>
      <c r="Q20" s="9">
        <f t="shared" si="2"/>
        <v>11</v>
      </c>
      <c r="R20" s="9">
        <f>VLOOKUP(E20,LevelData,2)</f>
        <v>11</v>
      </c>
      <c r="S20" s="9">
        <f t="shared" si="3"/>
        <v>11</v>
      </c>
      <c r="T20" s="8"/>
      <c r="U20" s="7"/>
      <c r="V20" s="8">
        <f t="shared" si="6"/>
        <v>19</v>
      </c>
      <c r="W20" s="7">
        <f t="shared" si="7"/>
        <v>19</v>
      </c>
      <c r="X20" s="8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ht="12.75" customHeight="1">
      <c r="A21" s="10">
        <f t="shared" si="4"/>
        <v>20</v>
      </c>
      <c r="B21" s="11" t="s">
        <v>53</v>
      </c>
      <c r="C21" s="10">
        <v>87.0</v>
      </c>
      <c r="D21" s="11">
        <f t="shared" si="5"/>
        <v>25</v>
      </c>
      <c r="E21" s="10">
        <v>19.0</v>
      </c>
      <c r="F21" s="10">
        <f t="shared" si="1"/>
        <v>6</v>
      </c>
      <c r="G21" s="12"/>
      <c r="H21" s="12"/>
      <c r="I21" s="12"/>
      <c r="J21" s="12"/>
      <c r="K21" s="12"/>
      <c r="L21" s="12"/>
      <c r="M21" s="11" t="s">
        <v>49</v>
      </c>
      <c r="N21" s="12">
        <f>(E21-1)+VLOOKUP(M21,Size,2,0)</f>
        <v>17</v>
      </c>
      <c r="O21" s="12">
        <f>VLOOKUP(E21,LevelData,4)</f>
        <v>19</v>
      </c>
      <c r="P21" s="12">
        <f>O21+VLOOKUP(M21,Size,3,0)</f>
        <v>18</v>
      </c>
      <c r="Q21" s="12">
        <f t="shared" si="2"/>
        <v>11</v>
      </c>
      <c r="R21" s="12">
        <f>VLOOKUP(E21,LevelData,2)</f>
        <v>11</v>
      </c>
      <c r="S21" s="12">
        <f t="shared" si="3"/>
        <v>11</v>
      </c>
      <c r="T21" s="11"/>
      <c r="U21" s="10"/>
      <c r="V21" s="11">
        <f t="shared" si="6"/>
        <v>19</v>
      </c>
      <c r="W21" s="10">
        <f t="shared" si="7"/>
        <v>19</v>
      </c>
      <c r="X21" s="11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12.75" customHeight="1">
      <c r="A22" s="10">
        <f t="shared" si="4"/>
        <v>21</v>
      </c>
      <c r="B22" s="11"/>
      <c r="C22" s="10">
        <v>101.0</v>
      </c>
      <c r="D22" s="11">
        <f t="shared" si="5"/>
        <v>26</v>
      </c>
      <c r="E22" s="10">
        <v>20.0</v>
      </c>
      <c r="F22" s="10">
        <f t="shared" si="1"/>
        <v>6</v>
      </c>
      <c r="G22" s="12"/>
      <c r="H22" s="12"/>
      <c r="I22" s="12"/>
      <c r="J22" s="12"/>
      <c r="K22" s="12"/>
      <c r="L22" s="12"/>
      <c r="M22" s="11" t="s">
        <v>49</v>
      </c>
      <c r="N22" s="12">
        <f>(E22-1)+VLOOKUP(M22,Size,2,0)</f>
        <v>18</v>
      </c>
      <c r="O22" s="12">
        <f>VLOOKUP(E22,LevelData,4)</f>
        <v>20</v>
      </c>
      <c r="P22" s="12">
        <f>O22+VLOOKUP(M22,Size,3,0)</f>
        <v>19</v>
      </c>
      <c r="Q22" s="12">
        <f t="shared" si="2"/>
        <v>12</v>
      </c>
      <c r="R22" s="12">
        <f>VLOOKUP(E22,LevelData,2)</f>
        <v>12</v>
      </c>
      <c r="S22" s="12">
        <f t="shared" si="3"/>
        <v>12</v>
      </c>
      <c r="T22" s="11"/>
      <c r="U22" s="10"/>
      <c r="V22" s="11">
        <f t="shared" si="6"/>
        <v>20</v>
      </c>
      <c r="W22" s="10">
        <f t="shared" si="7"/>
        <v>20</v>
      </c>
      <c r="X22" s="11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2.75" customHeight="1">
      <c r="A23" s="10">
        <f t="shared" si="4"/>
        <v>22</v>
      </c>
      <c r="B23" s="11"/>
      <c r="C23" s="10">
        <v>126.0</v>
      </c>
      <c r="D23" s="11">
        <f t="shared" si="5"/>
        <v>27</v>
      </c>
      <c r="E23" s="10">
        <v>21.0</v>
      </c>
      <c r="F23" s="10">
        <f t="shared" si="1"/>
        <v>6</v>
      </c>
      <c r="G23" s="12"/>
      <c r="H23" s="12"/>
      <c r="I23" s="12"/>
      <c r="J23" s="12"/>
      <c r="K23" s="12"/>
      <c r="L23" s="12"/>
      <c r="M23" s="11" t="s">
        <v>49</v>
      </c>
      <c r="N23" s="12">
        <f>(E23-1)+VLOOKUP(M23,Size,2,0)</f>
        <v>19</v>
      </c>
      <c r="O23" s="12">
        <f>VLOOKUP(E23,LevelData,4)</f>
        <v>21</v>
      </c>
      <c r="P23" s="12">
        <f>O23+VLOOKUP(M23,Size,3,0)</f>
        <v>20</v>
      </c>
      <c r="Q23" s="12">
        <f t="shared" si="2"/>
        <v>12</v>
      </c>
      <c r="R23" s="12">
        <f>VLOOKUP(E23,LevelData,2)</f>
        <v>12</v>
      </c>
      <c r="S23" s="12">
        <f t="shared" si="3"/>
        <v>12</v>
      </c>
      <c r="T23" s="11"/>
      <c r="U23" s="10"/>
      <c r="V23" s="11">
        <f t="shared" si="6"/>
        <v>20</v>
      </c>
      <c r="W23" s="10">
        <f t="shared" si="7"/>
        <v>20</v>
      </c>
      <c r="X23" s="11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12.75" customHeight="1">
      <c r="A24" s="1">
        <f t="shared" si="4"/>
        <v>23</v>
      </c>
      <c r="B24" s="2"/>
      <c r="C24" s="1">
        <v>151.0</v>
      </c>
      <c r="D24" s="2">
        <f t="shared" si="5"/>
        <v>28</v>
      </c>
      <c r="E24" s="1">
        <v>21.0</v>
      </c>
      <c r="F24" s="1">
        <f t="shared" si="1"/>
        <v>7</v>
      </c>
      <c r="G24" s="13"/>
      <c r="H24" s="13"/>
      <c r="I24" s="13"/>
      <c r="J24" s="13"/>
      <c r="K24" s="13"/>
      <c r="L24" s="13"/>
      <c r="M24" s="2" t="s">
        <v>49</v>
      </c>
      <c r="N24" s="13">
        <f>(E24-1)+VLOOKUP(M24,Size,2,0)</f>
        <v>19</v>
      </c>
      <c r="O24" s="13">
        <f>VLOOKUP(E24,LevelData,4)</f>
        <v>21</v>
      </c>
      <c r="P24" s="13">
        <f>O24+VLOOKUP(M24,Size,3,0)</f>
        <v>20</v>
      </c>
      <c r="Q24" s="13">
        <f t="shared" si="2"/>
        <v>12</v>
      </c>
      <c r="R24" s="13">
        <f>VLOOKUP(E24,LevelData,2)</f>
        <v>12</v>
      </c>
      <c r="S24" s="13">
        <f t="shared" si="3"/>
        <v>12</v>
      </c>
      <c r="T24" s="2"/>
      <c r="U24" s="1"/>
      <c r="V24" s="2">
        <f t="shared" si="6"/>
        <v>20</v>
      </c>
      <c r="W24" s="1">
        <f t="shared" si="7"/>
        <v>20</v>
      </c>
      <c r="X24" s="2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2.75" customHeight="1">
      <c r="A25" s="3">
        <f t="shared" si="4"/>
        <v>24</v>
      </c>
      <c r="B25" s="4" t="s">
        <v>57</v>
      </c>
      <c r="C25" s="3">
        <v>176.0</v>
      </c>
      <c r="D25" s="4">
        <f t="shared" si="5"/>
        <v>29</v>
      </c>
      <c r="E25" s="3">
        <v>22.0</v>
      </c>
      <c r="F25" s="3">
        <f t="shared" si="1"/>
        <v>7</v>
      </c>
      <c r="G25" s="5"/>
      <c r="H25" s="5"/>
      <c r="I25" s="5"/>
      <c r="J25" s="5"/>
      <c r="K25" s="5"/>
      <c r="L25" s="5"/>
      <c r="M25" s="4" t="s">
        <v>58</v>
      </c>
      <c r="N25" s="5">
        <f>(E25-1)+VLOOKUP(M25,Size,2,0)</f>
        <v>19</v>
      </c>
      <c r="O25" s="5">
        <f>VLOOKUP(E25,LevelData,4)</f>
        <v>22</v>
      </c>
      <c r="P25" s="5">
        <f>O25+VLOOKUP(M25,Size,3,0)</f>
        <v>20</v>
      </c>
      <c r="Q25" s="5">
        <f t="shared" si="2"/>
        <v>13</v>
      </c>
      <c r="R25" s="5">
        <f>VLOOKUP(E25,LevelData,2)</f>
        <v>13</v>
      </c>
      <c r="S25" s="5">
        <f t="shared" si="3"/>
        <v>13</v>
      </c>
      <c r="T25" s="4"/>
      <c r="U25" s="3"/>
      <c r="V25" s="4">
        <f t="shared" si="6"/>
        <v>21</v>
      </c>
      <c r="W25" s="3">
        <f t="shared" si="7"/>
        <v>21</v>
      </c>
      <c r="X25" s="4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2.75" customHeight="1">
      <c r="A26" s="3">
        <f t="shared" si="4"/>
        <v>25</v>
      </c>
      <c r="B26" s="4"/>
      <c r="C26" s="3">
        <v>201.0</v>
      </c>
      <c r="D26" s="4">
        <f t="shared" si="5"/>
        <v>30</v>
      </c>
      <c r="E26" s="3">
        <v>23.0</v>
      </c>
      <c r="F26" s="3">
        <f t="shared" si="1"/>
        <v>7</v>
      </c>
      <c r="G26" s="5"/>
      <c r="H26" s="5"/>
      <c r="I26" s="5"/>
      <c r="J26" s="5"/>
      <c r="K26" s="5"/>
      <c r="L26" s="5"/>
      <c r="M26" s="4" t="s">
        <v>58</v>
      </c>
      <c r="N26" s="5">
        <f>(E26-1)+VLOOKUP(M26,Size,2,0)</f>
        <v>20</v>
      </c>
      <c r="O26" s="5">
        <f>VLOOKUP(E26,LevelData,4)</f>
        <v>23</v>
      </c>
      <c r="P26" s="5">
        <f>O26+VLOOKUP(M26,Size,3,0)</f>
        <v>21</v>
      </c>
      <c r="Q26" s="5">
        <f t="shared" si="2"/>
        <v>13</v>
      </c>
      <c r="R26" s="5">
        <f>VLOOKUP(E26,LevelData,2)</f>
        <v>13</v>
      </c>
      <c r="S26" s="5">
        <f t="shared" si="3"/>
        <v>13</v>
      </c>
      <c r="T26" s="4"/>
      <c r="U26" s="3"/>
      <c r="V26" s="4">
        <f t="shared" si="6"/>
        <v>21</v>
      </c>
      <c r="W26" s="3">
        <f t="shared" si="7"/>
        <v>21</v>
      </c>
      <c r="X26" s="4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3">
        <f t="shared" si="4"/>
        <v>26</v>
      </c>
      <c r="B27" s="4"/>
      <c r="C27" s="3">
        <v>251.0</v>
      </c>
      <c r="D27" s="4">
        <f t="shared" si="5"/>
        <v>31</v>
      </c>
      <c r="E27" s="3">
        <v>24.0</v>
      </c>
      <c r="F27" s="3">
        <f t="shared" si="1"/>
        <v>7</v>
      </c>
      <c r="G27" s="5"/>
      <c r="H27" s="5"/>
      <c r="I27" s="5"/>
      <c r="J27" s="5"/>
      <c r="K27" s="5"/>
      <c r="L27" s="5"/>
      <c r="M27" s="4" t="s">
        <v>58</v>
      </c>
      <c r="N27" s="5">
        <f>(E27-1)+VLOOKUP(M27,Size,2,0)</f>
        <v>21</v>
      </c>
      <c r="O27" s="5">
        <f>VLOOKUP(E27,LevelData,4)</f>
        <v>24</v>
      </c>
      <c r="P27" s="5">
        <f>O27+VLOOKUP(M27,Size,3,0)</f>
        <v>22</v>
      </c>
      <c r="Q27" s="5">
        <f t="shared" si="2"/>
        <v>14</v>
      </c>
      <c r="R27" s="5">
        <f>VLOOKUP(E27,LevelData,2)</f>
        <v>14</v>
      </c>
      <c r="S27" s="5">
        <f t="shared" si="3"/>
        <v>14</v>
      </c>
      <c r="T27" s="4"/>
      <c r="U27" s="3"/>
      <c r="V27" s="4">
        <f t="shared" si="6"/>
        <v>22</v>
      </c>
      <c r="W27" s="3">
        <f t="shared" si="7"/>
        <v>22</v>
      </c>
      <c r="X27" s="4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7">
        <f t="shared" si="4"/>
        <v>27</v>
      </c>
      <c r="B28" s="8"/>
      <c r="C28" s="7">
        <v>301.0</v>
      </c>
      <c r="D28" s="8">
        <f t="shared" si="5"/>
        <v>32</v>
      </c>
      <c r="E28" s="7">
        <v>24.0</v>
      </c>
      <c r="F28" s="7">
        <f t="shared" si="1"/>
        <v>8</v>
      </c>
      <c r="G28" s="9"/>
      <c r="H28" s="9"/>
      <c r="I28" s="9"/>
      <c r="J28" s="9"/>
      <c r="K28" s="9"/>
      <c r="L28" s="9"/>
      <c r="M28" s="8" t="s">
        <v>58</v>
      </c>
      <c r="N28" s="9">
        <f>(E28-1)+VLOOKUP(M28,Size,2,0)</f>
        <v>21</v>
      </c>
      <c r="O28" s="9">
        <f>VLOOKUP(E28,LevelData,4)</f>
        <v>24</v>
      </c>
      <c r="P28" s="9">
        <f>O28+VLOOKUP(M28,Size,3,0)</f>
        <v>22</v>
      </c>
      <c r="Q28" s="9">
        <f t="shared" si="2"/>
        <v>14</v>
      </c>
      <c r="R28" s="9">
        <f>VLOOKUP(E28,LevelData,2)</f>
        <v>14</v>
      </c>
      <c r="S28" s="9">
        <f t="shared" si="3"/>
        <v>14</v>
      </c>
      <c r="T28" s="8"/>
      <c r="U28" s="7"/>
      <c r="V28" s="8">
        <f t="shared" si="6"/>
        <v>22</v>
      </c>
      <c r="W28" s="7">
        <f t="shared" si="7"/>
        <v>22</v>
      </c>
      <c r="X28" s="8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ht="12.75" customHeight="1">
      <c r="A29" s="10">
        <f t="shared" si="4"/>
        <v>28</v>
      </c>
      <c r="B29" s="11" t="s">
        <v>62</v>
      </c>
      <c r="C29" s="10">
        <v>351.0</v>
      </c>
      <c r="D29" s="11">
        <f t="shared" si="5"/>
        <v>33</v>
      </c>
      <c r="E29" s="10">
        <v>25.0</v>
      </c>
      <c r="F29" s="10">
        <f t="shared" si="1"/>
        <v>8</v>
      </c>
      <c r="G29" s="12"/>
      <c r="H29" s="12"/>
      <c r="I29" s="12"/>
      <c r="J29" s="12"/>
      <c r="K29" s="12"/>
      <c r="L29" s="12"/>
      <c r="M29" s="11" t="s">
        <v>58</v>
      </c>
      <c r="N29" s="12">
        <f>(E29-1)+VLOOKUP(M29,Size,2,0)</f>
        <v>22</v>
      </c>
      <c r="O29" s="12">
        <f>VLOOKUP(E29,LevelData,4)</f>
        <v>25</v>
      </c>
      <c r="P29" s="12">
        <f>O29+VLOOKUP(M29,Size,3,0)</f>
        <v>23</v>
      </c>
      <c r="Q29" s="12">
        <f t="shared" si="2"/>
        <v>14</v>
      </c>
      <c r="R29" s="12">
        <f>VLOOKUP(E29,LevelData,2)</f>
        <v>14</v>
      </c>
      <c r="S29" s="12">
        <f t="shared" si="3"/>
        <v>14</v>
      </c>
      <c r="T29" s="11"/>
      <c r="U29" s="10"/>
      <c r="V29" s="11">
        <f t="shared" si="6"/>
        <v>22</v>
      </c>
      <c r="W29" s="10">
        <f t="shared" si="7"/>
        <v>22</v>
      </c>
      <c r="X29" s="11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12.75" customHeight="1">
      <c r="A30" s="10">
        <f t="shared" si="4"/>
        <v>29</v>
      </c>
      <c r="B30" s="11"/>
      <c r="C30" s="10">
        <v>401.0</v>
      </c>
      <c r="D30" s="11">
        <f t="shared" si="5"/>
        <v>34</v>
      </c>
      <c r="E30" s="10">
        <v>26.0</v>
      </c>
      <c r="F30" s="10">
        <f t="shared" si="1"/>
        <v>8</v>
      </c>
      <c r="G30" s="12"/>
      <c r="H30" s="12"/>
      <c r="I30" s="12"/>
      <c r="J30" s="12"/>
      <c r="K30" s="12"/>
      <c r="L30" s="12"/>
      <c r="M30" s="11" t="s">
        <v>58</v>
      </c>
      <c r="N30" s="12">
        <f>(E30-1)+VLOOKUP(M30,Size,2,0)</f>
        <v>23</v>
      </c>
      <c r="O30" s="12">
        <f>VLOOKUP(E30,LevelData,4)</f>
        <v>26</v>
      </c>
      <c r="P30" s="12">
        <f>O30+VLOOKUP(M30,Size,3,0)</f>
        <v>24</v>
      </c>
      <c r="Q30" s="12">
        <f t="shared" si="2"/>
        <v>15</v>
      </c>
      <c r="R30" s="12">
        <f>VLOOKUP(E30,LevelData,2)</f>
        <v>15</v>
      </c>
      <c r="S30" s="12">
        <f t="shared" si="3"/>
        <v>15</v>
      </c>
      <c r="T30" s="11"/>
      <c r="U30" s="10"/>
      <c r="V30" s="11">
        <f t="shared" si="6"/>
        <v>23</v>
      </c>
      <c r="W30" s="10">
        <f t="shared" si="7"/>
        <v>23</v>
      </c>
      <c r="X30" s="11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2.75" customHeight="1">
      <c r="A31" s="10">
        <f t="shared" si="4"/>
        <v>30</v>
      </c>
      <c r="B31" s="11"/>
      <c r="C31" s="10">
        <v>451.0</v>
      </c>
      <c r="D31" s="11">
        <f t="shared" si="5"/>
        <v>35</v>
      </c>
      <c r="E31" s="10">
        <v>27.0</v>
      </c>
      <c r="F31" s="10">
        <f t="shared" si="1"/>
        <v>8</v>
      </c>
      <c r="G31" s="12"/>
      <c r="H31" s="12"/>
      <c r="I31" s="12"/>
      <c r="J31" s="12"/>
      <c r="K31" s="12"/>
      <c r="L31" s="12"/>
      <c r="M31" s="11" t="s">
        <v>58</v>
      </c>
      <c r="N31" s="12">
        <f>(E31-1)+VLOOKUP(M31,Size,2,0)</f>
        <v>24</v>
      </c>
      <c r="O31" s="12">
        <f>VLOOKUP(E31,LevelData,4)</f>
        <v>27</v>
      </c>
      <c r="P31" s="12">
        <f>O31+VLOOKUP(M31,Size,3,0)</f>
        <v>25</v>
      </c>
      <c r="Q31" s="12">
        <f t="shared" si="2"/>
        <v>15</v>
      </c>
      <c r="R31" s="12">
        <f>VLOOKUP(E31,LevelData,2)</f>
        <v>15</v>
      </c>
      <c r="S31" s="12">
        <f t="shared" si="3"/>
        <v>15</v>
      </c>
      <c r="T31" s="11"/>
      <c r="U31" s="10"/>
      <c r="V31" s="11">
        <f t="shared" si="6"/>
        <v>23</v>
      </c>
      <c r="W31" s="10">
        <f t="shared" si="7"/>
        <v>23</v>
      </c>
      <c r="X31" s="11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12.75" customHeight="1">
      <c r="A32" s="1">
        <f t="shared" si="4"/>
        <v>31</v>
      </c>
      <c r="B32" s="2"/>
      <c r="C32" s="1">
        <v>501.0</v>
      </c>
      <c r="D32" s="2">
        <f t="shared" si="5"/>
        <v>36</v>
      </c>
      <c r="E32" s="1">
        <v>27.0</v>
      </c>
      <c r="F32" s="1">
        <f t="shared" si="1"/>
        <v>9</v>
      </c>
      <c r="G32" s="13"/>
      <c r="H32" s="13"/>
      <c r="I32" s="13"/>
      <c r="J32" s="13"/>
      <c r="K32" s="13"/>
      <c r="L32" s="13"/>
      <c r="M32" s="2" t="s">
        <v>58</v>
      </c>
      <c r="N32" s="13">
        <f>(E32-1)+VLOOKUP(M32,Size,2,0)</f>
        <v>24</v>
      </c>
      <c r="O32" s="13">
        <f>VLOOKUP(E32,LevelData,4)</f>
        <v>27</v>
      </c>
      <c r="P32" s="13">
        <f>O32+VLOOKUP(M32,Size,3,0)</f>
        <v>25</v>
      </c>
      <c r="Q32" s="13">
        <f t="shared" si="2"/>
        <v>15</v>
      </c>
      <c r="R32" s="13">
        <f>VLOOKUP(E32,LevelData,2)</f>
        <v>15</v>
      </c>
      <c r="S32" s="13">
        <f t="shared" si="3"/>
        <v>15</v>
      </c>
      <c r="T32" s="2"/>
      <c r="U32" s="1"/>
      <c r="V32" s="2">
        <f t="shared" si="6"/>
        <v>23</v>
      </c>
      <c r="W32" s="1">
        <f t="shared" si="7"/>
        <v>23</v>
      </c>
      <c r="X32" s="2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2.75" customHeight="1">
      <c r="A33" s="3">
        <f t="shared" si="4"/>
        <v>32</v>
      </c>
      <c r="B33" s="4" t="s">
        <v>67</v>
      </c>
      <c r="C33" s="3">
        <v>551.0</v>
      </c>
      <c r="D33" s="4">
        <f t="shared" si="5"/>
        <v>37</v>
      </c>
      <c r="E33" s="3">
        <v>28.0</v>
      </c>
      <c r="F33" s="3">
        <f t="shared" si="1"/>
        <v>9</v>
      </c>
      <c r="G33" s="5"/>
      <c r="H33" s="5"/>
      <c r="I33" s="5"/>
      <c r="J33" s="5"/>
      <c r="K33" s="5"/>
      <c r="L33" s="5"/>
      <c r="M33" s="4" t="s">
        <v>58</v>
      </c>
      <c r="N33" s="5">
        <f>(E33-1)+VLOOKUP(M33,Size,2,0)</f>
        <v>25</v>
      </c>
      <c r="O33" s="5">
        <f>VLOOKUP(E33,LevelData,4)</f>
        <v>28</v>
      </c>
      <c r="P33" s="5">
        <f>O33+VLOOKUP(M33,Size,3,0)</f>
        <v>26</v>
      </c>
      <c r="Q33" s="5">
        <f t="shared" si="2"/>
        <v>16</v>
      </c>
      <c r="R33" s="5">
        <f>VLOOKUP(E33,LevelData,2)</f>
        <v>16</v>
      </c>
      <c r="S33" s="5">
        <f t="shared" si="3"/>
        <v>16</v>
      </c>
      <c r="T33" s="4"/>
      <c r="U33" s="3"/>
      <c r="V33" s="4">
        <f t="shared" si="6"/>
        <v>24</v>
      </c>
      <c r="W33" s="3">
        <f t="shared" si="7"/>
        <v>24</v>
      </c>
      <c r="X33" s="4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2.75" customHeight="1">
      <c r="A34" s="3">
        <f t="shared" si="4"/>
        <v>33</v>
      </c>
      <c r="B34" s="4"/>
      <c r="C34" s="3">
        <v>601.0</v>
      </c>
      <c r="D34" s="4">
        <f t="shared" si="5"/>
        <v>38</v>
      </c>
      <c r="E34" s="3">
        <v>29.0</v>
      </c>
      <c r="F34" s="3">
        <f t="shared" si="1"/>
        <v>9</v>
      </c>
      <c r="G34" s="5"/>
      <c r="H34" s="5"/>
      <c r="I34" s="5"/>
      <c r="J34" s="5"/>
      <c r="K34" s="5"/>
      <c r="L34" s="5"/>
      <c r="M34" s="4" t="s">
        <v>58</v>
      </c>
      <c r="N34" s="5">
        <f>(E34-1)+VLOOKUP(M34,Size,2,0)</f>
        <v>26</v>
      </c>
      <c r="O34" s="5">
        <f>VLOOKUP(E34,LevelData,4)</f>
        <v>29</v>
      </c>
      <c r="P34" s="5">
        <f>O34+VLOOKUP(M34,Size,3,0)</f>
        <v>27</v>
      </c>
      <c r="Q34" s="5">
        <f t="shared" si="2"/>
        <v>16</v>
      </c>
      <c r="R34" s="5">
        <f>VLOOKUP(E34,LevelData,2)</f>
        <v>16</v>
      </c>
      <c r="S34" s="5">
        <f t="shared" si="3"/>
        <v>16</v>
      </c>
      <c r="T34" s="4"/>
      <c r="U34" s="3"/>
      <c r="V34" s="4">
        <f t="shared" si="6"/>
        <v>24</v>
      </c>
      <c r="W34" s="3">
        <f t="shared" si="7"/>
        <v>24</v>
      </c>
      <c r="X34" s="4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3">
        <f t="shared" si="4"/>
        <v>34</v>
      </c>
      <c r="B35" s="4"/>
      <c r="C35" s="3">
        <v>651.0</v>
      </c>
      <c r="D35" s="4">
        <f t="shared" si="5"/>
        <v>39</v>
      </c>
      <c r="E35" s="3">
        <v>30.0</v>
      </c>
      <c r="F35" s="3">
        <f t="shared" si="1"/>
        <v>9</v>
      </c>
      <c r="G35" s="5"/>
      <c r="H35" s="5"/>
      <c r="I35" s="5"/>
      <c r="J35" s="5"/>
      <c r="K35" s="5"/>
      <c r="L35" s="5"/>
      <c r="M35" s="4" t="s">
        <v>58</v>
      </c>
      <c r="N35" s="5">
        <f>(E35-1)+VLOOKUP(M35,Size,2,0)</f>
        <v>27</v>
      </c>
      <c r="O35" s="5">
        <f>VLOOKUP(E35,LevelData,4)</f>
        <v>30</v>
      </c>
      <c r="P35" s="5">
        <f>O35+VLOOKUP(M35,Size,3,0)</f>
        <v>28</v>
      </c>
      <c r="Q35" s="5">
        <f t="shared" si="2"/>
        <v>17</v>
      </c>
      <c r="R35" s="5">
        <f>VLOOKUP(E35,LevelData,2)</f>
        <v>17</v>
      </c>
      <c r="S35" s="5">
        <f t="shared" si="3"/>
        <v>17</v>
      </c>
      <c r="T35" s="4"/>
      <c r="U35" s="3"/>
      <c r="V35" s="4">
        <f t="shared" si="6"/>
        <v>25</v>
      </c>
      <c r="W35" s="3">
        <f t="shared" si="7"/>
        <v>25</v>
      </c>
      <c r="X35" s="4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7">
        <f t="shared" si="4"/>
        <v>35</v>
      </c>
      <c r="B36" s="8"/>
      <c r="C36" s="7">
        <v>701.0</v>
      </c>
      <c r="D36" s="8">
        <f t="shared" si="5"/>
        <v>40</v>
      </c>
      <c r="E36" s="7">
        <v>30.0</v>
      </c>
      <c r="F36" s="7">
        <f t="shared" si="1"/>
        <v>10</v>
      </c>
      <c r="G36" s="9"/>
      <c r="H36" s="9"/>
      <c r="I36" s="9"/>
      <c r="J36" s="9"/>
      <c r="K36" s="9"/>
      <c r="L36" s="9"/>
      <c r="M36" s="8" t="s">
        <v>58</v>
      </c>
      <c r="N36" s="9">
        <f>(E36-1)+VLOOKUP(M36,Size,2,0)</f>
        <v>27</v>
      </c>
      <c r="O36" s="9">
        <f>VLOOKUP(E36,LevelData,4)</f>
        <v>30</v>
      </c>
      <c r="P36" s="9">
        <f>O36+VLOOKUP(M36,Size,3,0)</f>
        <v>28</v>
      </c>
      <c r="Q36" s="9">
        <f t="shared" si="2"/>
        <v>17</v>
      </c>
      <c r="R36" s="9">
        <f>VLOOKUP(E36,LevelData,2)</f>
        <v>17</v>
      </c>
      <c r="S36" s="9">
        <f t="shared" si="3"/>
        <v>17</v>
      </c>
      <c r="T36" s="8"/>
      <c r="U36" s="7"/>
      <c r="V36" s="8">
        <f t="shared" si="6"/>
        <v>25</v>
      </c>
      <c r="W36" s="7">
        <f t="shared" si="7"/>
        <v>25</v>
      </c>
      <c r="X36" s="8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12.75" customHeight="1">
      <c r="A37" s="10">
        <f t="shared" si="4"/>
        <v>36</v>
      </c>
      <c r="B37" s="11" t="s">
        <v>71</v>
      </c>
      <c r="C37" s="10">
        <v>751.0</v>
      </c>
      <c r="D37" s="11">
        <f t="shared" si="5"/>
        <v>41</v>
      </c>
      <c r="E37" s="10">
        <v>31.0</v>
      </c>
      <c r="F37" s="10">
        <f t="shared" si="1"/>
        <v>10</v>
      </c>
      <c r="G37" s="12"/>
      <c r="H37" s="12"/>
      <c r="I37" s="12"/>
      <c r="J37" s="12"/>
      <c r="K37" s="12"/>
      <c r="L37" s="12"/>
      <c r="M37" s="11" t="s">
        <v>58</v>
      </c>
      <c r="N37" s="12">
        <f>(E37-1)+VLOOKUP(M37,Size,2,0)</f>
        <v>28</v>
      </c>
      <c r="O37" s="12">
        <f>VLOOKUP(E37,LevelData,4)</f>
        <v>31</v>
      </c>
      <c r="P37" s="12">
        <f>O37+VLOOKUP(M37,Size,3,0)</f>
        <v>29</v>
      </c>
      <c r="Q37" s="12">
        <f t="shared" si="2"/>
        <v>17</v>
      </c>
      <c r="R37" s="12">
        <f>VLOOKUP(E37,LevelData,2)</f>
        <v>17</v>
      </c>
      <c r="S37" s="12">
        <f t="shared" si="3"/>
        <v>17</v>
      </c>
      <c r="T37" s="11"/>
      <c r="U37" s="10"/>
      <c r="V37" s="11">
        <f t="shared" si="6"/>
        <v>25</v>
      </c>
      <c r="W37" s="10">
        <f t="shared" si="7"/>
        <v>25</v>
      </c>
      <c r="X37" s="11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12.75" customHeight="1">
      <c r="A38" s="10">
        <f t="shared" si="4"/>
        <v>37</v>
      </c>
      <c r="B38" s="11"/>
      <c r="C38" s="10">
        <v>801.0</v>
      </c>
      <c r="D38" s="11">
        <f t="shared" si="5"/>
        <v>42</v>
      </c>
      <c r="E38" s="10">
        <v>32.0</v>
      </c>
      <c r="F38" s="10">
        <f t="shared" si="1"/>
        <v>10</v>
      </c>
      <c r="G38" s="12"/>
      <c r="H38" s="12"/>
      <c r="I38" s="12"/>
      <c r="J38" s="12"/>
      <c r="K38" s="12"/>
      <c r="L38" s="12"/>
      <c r="M38" s="11" t="s">
        <v>58</v>
      </c>
      <c r="N38" s="12">
        <f>(E38-1)+VLOOKUP(M38,Size,2,0)</f>
        <v>29</v>
      </c>
      <c r="O38" s="12">
        <f>VLOOKUP(E38,LevelData,4)</f>
        <v>32</v>
      </c>
      <c r="P38" s="12">
        <f>O38+VLOOKUP(M38,Size,3,0)</f>
        <v>30</v>
      </c>
      <c r="Q38" s="12">
        <f t="shared" si="2"/>
        <v>18</v>
      </c>
      <c r="R38" s="12">
        <f>VLOOKUP(E38,LevelData,2)</f>
        <v>18</v>
      </c>
      <c r="S38" s="12">
        <f t="shared" si="3"/>
        <v>18</v>
      </c>
      <c r="T38" s="11"/>
      <c r="U38" s="10"/>
      <c r="V38" s="11">
        <f t="shared" si="6"/>
        <v>26</v>
      </c>
      <c r="W38" s="10">
        <f t="shared" si="7"/>
        <v>26</v>
      </c>
      <c r="X38" s="11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2.75" customHeight="1">
      <c r="A39" s="10">
        <f t="shared" si="4"/>
        <v>38</v>
      </c>
      <c r="B39" s="11"/>
      <c r="C39" s="10">
        <v>851.0</v>
      </c>
      <c r="D39" s="11">
        <f t="shared" si="5"/>
        <v>43</v>
      </c>
      <c r="E39" s="10">
        <v>33.0</v>
      </c>
      <c r="F39" s="10">
        <f t="shared" si="1"/>
        <v>10</v>
      </c>
      <c r="G39" s="12"/>
      <c r="H39" s="12"/>
      <c r="I39" s="12"/>
      <c r="J39" s="12"/>
      <c r="K39" s="12"/>
      <c r="L39" s="12"/>
      <c r="M39" s="11" t="s">
        <v>58</v>
      </c>
      <c r="N39" s="12">
        <f>(E39-1)+VLOOKUP(M39,Size,2,0)</f>
        <v>30</v>
      </c>
      <c r="O39" s="12">
        <f>VLOOKUP(E39,LevelData,4)</f>
        <v>33</v>
      </c>
      <c r="P39" s="12">
        <f>O39+VLOOKUP(M39,Size,3,0)</f>
        <v>31</v>
      </c>
      <c r="Q39" s="12">
        <f t="shared" si="2"/>
        <v>18</v>
      </c>
      <c r="R39" s="12">
        <f>VLOOKUP(E39,LevelData,2)</f>
        <v>18</v>
      </c>
      <c r="S39" s="12">
        <f t="shared" si="3"/>
        <v>18</v>
      </c>
      <c r="T39" s="11"/>
      <c r="U39" s="10"/>
      <c r="V39" s="11">
        <f t="shared" si="6"/>
        <v>26</v>
      </c>
      <c r="W39" s="10">
        <f t="shared" si="7"/>
        <v>26</v>
      </c>
      <c r="X39" s="11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12.75" customHeight="1">
      <c r="A40" s="1">
        <f t="shared" si="4"/>
        <v>39</v>
      </c>
      <c r="B40" s="2"/>
      <c r="C40" s="1">
        <v>901.0</v>
      </c>
      <c r="D40" s="2">
        <f t="shared" si="5"/>
        <v>44</v>
      </c>
      <c r="E40" s="1">
        <v>33.0</v>
      </c>
      <c r="F40" s="1">
        <f t="shared" si="1"/>
        <v>11</v>
      </c>
      <c r="G40" s="13"/>
      <c r="H40" s="13"/>
      <c r="I40" s="13"/>
      <c r="J40" s="13"/>
      <c r="K40" s="13"/>
      <c r="L40" s="13"/>
      <c r="M40" s="2" t="s">
        <v>58</v>
      </c>
      <c r="N40" s="13">
        <f>(E40-1)+VLOOKUP(M40,Size,2,0)</f>
        <v>30</v>
      </c>
      <c r="O40" s="13">
        <f>VLOOKUP(E40,LevelData,4)</f>
        <v>33</v>
      </c>
      <c r="P40" s="13">
        <f>O40+VLOOKUP(M40,Size,3,0)</f>
        <v>31</v>
      </c>
      <c r="Q40" s="13">
        <f t="shared" si="2"/>
        <v>18</v>
      </c>
      <c r="R40" s="13">
        <f>VLOOKUP(E40,LevelData,2)</f>
        <v>18</v>
      </c>
      <c r="S40" s="13">
        <f t="shared" si="3"/>
        <v>18</v>
      </c>
      <c r="T40" s="2"/>
      <c r="U40" s="1"/>
      <c r="V40" s="2">
        <f t="shared" si="6"/>
        <v>26</v>
      </c>
      <c r="W40" s="1">
        <f t="shared" si="7"/>
        <v>26</v>
      </c>
      <c r="X40" s="2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2.75" customHeight="1">
      <c r="A41" s="3">
        <f t="shared" si="4"/>
        <v>40</v>
      </c>
      <c r="B41" s="4" t="s">
        <v>76</v>
      </c>
      <c r="C41" s="3">
        <v>851.0</v>
      </c>
      <c r="D41" s="4">
        <f t="shared" si="5"/>
        <v>45</v>
      </c>
      <c r="E41" s="3">
        <v>34.0</v>
      </c>
      <c r="F41" s="3">
        <f t="shared" si="1"/>
        <v>11</v>
      </c>
      <c r="G41" s="5"/>
      <c r="H41" s="5"/>
      <c r="I41" s="5"/>
      <c r="J41" s="5"/>
      <c r="K41" s="5"/>
      <c r="L41" s="5"/>
      <c r="M41" s="4" t="s">
        <v>77</v>
      </c>
      <c r="N41" s="5">
        <f>(E41-1)+VLOOKUP(M41,Size,2,0)</f>
        <v>29</v>
      </c>
      <c r="O41" s="5">
        <f>VLOOKUP(E41,LevelData,4)</f>
        <v>34</v>
      </c>
      <c r="P41" s="5">
        <f>O41+VLOOKUP(M41,Size,3,0)</f>
        <v>30</v>
      </c>
      <c r="Q41" s="5">
        <f t="shared" si="2"/>
        <v>19</v>
      </c>
      <c r="R41" s="5">
        <f>VLOOKUP(E41,LevelData,2)</f>
        <v>19</v>
      </c>
      <c r="S41" s="5">
        <f t="shared" si="3"/>
        <v>19</v>
      </c>
      <c r="T41" s="4"/>
      <c r="U41" s="3"/>
      <c r="V41" s="4">
        <f t="shared" si="6"/>
        <v>27</v>
      </c>
      <c r="W41" s="3">
        <f t="shared" si="7"/>
        <v>27</v>
      </c>
      <c r="X41" s="4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2.75" customHeight="1">
      <c r="A42" s="3">
        <f t="shared" si="4"/>
        <v>41</v>
      </c>
      <c r="B42" s="4"/>
      <c r="C42" s="3">
        <v>1001.0</v>
      </c>
      <c r="D42" s="4">
        <f t="shared" si="5"/>
        <v>46</v>
      </c>
      <c r="E42" s="3">
        <v>35.0</v>
      </c>
      <c r="F42" s="3">
        <f t="shared" si="1"/>
        <v>11</v>
      </c>
      <c r="G42" s="5"/>
      <c r="H42" s="5"/>
      <c r="I42" s="5"/>
      <c r="J42" s="5"/>
      <c r="K42" s="5"/>
      <c r="L42" s="5"/>
      <c r="M42" s="4" t="s">
        <v>77</v>
      </c>
      <c r="N42" s="5">
        <f>(E42-1)+VLOOKUP(M42,Size,2,0)</f>
        <v>30</v>
      </c>
      <c r="O42" s="5">
        <f>VLOOKUP(E42,LevelData,4)</f>
        <v>35</v>
      </c>
      <c r="P42" s="5">
        <f>O42+VLOOKUP(M42,Size,3,0)</f>
        <v>31</v>
      </c>
      <c r="Q42" s="5">
        <f t="shared" si="2"/>
        <v>19</v>
      </c>
      <c r="R42" s="5">
        <f>VLOOKUP(E42,LevelData,2)</f>
        <v>19</v>
      </c>
      <c r="S42" s="5">
        <f t="shared" si="3"/>
        <v>19</v>
      </c>
      <c r="T42" s="4"/>
      <c r="U42" s="3"/>
      <c r="V42" s="4">
        <f t="shared" si="6"/>
        <v>27</v>
      </c>
      <c r="W42" s="3">
        <f t="shared" si="7"/>
        <v>27</v>
      </c>
      <c r="X42" s="4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3">
        <f t="shared" si="4"/>
        <v>42</v>
      </c>
      <c r="B43" s="4"/>
      <c r="C43" s="3">
        <v>1051.0</v>
      </c>
      <c r="D43" s="4">
        <f t="shared" si="5"/>
        <v>47</v>
      </c>
      <c r="E43" s="3">
        <v>36.0</v>
      </c>
      <c r="F43" s="3">
        <f t="shared" si="1"/>
        <v>11</v>
      </c>
      <c r="G43" s="5"/>
      <c r="H43" s="5"/>
      <c r="I43" s="5"/>
      <c r="J43" s="5"/>
      <c r="K43" s="5"/>
      <c r="L43" s="5"/>
      <c r="M43" s="4" t="s">
        <v>77</v>
      </c>
      <c r="N43" s="5">
        <f>(E43-1)+VLOOKUP(M43,Size,2,0)</f>
        <v>31</v>
      </c>
      <c r="O43" s="5">
        <f>VLOOKUP(E43,LevelData,4)</f>
        <v>36</v>
      </c>
      <c r="P43" s="5">
        <f>O43+VLOOKUP(M43,Size,3,0)</f>
        <v>32</v>
      </c>
      <c r="Q43" s="5">
        <f t="shared" si="2"/>
        <v>20</v>
      </c>
      <c r="R43" s="5">
        <f>VLOOKUP(E43,LevelData,2)</f>
        <v>20</v>
      </c>
      <c r="S43" s="5">
        <f t="shared" si="3"/>
        <v>20</v>
      </c>
      <c r="T43" s="4"/>
      <c r="U43" s="3"/>
      <c r="V43" s="4">
        <f t="shared" si="6"/>
        <v>28</v>
      </c>
      <c r="W43" s="3">
        <f t="shared" si="7"/>
        <v>28</v>
      </c>
      <c r="X43" s="4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7">
        <f t="shared" si="4"/>
        <v>43</v>
      </c>
      <c r="B44" s="8"/>
      <c r="C44" s="7">
        <v>1101.0</v>
      </c>
      <c r="D44" s="8">
        <f t="shared" si="5"/>
        <v>48</v>
      </c>
      <c r="E44" s="7">
        <v>36.0</v>
      </c>
      <c r="F44" s="7">
        <f t="shared" si="1"/>
        <v>12</v>
      </c>
      <c r="G44" s="9"/>
      <c r="H44" s="9"/>
      <c r="I44" s="9"/>
      <c r="J44" s="9"/>
      <c r="K44" s="9"/>
      <c r="L44" s="9"/>
      <c r="M44" s="8" t="s">
        <v>77</v>
      </c>
      <c r="N44" s="9">
        <f>(E44-1)+VLOOKUP(M44,Size,2,0)</f>
        <v>31</v>
      </c>
      <c r="O44" s="9">
        <f>VLOOKUP(E44,LevelData,4)</f>
        <v>36</v>
      </c>
      <c r="P44" s="9">
        <f>O44+VLOOKUP(M44,Size,3,0)</f>
        <v>32</v>
      </c>
      <c r="Q44" s="9">
        <f t="shared" si="2"/>
        <v>20</v>
      </c>
      <c r="R44" s="9">
        <f>VLOOKUP(E44,LevelData,2)</f>
        <v>20</v>
      </c>
      <c r="S44" s="9">
        <f t="shared" si="3"/>
        <v>20</v>
      </c>
      <c r="T44" s="8"/>
      <c r="U44" s="7"/>
      <c r="V44" s="8">
        <f t="shared" si="6"/>
        <v>28</v>
      </c>
      <c r="W44" s="7">
        <f t="shared" si="7"/>
        <v>28</v>
      </c>
      <c r="X44" s="8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ht="12.75" customHeight="1">
      <c r="A45" s="10">
        <f t="shared" si="4"/>
        <v>44</v>
      </c>
      <c r="B45" s="11" t="s">
        <v>81</v>
      </c>
      <c r="C45" s="10">
        <v>1151.0</v>
      </c>
      <c r="D45" s="11">
        <f t="shared" si="5"/>
        <v>49</v>
      </c>
      <c r="E45" s="10">
        <v>37.0</v>
      </c>
      <c r="F45" s="10">
        <f t="shared" si="1"/>
        <v>12</v>
      </c>
      <c r="G45" s="12"/>
      <c r="H45" s="12"/>
      <c r="I45" s="12"/>
      <c r="J45" s="12"/>
      <c r="K45" s="12"/>
      <c r="L45" s="12"/>
      <c r="M45" s="11" t="s">
        <v>77</v>
      </c>
      <c r="N45" s="12">
        <f>(E45-1)+VLOOKUP(M45,Size,2,0)</f>
        <v>32</v>
      </c>
      <c r="O45" s="12">
        <f>VLOOKUP(E45,LevelData,4)</f>
        <v>37</v>
      </c>
      <c r="P45" s="12">
        <f>O45+VLOOKUP(M45,Size,3,0)</f>
        <v>33</v>
      </c>
      <c r="Q45" s="12">
        <f t="shared" si="2"/>
        <v>20</v>
      </c>
      <c r="R45" s="12">
        <f>VLOOKUP(E45,LevelData,2)</f>
        <v>20</v>
      </c>
      <c r="S45" s="12">
        <f t="shared" si="3"/>
        <v>20</v>
      </c>
      <c r="T45" s="11"/>
      <c r="U45" s="10"/>
      <c r="V45" s="11">
        <f t="shared" si="6"/>
        <v>28</v>
      </c>
      <c r="W45" s="10">
        <f t="shared" si="7"/>
        <v>28</v>
      </c>
      <c r="X45" s="11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12.75" customHeight="1">
      <c r="A46" s="10">
        <f t="shared" si="4"/>
        <v>45</v>
      </c>
      <c r="B46" s="11"/>
      <c r="C46" s="10">
        <v>1201.0</v>
      </c>
      <c r="D46" s="11">
        <f t="shared" si="5"/>
        <v>50</v>
      </c>
      <c r="E46" s="10">
        <v>38.0</v>
      </c>
      <c r="F46" s="10">
        <f t="shared" si="1"/>
        <v>12</v>
      </c>
      <c r="G46" s="12"/>
      <c r="H46" s="12"/>
      <c r="I46" s="12"/>
      <c r="J46" s="12"/>
      <c r="K46" s="12"/>
      <c r="L46" s="12"/>
      <c r="M46" s="11" t="s">
        <v>77</v>
      </c>
      <c r="N46" s="12">
        <f>(E46-1)+VLOOKUP(M46,Size,2,0)</f>
        <v>33</v>
      </c>
      <c r="O46" s="12">
        <f>VLOOKUP(E46,LevelData,4)</f>
        <v>38</v>
      </c>
      <c r="P46" s="12">
        <f>O46+VLOOKUP(M46,Size,3,0)</f>
        <v>34</v>
      </c>
      <c r="Q46" s="12">
        <f t="shared" si="2"/>
        <v>21</v>
      </c>
      <c r="R46" s="12">
        <f>VLOOKUP(E46,LevelData,2)</f>
        <v>21</v>
      </c>
      <c r="S46" s="12">
        <f t="shared" si="3"/>
        <v>21</v>
      </c>
      <c r="T46" s="11"/>
      <c r="U46" s="10"/>
      <c r="V46" s="11">
        <f t="shared" si="6"/>
        <v>29</v>
      </c>
      <c r="W46" s="10">
        <f t="shared" si="7"/>
        <v>29</v>
      </c>
      <c r="X46" s="11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2.75" customHeight="1">
      <c r="A47" s="10">
        <f t="shared" si="4"/>
        <v>46</v>
      </c>
      <c r="B47" s="11"/>
      <c r="C47" s="10" t="s">
        <v>84</v>
      </c>
      <c r="D47" s="11">
        <f t="shared" si="5"/>
        <v>51</v>
      </c>
      <c r="E47" s="10">
        <v>39.0</v>
      </c>
      <c r="F47" s="10">
        <f t="shared" si="1"/>
        <v>12</v>
      </c>
      <c r="G47" s="12"/>
      <c r="H47" s="12"/>
      <c r="I47" s="12"/>
      <c r="J47" s="12"/>
      <c r="K47" s="12"/>
      <c r="L47" s="12"/>
      <c r="M47" s="11" t="s">
        <v>77</v>
      </c>
      <c r="N47" s="12">
        <f>(E47-1)+VLOOKUP(M47,Size,2,0)</f>
        <v>34</v>
      </c>
      <c r="O47" s="12">
        <f>VLOOKUP(E47,LevelData,4)</f>
        <v>39</v>
      </c>
      <c r="P47" s="12">
        <f>O47+VLOOKUP(M47,Size,3,0)</f>
        <v>35</v>
      </c>
      <c r="Q47" s="12">
        <f t="shared" si="2"/>
        <v>21</v>
      </c>
      <c r="R47" s="12">
        <f>VLOOKUP(E47,LevelData,2)</f>
        <v>21</v>
      </c>
      <c r="S47" s="12">
        <f t="shared" si="3"/>
        <v>21</v>
      </c>
      <c r="T47" s="11"/>
      <c r="U47" s="10"/>
      <c r="V47" s="11">
        <f t="shared" si="6"/>
        <v>29</v>
      </c>
      <c r="W47" s="10">
        <f t="shared" si="7"/>
        <v>29</v>
      </c>
      <c r="X47" s="11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12.75" customHeight="1">
      <c r="A48" s="1">
        <f t="shared" si="4"/>
        <v>47</v>
      </c>
      <c r="B48" s="2"/>
      <c r="C48" s="1" t="s">
        <v>86</v>
      </c>
      <c r="D48" s="2">
        <f t="shared" si="5"/>
        <v>52</v>
      </c>
      <c r="E48" s="1">
        <v>39.0</v>
      </c>
      <c r="F48" s="1">
        <f t="shared" si="1"/>
        <v>13</v>
      </c>
      <c r="G48" s="13"/>
      <c r="H48" s="13"/>
      <c r="I48" s="13"/>
      <c r="J48" s="13"/>
      <c r="K48" s="13"/>
      <c r="L48" s="13"/>
      <c r="M48" s="2" t="s">
        <v>77</v>
      </c>
      <c r="N48" s="13">
        <f>(E48-1)+VLOOKUP(M48,Size,2,0)</f>
        <v>34</v>
      </c>
      <c r="O48" s="13">
        <f>VLOOKUP(E48,LevelData,4)</f>
        <v>39</v>
      </c>
      <c r="P48" s="13">
        <f>O48+VLOOKUP(M48,Size,3,0)</f>
        <v>35</v>
      </c>
      <c r="Q48" s="13">
        <f t="shared" si="2"/>
        <v>21</v>
      </c>
      <c r="R48" s="13">
        <f>VLOOKUP(E48,LevelData,2)</f>
        <v>21</v>
      </c>
      <c r="S48" s="13">
        <f t="shared" si="3"/>
        <v>21</v>
      </c>
      <c r="T48" s="2"/>
      <c r="U48" s="1"/>
      <c r="V48" s="2">
        <f t="shared" si="6"/>
        <v>29</v>
      </c>
      <c r="W48" s="1">
        <f t="shared" si="7"/>
        <v>29</v>
      </c>
      <c r="X48" s="2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2.75" customHeight="1">
      <c r="A49" s="3">
        <f t="shared" si="4"/>
        <v>48</v>
      </c>
      <c r="B49" s="4" t="s">
        <v>89</v>
      </c>
      <c r="C49" s="3" t="s">
        <v>88</v>
      </c>
      <c r="D49" s="4">
        <f t="shared" si="5"/>
        <v>53</v>
      </c>
      <c r="E49" s="3">
        <v>40.0</v>
      </c>
      <c r="F49" s="3">
        <f t="shared" si="1"/>
        <v>13</v>
      </c>
      <c r="G49" s="5"/>
      <c r="H49" s="5"/>
      <c r="I49" s="5"/>
      <c r="J49" s="5"/>
      <c r="K49" s="5"/>
      <c r="L49" s="5"/>
      <c r="M49" s="4" t="s">
        <v>77</v>
      </c>
      <c r="N49" s="5">
        <f>(E49-1)+VLOOKUP(M49,Size,2,0)</f>
        <v>35</v>
      </c>
      <c r="O49" s="5">
        <f>VLOOKUP(E49,LevelData,4)</f>
        <v>40</v>
      </c>
      <c r="P49" s="5">
        <f>O49+VLOOKUP(M49,Size,3,0)</f>
        <v>36</v>
      </c>
      <c r="Q49" s="5">
        <f t="shared" si="2"/>
        <v>22</v>
      </c>
      <c r="R49" s="5">
        <f>VLOOKUP(E49,LevelData,2)</f>
        <v>22</v>
      </c>
      <c r="S49" s="5">
        <f t="shared" si="3"/>
        <v>22</v>
      </c>
      <c r="T49" s="4"/>
      <c r="U49" s="3"/>
      <c r="V49" s="4">
        <f t="shared" si="6"/>
        <v>30</v>
      </c>
      <c r="W49" s="3">
        <f t="shared" si="7"/>
        <v>30</v>
      </c>
      <c r="X49" s="4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12.75" customHeight="1">
      <c r="A50" s="10"/>
      <c r="B50" s="11"/>
      <c r="C50" s="10"/>
      <c r="D50" s="11"/>
      <c r="E50" s="10"/>
      <c r="F50" s="10"/>
      <c r="G50" s="11"/>
      <c r="H50" s="11"/>
      <c r="I50" s="11"/>
      <c r="J50" s="11"/>
      <c r="K50" s="11"/>
      <c r="L50" s="11"/>
      <c r="M50" s="14" t="str">
        <f>HYPERLINK("http://www.geocities.com/galliard6/dragons_sheet.html","Back")</f>
        <v>Back</v>
      </c>
      <c r="N50" s="11"/>
      <c r="O50" s="11"/>
      <c r="P50" s="11"/>
      <c r="Q50" s="11"/>
      <c r="R50" s="11"/>
      <c r="S50" s="11"/>
      <c r="T50" s="11"/>
      <c r="U50" s="10"/>
      <c r="V50" s="11"/>
      <c r="W50" s="10"/>
      <c r="X50" s="11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12.75" customHeight="1">
      <c r="A51" s="10"/>
      <c r="B51" s="11"/>
      <c r="C51" s="10"/>
      <c r="D51" s="11"/>
      <c r="E51" s="10"/>
      <c r="F51" s="1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0"/>
      <c r="V51" s="11"/>
      <c r="W51" s="10"/>
      <c r="X51" s="1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2.75" customHeight="1">
      <c r="A52" s="10"/>
      <c r="B52" s="11"/>
      <c r="C52" s="10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/>
      <c r="V52" s="11"/>
      <c r="W52" s="10"/>
      <c r="X52" s="1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2.75" customHeight="1">
      <c r="A53" s="10"/>
      <c r="B53" s="11"/>
      <c r="C53" s="10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/>
      <c r="V53" s="11"/>
      <c r="W53" s="10"/>
      <c r="X53" s="11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2.75" customHeight="1">
      <c r="A54" s="10"/>
      <c r="B54" s="11"/>
      <c r="C54" s="10"/>
      <c r="D54" s="11"/>
      <c r="E54" s="10"/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1"/>
      <c r="W54" s="10"/>
      <c r="X54" s="11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2.75" customHeight="1">
      <c r="A55" s="10"/>
      <c r="B55" s="11"/>
      <c r="C55" s="10"/>
      <c r="D55" s="11"/>
      <c r="E55" s="10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/>
      <c r="V55" s="11"/>
      <c r="W55" s="10"/>
      <c r="X55" s="11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2.75" customHeight="1">
      <c r="A56" s="10"/>
      <c r="B56" s="11"/>
      <c r="C56" s="10"/>
      <c r="D56" s="11"/>
      <c r="E56" s="10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/>
      <c r="V56" s="11"/>
      <c r="W56" s="10"/>
      <c r="X56" s="11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2.75" customHeight="1">
      <c r="A57" s="10"/>
      <c r="B57" s="11"/>
      <c r="C57" s="10"/>
      <c r="D57" s="11"/>
      <c r="E57" s="10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/>
      <c r="V57" s="11"/>
      <c r="W57" s="10"/>
      <c r="X57" s="11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2.75" customHeight="1">
      <c r="A58" s="10"/>
      <c r="B58" s="11"/>
      <c r="C58" s="10"/>
      <c r="D58" s="11"/>
      <c r="E58" s="10"/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/>
      <c r="V58" s="11"/>
      <c r="W58" s="10"/>
      <c r="X58" s="11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2.75" customHeight="1">
      <c r="A59" s="10"/>
      <c r="B59" s="11"/>
      <c r="C59" s="10"/>
      <c r="D59" s="11"/>
      <c r="E59" s="10"/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/>
      <c r="V59" s="11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2.75" customHeight="1">
      <c r="A60" s="10"/>
      <c r="B60" s="11"/>
      <c r="C60" s="10"/>
      <c r="D60" s="11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/>
      <c r="V60" s="11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2.75" customHeight="1">
      <c r="A61" s="10"/>
      <c r="B61" s="11"/>
      <c r="C61" s="10"/>
      <c r="D61" s="11"/>
      <c r="E61" s="10"/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/>
      <c r="V61" s="11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2.75" customHeight="1">
      <c r="A62" s="10"/>
      <c r="B62" s="11"/>
      <c r="C62" s="10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/>
      <c r="V62" s="11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2.75" customHeight="1">
      <c r="A63" s="10"/>
      <c r="B63" s="11"/>
      <c r="C63" s="10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2.75" customHeight="1">
      <c r="A64" s="10"/>
      <c r="B64" s="11"/>
      <c r="C64" s="10"/>
      <c r="D64" s="11"/>
      <c r="E64" s="10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2.75" customHeight="1">
      <c r="A65" s="10"/>
      <c r="B65" s="11"/>
      <c r="C65" s="10"/>
      <c r="D65" s="11"/>
      <c r="E65" s="10"/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2.75" customHeight="1">
      <c r="A66" s="10"/>
      <c r="B66" s="11"/>
      <c r="C66" s="10"/>
      <c r="D66" s="11"/>
      <c r="E66" s="10"/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2.75" customHeight="1">
      <c r="A67" s="10"/>
      <c r="B67" s="11"/>
      <c r="C67" s="10"/>
      <c r="D67" s="11"/>
      <c r="E67" s="10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2.75" customHeight="1">
      <c r="A68" s="10"/>
      <c r="B68" s="11"/>
      <c r="C68" s="10"/>
      <c r="D68" s="11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2.75" customHeight="1">
      <c r="A69" s="10"/>
      <c r="B69" s="11"/>
      <c r="C69" s="10"/>
      <c r="D69" s="11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2.75" customHeight="1">
      <c r="A70" s="10"/>
      <c r="B70" s="11"/>
      <c r="C70" s="10"/>
      <c r="D70" s="11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2.75" customHeight="1">
      <c r="A71" s="10"/>
      <c r="B71" s="11"/>
      <c r="C71" s="10"/>
      <c r="D71" s="11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2.75" customHeight="1">
      <c r="A72" s="10"/>
      <c r="B72" s="11"/>
      <c r="C72" s="10"/>
      <c r="D72" s="11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2.75" customHeight="1">
      <c r="A73" s="10"/>
      <c r="B73" s="11"/>
      <c r="C73" s="10"/>
      <c r="D73" s="11"/>
      <c r="E73" s="10"/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2.75" customHeight="1">
      <c r="A74" s="10"/>
      <c r="B74" s="11"/>
      <c r="C74" s="10"/>
      <c r="D74" s="11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2.75" customHeight="1">
      <c r="A75" s="10"/>
      <c r="B75" s="11"/>
      <c r="C75" s="10"/>
      <c r="D75" s="11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2.75" customHeight="1">
      <c r="A76" s="10"/>
      <c r="B76" s="11"/>
      <c r="C76" s="10"/>
      <c r="D76" s="11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2.75" customHeight="1">
      <c r="A77" s="10"/>
      <c r="B77" s="11"/>
      <c r="C77" s="10"/>
      <c r="D77" s="11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2.75" customHeight="1">
      <c r="A78" s="10"/>
      <c r="B78" s="11"/>
      <c r="C78" s="10"/>
      <c r="D78" s="11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2.75" customHeight="1">
      <c r="A79" s="10"/>
      <c r="B79" s="11"/>
      <c r="C79" s="10"/>
      <c r="D79" s="11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2.75" customHeight="1">
      <c r="A80" s="10"/>
      <c r="B80" s="11"/>
      <c r="C80" s="10"/>
      <c r="D80" s="11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2.75" customHeight="1">
      <c r="A81" s="10"/>
      <c r="B81" s="11"/>
      <c r="C81" s="10"/>
      <c r="D81" s="11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2.75" customHeight="1">
      <c r="A82" s="10"/>
      <c r="B82" s="11"/>
      <c r="C82" s="10"/>
      <c r="D82" s="11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2.75" customHeight="1">
      <c r="A83" s="10"/>
      <c r="B83" s="11"/>
      <c r="C83" s="10"/>
      <c r="D83" s="11"/>
      <c r="E83" s="10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2.75" customHeight="1">
      <c r="A84" s="10"/>
      <c r="B84" s="11"/>
      <c r="C84" s="10"/>
      <c r="D84" s="11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2.75" customHeight="1">
      <c r="A85" s="10"/>
      <c r="B85" s="11"/>
      <c r="C85" s="10"/>
      <c r="D85" s="11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2.75" customHeight="1">
      <c r="A86" s="10"/>
      <c r="B86" s="11"/>
      <c r="C86" s="10"/>
      <c r="D86" s="11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2.75" customHeight="1">
      <c r="A87" s="10"/>
      <c r="B87" s="11"/>
      <c r="C87" s="10"/>
      <c r="D87" s="11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2.75" customHeight="1">
      <c r="A88" s="10"/>
      <c r="B88" s="11"/>
      <c r="C88" s="10"/>
      <c r="D88" s="11"/>
      <c r="E88" s="10"/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2.75" customHeight="1">
      <c r="A89" s="10"/>
      <c r="B89" s="11"/>
      <c r="C89" s="10"/>
      <c r="D89" s="11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2.75" customHeight="1">
      <c r="A90" s="10"/>
      <c r="B90" s="11"/>
      <c r="C90" s="10"/>
      <c r="D90" s="11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2.75" customHeight="1">
      <c r="A91" s="10"/>
      <c r="B91" s="11"/>
      <c r="C91" s="10"/>
      <c r="D91" s="11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2.75" customHeight="1">
      <c r="A92" s="10"/>
      <c r="B92" s="11"/>
      <c r="C92" s="10"/>
      <c r="D92" s="11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2.75" customHeight="1">
      <c r="A93" s="10"/>
      <c r="B93" s="11"/>
      <c r="C93" s="10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2.75" customHeight="1">
      <c r="A94" s="10"/>
      <c r="B94" s="11"/>
      <c r="C94" s="10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2.75" customHeight="1">
      <c r="A95" s="10"/>
      <c r="B95" s="11"/>
      <c r="C95" s="10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2.75" customHeight="1">
      <c r="A96" s="10"/>
      <c r="B96" s="11"/>
      <c r="C96" s="10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2.75" customHeight="1">
      <c r="A97" s="10"/>
      <c r="B97" s="11"/>
      <c r="C97" s="10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2.75" customHeight="1">
      <c r="A98" s="10"/>
      <c r="B98" s="11"/>
      <c r="C98" s="10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2.75" customHeight="1">
      <c r="A99" s="10"/>
      <c r="B99" s="11"/>
      <c r="C99" s="10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2.75" customHeight="1">
      <c r="A100" s="10"/>
      <c r="B100" s="11"/>
      <c r="C100" s="10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2.75" customHeight="1">
      <c r="A101" s="10"/>
      <c r="B101" s="11"/>
      <c r="C101" s="10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2.75" customHeight="1">
      <c r="A102" s="10"/>
      <c r="B102" s="11"/>
      <c r="C102" s="10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2.75" customHeight="1">
      <c r="A103" s="10"/>
      <c r="B103" s="11"/>
      <c r="C103" s="10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2.75" customHeight="1">
      <c r="A104" s="10"/>
      <c r="B104" s="11"/>
      <c r="C104" s="10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2.75" customHeight="1">
      <c r="A105" s="10"/>
      <c r="B105" s="11"/>
      <c r="C105" s="10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2.75" customHeight="1">
      <c r="A106" s="10"/>
      <c r="B106" s="11"/>
      <c r="C106" s="10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2.75" customHeight="1">
      <c r="A107" s="10"/>
      <c r="B107" s="11"/>
      <c r="C107" s="10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2.75" customHeight="1">
      <c r="A108" s="10"/>
      <c r="B108" s="11"/>
      <c r="C108" s="10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2.75" customHeight="1">
      <c r="A109" s="10"/>
      <c r="B109" s="11"/>
      <c r="C109" s="10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2.75" customHeight="1">
      <c r="A110" s="10"/>
      <c r="B110" s="11"/>
      <c r="C110" s="10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2.75" customHeight="1">
      <c r="A111" s="10"/>
      <c r="B111" s="11"/>
      <c r="C111" s="10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2.75" customHeight="1">
      <c r="A112" s="10"/>
      <c r="B112" s="11"/>
      <c r="C112" s="10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2.75" customHeight="1">
      <c r="A113" s="10"/>
      <c r="B113" s="11"/>
      <c r="C113" s="10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2.75" customHeight="1">
      <c r="A114" s="10"/>
      <c r="B114" s="11"/>
      <c r="C114" s="10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2.75" customHeight="1">
      <c r="A115" s="10"/>
      <c r="B115" s="11"/>
      <c r="C115" s="10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2.75" customHeight="1">
      <c r="A116" s="10"/>
      <c r="B116" s="11"/>
      <c r="C116" s="10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2.75" customHeight="1">
      <c r="A117" s="10"/>
      <c r="B117" s="11"/>
      <c r="C117" s="10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2.75" customHeight="1">
      <c r="A118" s="10"/>
      <c r="B118" s="11"/>
      <c r="C118" s="10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2.75" customHeight="1">
      <c r="A119" s="10"/>
      <c r="B119" s="11"/>
      <c r="C119" s="10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2.75" customHeight="1">
      <c r="A120" s="10"/>
      <c r="B120" s="11"/>
      <c r="C120" s="10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2.75" customHeight="1">
      <c r="A121" s="10"/>
      <c r="B121" s="11"/>
      <c r="C121" s="10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2.75" customHeight="1">
      <c r="A122" s="10"/>
      <c r="B122" s="11"/>
      <c r="C122" s="10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2.75" customHeight="1">
      <c r="A123" s="10"/>
      <c r="B123" s="11"/>
      <c r="C123" s="10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2.75" customHeight="1">
      <c r="A124" s="10"/>
      <c r="B124" s="11"/>
      <c r="C124" s="10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2.75" customHeight="1">
      <c r="A125" s="10"/>
      <c r="B125" s="11"/>
      <c r="C125" s="10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2.75" customHeight="1">
      <c r="A126" s="10"/>
      <c r="B126" s="11"/>
      <c r="C126" s="10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2.75" customHeight="1">
      <c r="A127" s="10"/>
      <c r="B127" s="11"/>
      <c r="C127" s="10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2.75" customHeight="1">
      <c r="A128" s="10"/>
      <c r="B128" s="11"/>
      <c r="C128" s="10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2.75" customHeight="1">
      <c r="A129" s="10"/>
      <c r="B129" s="11"/>
      <c r="C129" s="10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2.75" customHeight="1">
      <c r="A130" s="10"/>
      <c r="B130" s="11"/>
      <c r="C130" s="10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2.75" customHeight="1">
      <c r="A131" s="10"/>
      <c r="B131" s="11"/>
      <c r="C131" s="10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2.75" customHeight="1">
      <c r="A132" s="10"/>
      <c r="B132" s="11"/>
      <c r="C132" s="10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2.75" customHeight="1">
      <c r="A133" s="10"/>
      <c r="B133" s="11"/>
      <c r="C133" s="10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2.75" customHeight="1">
      <c r="A134" s="10"/>
      <c r="B134" s="11"/>
      <c r="C134" s="10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2.75" customHeight="1">
      <c r="A135" s="10"/>
      <c r="B135" s="11"/>
      <c r="C135" s="10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2.75" customHeight="1">
      <c r="A136" s="10"/>
      <c r="B136" s="11"/>
      <c r="C136" s="10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2.75" customHeight="1">
      <c r="A137" s="10"/>
      <c r="B137" s="11"/>
      <c r="C137" s="10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2.75" customHeight="1">
      <c r="A138" s="10"/>
      <c r="B138" s="11"/>
      <c r="C138" s="10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2.75" customHeight="1">
      <c r="A139" s="10"/>
      <c r="B139" s="11"/>
      <c r="C139" s="10"/>
      <c r="D139" s="11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2.75" customHeight="1">
      <c r="A140" s="10"/>
      <c r="B140" s="11"/>
      <c r="C140" s="10"/>
      <c r="D140" s="11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2.75" customHeight="1">
      <c r="A141" s="10"/>
      <c r="B141" s="11"/>
      <c r="C141" s="10"/>
      <c r="D141" s="11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2.75" customHeight="1">
      <c r="A142" s="10"/>
      <c r="B142" s="11"/>
      <c r="C142" s="10"/>
      <c r="D142" s="11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2.75" customHeight="1">
      <c r="A143" s="10"/>
      <c r="B143" s="11"/>
      <c r="C143" s="10"/>
      <c r="D143" s="11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2.75" customHeight="1">
      <c r="A144" s="10"/>
      <c r="B144" s="11"/>
      <c r="C144" s="10"/>
      <c r="D144" s="11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2.75" customHeight="1">
      <c r="A145" s="10"/>
      <c r="B145" s="11"/>
      <c r="C145" s="10"/>
      <c r="D145" s="11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/>
      <c r="V145" s="11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2.75" customHeight="1">
      <c r="A146" s="10"/>
      <c r="B146" s="11"/>
      <c r="C146" s="10"/>
      <c r="D146" s="11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/>
      <c r="V146" s="11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2.75" customHeight="1">
      <c r="A147" s="10"/>
      <c r="B147" s="11"/>
      <c r="C147" s="10"/>
      <c r="D147" s="11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/>
      <c r="V147" s="11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2.75" customHeight="1">
      <c r="A148" s="10"/>
      <c r="B148" s="11"/>
      <c r="C148" s="10"/>
      <c r="D148" s="11"/>
      <c r="E148" s="10"/>
      <c r="F148" s="1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/>
      <c r="V148" s="11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2.75" customHeight="1">
      <c r="A149" s="10"/>
      <c r="B149" s="11"/>
      <c r="C149" s="10"/>
      <c r="D149" s="11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2.75" customHeight="1">
      <c r="A150" s="10"/>
      <c r="B150" s="11"/>
      <c r="C150" s="10"/>
      <c r="D150" s="11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2.75" customHeight="1">
      <c r="A151" s="10"/>
      <c r="B151" s="11"/>
      <c r="C151" s="10"/>
      <c r="D151" s="11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2.75" customHeight="1">
      <c r="A152" s="10"/>
      <c r="B152" s="11"/>
      <c r="C152" s="10"/>
      <c r="D152" s="11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2.75" customHeight="1">
      <c r="A153" s="10"/>
      <c r="B153" s="11"/>
      <c r="C153" s="10"/>
      <c r="D153" s="11"/>
      <c r="E153" s="10"/>
      <c r="F153" s="1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2.75" customHeight="1">
      <c r="A154" s="10"/>
      <c r="B154" s="11"/>
      <c r="C154" s="10"/>
      <c r="D154" s="11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2.75" customHeight="1">
      <c r="A155" s="10"/>
      <c r="B155" s="11"/>
      <c r="C155" s="10"/>
      <c r="D155" s="11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  <c r="W155" s="10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2.75" customHeight="1">
      <c r="A156" s="10"/>
      <c r="B156" s="11"/>
      <c r="C156" s="10"/>
      <c r="D156" s="11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  <c r="W156" s="10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2.75" customHeight="1">
      <c r="A157" s="10"/>
      <c r="B157" s="11"/>
      <c r="C157" s="10"/>
      <c r="D157" s="11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  <c r="W157" s="10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2.75" customHeight="1">
      <c r="A158" s="10"/>
      <c r="B158" s="11"/>
      <c r="C158" s="10"/>
      <c r="D158" s="11"/>
      <c r="E158" s="10"/>
      <c r="F158" s="1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  <c r="W158" s="10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2.75" customHeight="1">
      <c r="A159" s="10"/>
      <c r="B159" s="11"/>
      <c r="C159" s="10"/>
      <c r="D159" s="11"/>
      <c r="E159" s="10"/>
      <c r="F159" s="1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2.75" customHeight="1">
      <c r="A160" s="10"/>
      <c r="B160" s="11"/>
      <c r="C160" s="10"/>
      <c r="D160" s="11"/>
      <c r="E160" s="10"/>
      <c r="F160" s="1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  <c r="W160" s="10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2.75" customHeight="1">
      <c r="A161" s="10"/>
      <c r="B161" s="11"/>
      <c r="C161" s="10"/>
      <c r="D161" s="11"/>
      <c r="E161" s="10"/>
      <c r="F161" s="1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/>
      <c r="V161" s="11"/>
      <c r="W161" s="10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2.75" customHeight="1">
      <c r="A162" s="10"/>
      <c r="B162" s="11"/>
      <c r="C162" s="10"/>
      <c r="D162" s="11"/>
      <c r="E162" s="10"/>
      <c r="F162" s="1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/>
      <c r="V162" s="11"/>
      <c r="W162" s="10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2.75" customHeight="1">
      <c r="A163" s="10"/>
      <c r="B163" s="11"/>
      <c r="C163" s="10"/>
      <c r="D163" s="11"/>
      <c r="E163" s="10"/>
      <c r="F163" s="1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/>
      <c r="V163" s="11"/>
      <c r="W163" s="10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2.75" customHeight="1">
      <c r="A164" s="10"/>
      <c r="B164" s="11"/>
      <c r="C164" s="10"/>
      <c r="D164" s="11"/>
      <c r="E164" s="10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  <c r="W164" s="10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2.75" customHeight="1">
      <c r="A165" s="10"/>
      <c r="B165" s="11"/>
      <c r="C165" s="10"/>
      <c r="D165" s="11"/>
      <c r="E165" s="10"/>
      <c r="F165" s="1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  <c r="W165" s="10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2.75" customHeight="1">
      <c r="A166" s="10"/>
      <c r="B166" s="11"/>
      <c r="C166" s="10"/>
      <c r="D166" s="11"/>
      <c r="E166" s="10"/>
      <c r="F166" s="1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/>
      <c r="V166" s="11"/>
      <c r="W166" s="10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2.75" customHeight="1">
      <c r="A167" s="10"/>
      <c r="B167" s="11"/>
      <c r="C167" s="10"/>
      <c r="D167" s="11"/>
      <c r="E167" s="10"/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/>
      <c r="V167" s="11"/>
      <c r="W167" s="10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2.75" customHeight="1">
      <c r="A168" s="10"/>
      <c r="B168" s="11"/>
      <c r="C168" s="10"/>
      <c r="D168" s="11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/>
      <c r="V168" s="11"/>
      <c r="W168" s="10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2.75" customHeight="1">
      <c r="A169" s="10"/>
      <c r="B169" s="11"/>
      <c r="C169" s="10"/>
      <c r="D169" s="11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/>
      <c r="V169" s="11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2.75" customHeight="1">
      <c r="A170" s="10"/>
      <c r="B170" s="11"/>
      <c r="C170" s="10"/>
      <c r="D170" s="11"/>
      <c r="E170" s="10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/>
      <c r="V170" s="11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2.75" customHeight="1">
      <c r="A171" s="10"/>
      <c r="B171" s="11"/>
      <c r="C171" s="10"/>
      <c r="D171" s="11"/>
      <c r="E171" s="10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/>
      <c r="V171" s="11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2.75" customHeight="1">
      <c r="A172" s="10"/>
      <c r="B172" s="11"/>
      <c r="C172" s="10"/>
      <c r="D172" s="11"/>
      <c r="E172" s="10"/>
      <c r="F172" s="1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/>
      <c r="V172" s="11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2.75" customHeight="1">
      <c r="A173" s="10"/>
      <c r="B173" s="11"/>
      <c r="C173" s="10"/>
      <c r="D173" s="11"/>
      <c r="E173" s="10"/>
      <c r="F173" s="1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/>
      <c r="V173" s="11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2.75" customHeight="1">
      <c r="A174" s="10"/>
      <c r="B174" s="11"/>
      <c r="C174" s="10"/>
      <c r="D174" s="11"/>
      <c r="E174" s="10"/>
      <c r="F174" s="1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/>
      <c r="V174" s="11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2.75" customHeight="1">
      <c r="A175" s="10"/>
      <c r="B175" s="11"/>
      <c r="C175" s="10"/>
      <c r="D175" s="11"/>
      <c r="E175" s="10"/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/>
      <c r="V175" s="11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2.75" customHeight="1">
      <c r="A176" s="10"/>
      <c r="B176" s="11"/>
      <c r="C176" s="10"/>
      <c r="D176" s="11"/>
      <c r="E176" s="10"/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/>
      <c r="V176" s="11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2.75" customHeight="1">
      <c r="A177" s="10"/>
      <c r="B177" s="11"/>
      <c r="C177" s="10"/>
      <c r="D177" s="11"/>
      <c r="E177" s="10"/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/>
      <c r="V177" s="11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2.75" customHeight="1">
      <c r="A178" s="10"/>
      <c r="B178" s="11"/>
      <c r="C178" s="10"/>
      <c r="D178" s="11"/>
      <c r="E178" s="10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/>
      <c r="V178" s="11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2.75" customHeight="1">
      <c r="A179" s="10"/>
      <c r="B179" s="11"/>
      <c r="C179" s="10"/>
      <c r="D179" s="11"/>
      <c r="E179" s="10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/>
      <c r="V179" s="11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2.75" customHeight="1">
      <c r="A180" s="10"/>
      <c r="B180" s="11"/>
      <c r="C180" s="10"/>
      <c r="D180" s="11"/>
      <c r="E180" s="10"/>
      <c r="F180" s="1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/>
      <c r="V180" s="11"/>
      <c r="W180" s="10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2.75" customHeight="1">
      <c r="A181" s="10"/>
      <c r="B181" s="11"/>
      <c r="C181" s="10"/>
      <c r="D181" s="11"/>
      <c r="E181" s="10"/>
      <c r="F181" s="1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/>
      <c r="V181" s="11"/>
      <c r="W181" s="10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2.75" customHeight="1">
      <c r="A182" s="10"/>
      <c r="B182" s="11"/>
      <c r="C182" s="10"/>
      <c r="D182" s="11"/>
      <c r="E182" s="10"/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/>
      <c r="V182" s="11"/>
      <c r="W182" s="10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2.75" customHeight="1">
      <c r="A183" s="10"/>
      <c r="B183" s="11"/>
      <c r="C183" s="10"/>
      <c r="D183" s="11"/>
      <c r="E183" s="10"/>
      <c r="F183" s="1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/>
      <c r="V183" s="11"/>
      <c r="W183" s="10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2.75" customHeight="1">
      <c r="A184" s="10"/>
      <c r="B184" s="11"/>
      <c r="C184" s="10"/>
      <c r="D184" s="11"/>
      <c r="E184" s="10"/>
      <c r="F184" s="1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/>
      <c r="V184" s="11"/>
      <c r="W184" s="10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2.75" customHeight="1">
      <c r="A185" s="10"/>
      <c r="B185" s="11"/>
      <c r="C185" s="10"/>
      <c r="D185" s="11"/>
      <c r="E185" s="10"/>
      <c r="F185" s="1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/>
      <c r="V185" s="11"/>
      <c r="W185" s="10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2.75" customHeight="1">
      <c r="A186" s="10"/>
      <c r="B186" s="11"/>
      <c r="C186" s="10"/>
      <c r="D186" s="11"/>
      <c r="E186" s="10"/>
      <c r="F186" s="1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/>
      <c r="V186" s="11"/>
      <c r="W186" s="10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2.75" customHeight="1">
      <c r="A187" s="10"/>
      <c r="B187" s="11"/>
      <c r="C187" s="10"/>
      <c r="D187" s="11"/>
      <c r="E187" s="10"/>
      <c r="F187" s="1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/>
      <c r="V187" s="11"/>
      <c r="W187" s="10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2.75" customHeight="1">
      <c r="A188" s="10"/>
      <c r="B188" s="11"/>
      <c r="C188" s="10"/>
      <c r="D188" s="11"/>
      <c r="E188" s="10"/>
      <c r="F188" s="1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/>
      <c r="V188" s="11"/>
      <c r="W188" s="10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2.75" customHeight="1">
      <c r="A189" s="10"/>
      <c r="B189" s="11"/>
      <c r="C189" s="10"/>
      <c r="D189" s="11"/>
      <c r="E189" s="10"/>
      <c r="F189" s="1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/>
      <c r="V189" s="11"/>
      <c r="W189" s="10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2.75" customHeight="1">
      <c r="A190" s="10"/>
      <c r="B190" s="11"/>
      <c r="C190" s="10"/>
      <c r="D190" s="11"/>
      <c r="E190" s="10"/>
      <c r="F190" s="1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/>
      <c r="V190" s="11"/>
      <c r="W190" s="10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2.75" customHeight="1">
      <c r="A191" s="10"/>
      <c r="B191" s="11"/>
      <c r="C191" s="10"/>
      <c r="D191" s="11"/>
      <c r="E191" s="10"/>
      <c r="F191" s="1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/>
      <c r="V191" s="11"/>
      <c r="W191" s="10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2.75" customHeight="1">
      <c r="A192" s="10"/>
      <c r="B192" s="11"/>
      <c r="C192" s="10"/>
      <c r="D192" s="11"/>
      <c r="E192" s="10"/>
      <c r="F192" s="1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/>
      <c r="V192" s="11"/>
      <c r="W192" s="10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2.75" customHeight="1">
      <c r="A193" s="10"/>
      <c r="B193" s="11"/>
      <c r="C193" s="10"/>
      <c r="D193" s="11"/>
      <c r="E193" s="10"/>
      <c r="F193" s="1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/>
      <c r="V193" s="11"/>
      <c r="W193" s="10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2.75" customHeight="1">
      <c r="A194" s="10"/>
      <c r="B194" s="11"/>
      <c r="C194" s="10"/>
      <c r="D194" s="11"/>
      <c r="E194" s="10"/>
      <c r="F194" s="1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/>
      <c r="V194" s="11"/>
      <c r="W194" s="10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2.75" customHeight="1">
      <c r="A195" s="10"/>
      <c r="B195" s="11"/>
      <c r="C195" s="10"/>
      <c r="D195" s="11"/>
      <c r="E195" s="10"/>
      <c r="F195" s="1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/>
      <c r="V195" s="11"/>
      <c r="W195" s="10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2.75" customHeight="1">
      <c r="A196" s="10"/>
      <c r="B196" s="11"/>
      <c r="C196" s="10"/>
      <c r="D196" s="11"/>
      <c r="E196" s="10"/>
      <c r="F196" s="1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/>
      <c r="V196" s="11"/>
      <c r="W196" s="10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2.75" customHeight="1">
      <c r="A197" s="10"/>
      <c r="B197" s="11"/>
      <c r="C197" s="10"/>
      <c r="D197" s="11"/>
      <c r="E197" s="10"/>
      <c r="F197" s="1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/>
      <c r="V197" s="11"/>
      <c r="W197" s="10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2.75" customHeight="1">
      <c r="A198" s="10"/>
      <c r="B198" s="11"/>
      <c r="C198" s="10"/>
      <c r="D198" s="11"/>
      <c r="E198" s="10"/>
      <c r="F198" s="1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/>
      <c r="V198" s="11"/>
      <c r="W198" s="10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2.75" customHeight="1">
      <c r="A199" s="10"/>
      <c r="B199" s="11"/>
      <c r="C199" s="10"/>
      <c r="D199" s="11"/>
      <c r="E199" s="10"/>
      <c r="F199" s="1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/>
      <c r="V199" s="11"/>
      <c r="W199" s="10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2.75" customHeight="1">
      <c r="A200" s="10"/>
      <c r="B200" s="11"/>
      <c r="C200" s="10"/>
      <c r="D200" s="11"/>
      <c r="E200" s="10"/>
      <c r="F200" s="1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/>
      <c r="V200" s="11"/>
      <c r="W200" s="10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2.75" customHeight="1">
      <c r="A201" s="10"/>
      <c r="B201" s="11"/>
      <c r="C201" s="10"/>
      <c r="D201" s="11"/>
      <c r="E201" s="10"/>
      <c r="F201" s="1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/>
      <c r="V201" s="11"/>
      <c r="W201" s="10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2.75" customHeight="1">
      <c r="A202" s="10"/>
      <c r="B202" s="11"/>
      <c r="C202" s="10"/>
      <c r="D202" s="11"/>
      <c r="E202" s="10"/>
      <c r="F202" s="1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/>
      <c r="V202" s="11"/>
      <c r="W202" s="10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2.75" customHeight="1">
      <c r="A203" s="10"/>
      <c r="B203" s="11"/>
      <c r="C203" s="10"/>
      <c r="D203" s="11"/>
      <c r="E203" s="10"/>
      <c r="F203" s="1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0"/>
      <c r="V203" s="11"/>
      <c r="W203" s="10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2.75" customHeight="1">
      <c r="A204" s="10"/>
      <c r="B204" s="11"/>
      <c r="C204" s="10"/>
      <c r="D204" s="11"/>
      <c r="E204" s="10"/>
      <c r="F204" s="1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0"/>
      <c r="V204" s="11"/>
      <c r="W204" s="10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2.75" customHeight="1">
      <c r="A205" s="10"/>
      <c r="B205" s="11"/>
      <c r="C205" s="10"/>
      <c r="D205" s="11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0"/>
      <c r="V205" s="11"/>
      <c r="W205" s="10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2.75" customHeight="1">
      <c r="A206" s="10"/>
      <c r="B206" s="11"/>
      <c r="C206" s="10"/>
      <c r="D206" s="11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0"/>
      <c r="V206" s="11"/>
      <c r="W206" s="10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2.75" customHeight="1">
      <c r="A207" s="10"/>
      <c r="B207" s="11"/>
      <c r="C207" s="10"/>
      <c r="D207" s="11"/>
      <c r="E207" s="10"/>
      <c r="F207" s="1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0"/>
      <c r="V207" s="11"/>
      <c r="W207" s="10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2.75" customHeight="1">
      <c r="A208" s="10"/>
      <c r="B208" s="11"/>
      <c r="C208" s="10"/>
      <c r="D208" s="11"/>
      <c r="E208" s="10"/>
      <c r="F208" s="1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0"/>
      <c r="V208" s="11"/>
      <c r="W208" s="10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2.75" customHeight="1">
      <c r="A209" s="10"/>
      <c r="B209" s="11"/>
      <c r="C209" s="10"/>
      <c r="D209" s="11"/>
      <c r="E209" s="10"/>
      <c r="F209" s="1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0"/>
      <c r="V209" s="11"/>
      <c r="W209" s="10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2.75" customHeight="1">
      <c r="A210" s="10"/>
      <c r="B210" s="11"/>
      <c r="C210" s="10"/>
      <c r="D210" s="11"/>
      <c r="E210" s="10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0"/>
      <c r="V210" s="11"/>
      <c r="W210" s="10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2.75" customHeight="1">
      <c r="A211" s="10"/>
      <c r="B211" s="11"/>
      <c r="C211" s="10"/>
      <c r="D211" s="11"/>
      <c r="E211" s="10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0"/>
      <c r="V211" s="11"/>
      <c r="W211" s="10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2.75" customHeight="1">
      <c r="A212" s="10"/>
      <c r="B212" s="11"/>
      <c r="C212" s="10"/>
      <c r="D212" s="11"/>
      <c r="E212" s="10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0"/>
      <c r="V212" s="11"/>
      <c r="W212" s="10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2.75" customHeight="1">
      <c r="A213" s="10"/>
      <c r="B213" s="11"/>
      <c r="C213" s="10"/>
      <c r="D213" s="11"/>
      <c r="E213" s="10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0"/>
      <c r="V213" s="11"/>
      <c r="W213" s="10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2.75" customHeight="1">
      <c r="A214" s="10"/>
      <c r="B214" s="11"/>
      <c r="C214" s="10"/>
      <c r="D214" s="11"/>
      <c r="E214" s="10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0"/>
      <c r="V214" s="11"/>
      <c r="W214" s="10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2.75" customHeight="1">
      <c r="A215" s="10"/>
      <c r="B215" s="11"/>
      <c r="C215" s="10"/>
      <c r="D215" s="11"/>
      <c r="E215" s="10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0"/>
      <c r="V215" s="11"/>
      <c r="W215" s="10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2.75" customHeight="1">
      <c r="A216" s="10"/>
      <c r="B216" s="11"/>
      <c r="C216" s="10"/>
      <c r="D216" s="11"/>
      <c r="E216" s="10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0"/>
      <c r="V216" s="11"/>
      <c r="W216" s="10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2.75" customHeight="1">
      <c r="A217" s="10"/>
      <c r="B217" s="11"/>
      <c r="C217" s="10"/>
      <c r="D217" s="11"/>
      <c r="E217" s="10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0"/>
      <c r="V217" s="11"/>
      <c r="W217" s="10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2.75" customHeight="1">
      <c r="A218" s="10"/>
      <c r="B218" s="11"/>
      <c r="C218" s="10"/>
      <c r="D218" s="11"/>
      <c r="E218" s="10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0"/>
      <c r="V218" s="11"/>
      <c r="W218" s="10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2.75" customHeight="1">
      <c r="A219" s="10"/>
      <c r="B219" s="11"/>
      <c r="C219" s="10"/>
      <c r="D219" s="11"/>
      <c r="E219" s="10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0"/>
      <c r="V219" s="11"/>
      <c r="W219" s="10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2.75" customHeight="1">
      <c r="A220" s="10"/>
      <c r="B220" s="11"/>
      <c r="C220" s="10"/>
      <c r="D220" s="11"/>
      <c r="E220" s="10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0"/>
      <c r="V220" s="11"/>
      <c r="W220" s="10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2.75" customHeight="1">
      <c r="A221" s="10"/>
      <c r="B221" s="11"/>
      <c r="C221" s="10"/>
      <c r="D221" s="11"/>
      <c r="E221" s="10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0"/>
      <c r="V221" s="11"/>
      <c r="W221" s="10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2.75" customHeight="1">
      <c r="A222" s="10"/>
      <c r="B222" s="11"/>
      <c r="C222" s="10"/>
      <c r="D222" s="11"/>
      <c r="E222" s="10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0"/>
      <c r="V222" s="11"/>
      <c r="W222" s="10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2.75" customHeight="1">
      <c r="A223" s="10"/>
      <c r="B223" s="11"/>
      <c r="C223" s="10"/>
      <c r="D223" s="11"/>
      <c r="E223" s="10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0"/>
      <c r="V223" s="11"/>
      <c r="W223" s="10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2.75" customHeight="1">
      <c r="A224" s="10"/>
      <c r="B224" s="11"/>
      <c r="C224" s="10"/>
      <c r="D224" s="11"/>
      <c r="E224" s="10"/>
      <c r="F224" s="1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0"/>
      <c r="V224" s="11"/>
      <c r="W224" s="10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2.75" customHeight="1">
      <c r="A225" s="10"/>
      <c r="B225" s="11"/>
      <c r="C225" s="10"/>
      <c r="D225" s="11"/>
      <c r="E225" s="10"/>
      <c r="F225" s="1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0"/>
      <c r="V225" s="11"/>
      <c r="W225" s="10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2.75" customHeight="1">
      <c r="A226" s="10"/>
      <c r="B226" s="11"/>
      <c r="C226" s="10"/>
      <c r="D226" s="11"/>
      <c r="E226" s="10"/>
      <c r="F226" s="1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0"/>
      <c r="V226" s="11"/>
      <c r="W226" s="10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2.75" customHeight="1">
      <c r="A227" s="10"/>
      <c r="B227" s="11"/>
      <c r="C227" s="10"/>
      <c r="D227" s="11"/>
      <c r="E227" s="10"/>
      <c r="F227" s="1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0"/>
      <c r="V227" s="11"/>
      <c r="W227" s="10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2.75" customHeight="1">
      <c r="A228" s="10"/>
      <c r="B228" s="11"/>
      <c r="C228" s="10"/>
      <c r="D228" s="11"/>
      <c r="E228" s="10"/>
      <c r="F228" s="1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0"/>
      <c r="V228" s="11"/>
      <c r="W228" s="10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2.75" customHeight="1">
      <c r="A229" s="10"/>
      <c r="B229" s="11"/>
      <c r="C229" s="10"/>
      <c r="D229" s="11"/>
      <c r="E229" s="10"/>
      <c r="F229" s="1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0"/>
      <c r="V229" s="11"/>
      <c r="W229" s="10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2.75" customHeight="1">
      <c r="A230" s="10"/>
      <c r="B230" s="11"/>
      <c r="C230" s="10"/>
      <c r="D230" s="11"/>
      <c r="E230" s="10"/>
      <c r="F230" s="1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0"/>
      <c r="V230" s="11"/>
      <c r="W230" s="10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2.75" customHeight="1">
      <c r="A231" s="10"/>
      <c r="B231" s="11"/>
      <c r="C231" s="10"/>
      <c r="D231" s="11"/>
      <c r="E231" s="10"/>
      <c r="F231" s="1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0"/>
      <c r="V231" s="11"/>
      <c r="W231" s="10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2.75" customHeight="1">
      <c r="A232" s="10"/>
      <c r="B232" s="11"/>
      <c r="C232" s="10"/>
      <c r="D232" s="11"/>
      <c r="E232" s="10"/>
      <c r="F232" s="1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0"/>
      <c r="V232" s="11"/>
      <c r="W232" s="10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2.75" customHeight="1">
      <c r="A233" s="10"/>
      <c r="B233" s="11"/>
      <c r="C233" s="10"/>
      <c r="D233" s="11"/>
      <c r="E233" s="10"/>
      <c r="F233" s="1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0"/>
      <c r="V233" s="11"/>
      <c r="W233" s="10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2.75" customHeight="1">
      <c r="A234" s="10"/>
      <c r="B234" s="11"/>
      <c r="C234" s="10"/>
      <c r="D234" s="11"/>
      <c r="E234" s="10"/>
      <c r="F234" s="1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0"/>
      <c r="V234" s="11"/>
      <c r="W234" s="10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2.75" customHeight="1">
      <c r="A235" s="10"/>
      <c r="B235" s="11"/>
      <c r="C235" s="10"/>
      <c r="D235" s="11"/>
      <c r="E235" s="10"/>
      <c r="F235" s="1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0"/>
      <c r="V235" s="11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2.75" customHeight="1">
      <c r="A236" s="10"/>
      <c r="B236" s="11"/>
      <c r="C236" s="10"/>
      <c r="D236" s="11"/>
      <c r="E236" s="10"/>
      <c r="F236" s="1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0"/>
      <c r="V236" s="11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2.75" customHeight="1">
      <c r="A237" s="10"/>
      <c r="B237" s="11"/>
      <c r="C237" s="10"/>
      <c r="D237" s="11"/>
      <c r="E237" s="10"/>
      <c r="F237" s="1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0"/>
      <c r="V237" s="11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2.75" customHeight="1">
      <c r="A238" s="10"/>
      <c r="B238" s="11"/>
      <c r="C238" s="10"/>
      <c r="D238" s="11"/>
      <c r="E238" s="10"/>
      <c r="F238" s="1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0"/>
      <c r="V238" s="11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2.75" customHeight="1">
      <c r="A239" s="10"/>
      <c r="B239" s="11"/>
      <c r="C239" s="10"/>
      <c r="D239" s="11"/>
      <c r="E239" s="10"/>
      <c r="F239" s="1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0"/>
      <c r="V239" s="11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2.75" customHeight="1">
      <c r="A240" s="10"/>
      <c r="B240" s="11"/>
      <c r="C240" s="10"/>
      <c r="D240" s="11"/>
      <c r="E240" s="10"/>
      <c r="F240" s="1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0"/>
      <c r="V240" s="11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2.75" customHeight="1">
      <c r="A241" s="10"/>
      <c r="B241" s="11"/>
      <c r="C241" s="10"/>
      <c r="D241" s="11"/>
      <c r="E241" s="10"/>
      <c r="F241" s="1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0"/>
      <c r="V241" s="11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2.75" customHeight="1">
      <c r="A242" s="10"/>
      <c r="B242" s="11"/>
      <c r="C242" s="10"/>
      <c r="D242" s="11"/>
      <c r="E242" s="10"/>
      <c r="F242" s="1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0"/>
      <c r="V242" s="11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2.75" customHeight="1">
      <c r="A243" s="10"/>
      <c r="B243" s="11"/>
      <c r="C243" s="10"/>
      <c r="D243" s="11"/>
      <c r="E243" s="10"/>
      <c r="F243" s="1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0"/>
      <c r="V243" s="11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2.75" customHeight="1">
      <c r="A244" s="10"/>
      <c r="B244" s="11"/>
      <c r="C244" s="10"/>
      <c r="D244" s="11"/>
      <c r="E244" s="10"/>
      <c r="F244" s="1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0"/>
      <c r="V244" s="11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2.75" customHeight="1">
      <c r="A245" s="10"/>
      <c r="B245" s="11"/>
      <c r="C245" s="10"/>
      <c r="D245" s="11"/>
      <c r="E245" s="10"/>
      <c r="F245" s="1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0"/>
      <c r="V245" s="11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2.75" customHeight="1">
      <c r="A246" s="10"/>
      <c r="B246" s="11"/>
      <c r="C246" s="10"/>
      <c r="D246" s="11"/>
      <c r="E246" s="10"/>
      <c r="F246" s="1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0"/>
      <c r="V246" s="11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2.75" customHeight="1">
      <c r="A247" s="10"/>
      <c r="B247" s="11"/>
      <c r="C247" s="10"/>
      <c r="D247" s="11"/>
      <c r="E247" s="10"/>
      <c r="F247" s="1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0"/>
      <c r="V247" s="11"/>
      <c r="W247" s="10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2.75" customHeight="1">
      <c r="A248" s="10"/>
      <c r="B248" s="11"/>
      <c r="C248" s="10"/>
      <c r="D248" s="11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0"/>
      <c r="V248" s="11"/>
      <c r="W248" s="10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2.75" customHeight="1">
      <c r="A249" s="10"/>
      <c r="B249" s="11"/>
      <c r="C249" s="10"/>
      <c r="D249" s="11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0"/>
      <c r="V249" s="11"/>
      <c r="W249" s="10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2.75" customHeight="1">
      <c r="A250" s="10"/>
      <c r="B250" s="11"/>
      <c r="C250" s="10"/>
      <c r="D250" s="11"/>
      <c r="E250" s="10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0"/>
      <c r="V250" s="11"/>
      <c r="W250" s="10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2.75" customHeight="1">
      <c r="A251" s="10"/>
      <c r="B251" s="11"/>
      <c r="C251" s="10"/>
      <c r="D251" s="11"/>
      <c r="E251" s="10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0"/>
      <c r="V251" s="11"/>
      <c r="W251" s="10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2.75" customHeight="1">
      <c r="A252" s="10"/>
      <c r="B252" s="11"/>
      <c r="C252" s="10"/>
      <c r="D252" s="11"/>
      <c r="E252" s="10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0"/>
      <c r="V252" s="11"/>
      <c r="W252" s="10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2.75" customHeight="1">
      <c r="A253" s="10"/>
      <c r="B253" s="11"/>
      <c r="C253" s="10"/>
      <c r="D253" s="11"/>
      <c r="E253" s="10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0"/>
      <c r="V253" s="11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2.75" customHeight="1">
      <c r="A254" s="10"/>
      <c r="B254" s="11"/>
      <c r="C254" s="10"/>
      <c r="D254" s="11"/>
      <c r="E254" s="10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0"/>
      <c r="V254" s="11"/>
      <c r="W254" s="10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2.75" customHeight="1">
      <c r="A255" s="10"/>
      <c r="B255" s="11"/>
      <c r="C255" s="10"/>
      <c r="D255" s="11"/>
      <c r="E255" s="10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0"/>
      <c r="V255" s="11"/>
      <c r="W255" s="10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2.75" customHeight="1">
      <c r="A256" s="10"/>
      <c r="B256" s="11"/>
      <c r="C256" s="10"/>
      <c r="D256" s="11"/>
      <c r="E256" s="10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0"/>
      <c r="V256" s="11"/>
      <c r="W256" s="10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2.75" customHeight="1">
      <c r="A257" s="10"/>
      <c r="B257" s="11"/>
      <c r="C257" s="10"/>
      <c r="D257" s="11"/>
      <c r="E257" s="10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0"/>
      <c r="V257" s="11"/>
      <c r="W257" s="10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2.75" customHeight="1">
      <c r="A258" s="10"/>
      <c r="B258" s="11"/>
      <c r="C258" s="10"/>
      <c r="D258" s="11"/>
      <c r="E258" s="10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0"/>
      <c r="V258" s="11"/>
      <c r="W258" s="10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2.75" customHeight="1">
      <c r="A259" s="10"/>
      <c r="B259" s="11"/>
      <c r="C259" s="10"/>
      <c r="D259" s="11"/>
      <c r="E259" s="10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0"/>
      <c r="V259" s="11"/>
      <c r="W259" s="10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2.75" customHeight="1">
      <c r="A260" s="10"/>
      <c r="B260" s="11"/>
      <c r="C260" s="10"/>
      <c r="D260" s="11"/>
      <c r="E260" s="10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0"/>
      <c r="V260" s="11"/>
      <c r="W260" s="10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2.75" customHeight="1">
      <c r="A261" s="10"/>
      <c r="B261" s="11"/>
      <c r="C261" s="10"/>
      <c r="D261" s="11"/>
      <c r="E261" s="10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0"/>
      <c r="V261" s="11"/>
      <c r="W261" s="10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2.75" customHeight="1">
      <c r="A262" s="10"/>
      <c r="B262" s="11"/>
      <c r="C262" s="10"/>
      <c r="D262" s="11"/>
      <c r="E262" s="10"/>
      <c r="F262" s="1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0"/>
      <c r="V262" s="11"/>
      <c r="W262" s="10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2.75" customHeight="1">
      <c r="A263" s="10"/>
      <c r="B263" s="11"/>
      <c r="C263" s="10"/>
      <c r="D263" s="11"/>
      <c r="E263" s="10"/>
      <c r="F263" s="1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0"/>
      <c r="V263" s="11"/>
      <c r="W263" s="10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2.75" customHeight="1">
      <c r="A264" s="10"/>
      <c r="B264" s="11"/>
      <c r="C264" s="10"/>
      <c r="D264" s="11"/>
      <c r="E264" s="10"/>
      <c r="F264" s="1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0"/>
      <c r="V264" s="11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2.75" customHeight="1">
      <c r="A265" s="10"/>
      <c r="B265" s="11"/>
      <c r="C265" s="10"/>
      <c r="D265" s="11"/>
      <c r="E265" s="10"/>
      <c r="F265" s="1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0"/>
      <c r="V265" s="11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2.75" customHeight="1">
      <c r="A266" s="10"/>
      <c r="B266" s="11"/>
      <c r="C266" s="10"/>
      <c r="D266" s="11"/>
      <c r="E266" s="10"/>
      <c r="F266" s="1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0"/>
      <c r="V266" s="11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2.75" customHeight="1">
      <c r="A267" s="10"/>
      <c r="B267" s="11"/>
      <c r="C267" s="10"/>
      <c r="D267" s="11"/>
      <c r="E267" s="10"/>
      <c r="F267" s="1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0"/>
      <c r="V267" s="11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2.75" customHeight="1">
      <c r="A268" s="10"/>
      <c r="B268" s="11"/>
      <c r="C268" s="10"/>
      <c r="D268" s="11"/>
      <c r="E268" s="10"/>
      <c r="F268" s="1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0"/>
      <c r="V268" s="11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2.75" customHeight="1">
      <c r="A269" s="10"/>
      <c r="B269" s="11"/>
      <c r="C269" s="10"/>
      <c r="D269" s="11"/>
      <c r="E269" s="10"/>
      <c r="F269" s="1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0"/>
      <c r="V269" s="11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2.75" customHeight="1">
      <c r="A270" s="10"/>
      <c r="B270" s="11"/>
      <c r="C270" s="10"/>
      <c r="D270" s="11"/>
      <c r="E270" s="10"/>
      <c r="F270" s="1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0"/>
      <c r="V270" s="11"/>
      <c r="W270" s="10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2.75" customHeight="1">
      <c r="A271" s="10"/>
      <c r="B271" s="11"/>
      <c r="C271" s="10"/>
      <c r="D271" s="11"/>
      <c r="E271" s="10"/>
      <c r="F271" s="1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0"/>
      <c r="V271" s="11"/>
      <c r="W271" s="10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2.75" customHeight="1">
      <c r="A272" s="10"/>
      <c r="B272" s="11"/>
      <c r="C272" s="10"/>
      <c r="D272" s="11"/>
      <c r="E272" s="10"/>
      <c r="F272" s="1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0"/>
      <c r="V272" s="11"/>
      <c r="W272" s="10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2.75" customHeight="1">
      <c r="A273" s="10"/>
      <c r="B273" s="11"/>
      <c r="C273" s="10"/>
      <c r="D273" s="11"/>
      <c r="E273" s="10"/>
      <c r="F273" s="1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0"/>
      <c r="V273" s="11"/>
      <c r="W273" s="10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2.75" customHeight="1">
      <c r="A274" s="10"/>
      <c r="B274" s="11"/>
      <c r="C274" s="10"/>
      <c r="D274" s="11"/>
      <c r="E274" s="10"/>
      <c r="F274" s="1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0"/>
      <c r="V274" s="11"/>
      <c r="W274" s="10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2.75" customHeight="1">
      <c r="A275" s="10"/>
      <c r="B275" s="11"/>
      <c r="C275" s="10"/>
      <c r="D275" s="11"/>
      <c r="E275" s="10"/>
      <c r="F275" s="1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0"/>
      <c r="V275" s="11"/>
      <c r="W275" s="10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2.75" customHeight="1">
      <c r="A276" s="10"/>
      <c r="B276" s="11"/>
      <c r="C276" s="10"/>
      <c r="D276" s="11"/>
      <c r="E276" s="10"/>
      <c r="F276" s="1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0"/>
      <c r="V276" s="11"/>
      <c r="W276" s="10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2.75" customHeight="1">
      <c r="A277" s="10"/>
      <c r="B277" s="11"/>
      <c r="C277" s="10"/>
      <c r="D277" s="11"/>
      <c r="E277" s="10"/>
      <c r="F277" s="1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0"/>
      <c r="V277" s="11"/>
      <c r="W277" s="10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2.75" customHeight="1">
      <c r="A278" s="10"/>
      <c r="B278" s="11"/>
      <c r="C278" s="10"/>
      <c r="D278" s="11"/>
      <c r="E278" s="10"/>
      <c r="F278" s="1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0"/>
      <c r="V278" s="11"/>
      <c r="W278" s="10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2.75" customHeight="1">
      <c r="A279" s="10"/>
      <c r="B279" s="11"/>
      <c r="C279" s="10"/>
      <c r="D279" s="11"/>
      <c r="E279" s="10"/>
      <c r="F279" s="1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0"/>
      <c r="V279" s="11"/>
      <c r="W279" s="10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2.75" customHeight="1">
      <c r="A280" s="10"/>
      <c r="B280" s="11"/>
      <c r="C280" s="10"/>
      <c r="D280" s="11"/>
      <c r="E280" s="10"/>
      <c r="F280" s="1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0"/>
      <c r="V280" s="11"/>
      <c r="W280" s="10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2.75" customHeight="1">
      <c r="A281" s="10"/>
      <c r="B281" s="11"/>
      <c r="C281" s="10"/>
      <c r="D281" s="11"/>
      <c r="E281" s="10"/>
      <c r="F281" s="1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0"/>
      <c r="V281" s="11"/>
      <c r="W281" s="10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2.75" customHeight="1">
      <c r="A282" s="10"/>
      <c r="B282" s="11"/>
      <c r="C282" s="10"/>
      <c r="D282" s="11"/>
      <c r="E282" s="10"/>
      <c r="F282" s="1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0"/>
      <c r="V282" s="11"/>
      <c r="W282" s="10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2.75" customHeight="1">
      <c r="A283" s="10"/>
      <c r="B283" s="11"/>
      <c r="C283" s="10"/>
      <c r="D283" s="11"/>
      <c r="E283" s="10"/>
      <c r="F283" s="1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0"/>
      <c r="V283" s="11"/>
      <c r="W283" s="10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2.75" customHeight="1">
      <c r="A284" s="10"/>
      <c r="B284" s="11"/>
      <c r="C284" s="10"/>
      <c r="D284" s="11"/>
      <c r="E284" s="10"/>
      <c r="F284" s="1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0"/>
      <c r="V284" s="11"/>
      <c r="W284" s="10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2.75" customHeight="1">
      <c r="A285" s="10"/>
      <c r="B285" s="11"/>
      <c r="C285" s="10"/>
      <c r="D285" s="11"/>
      <c r="E285" s="10"/>
      <c r="F285" s="1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0"/>
      <c r="V285" s="11"/>
      <c r="W285" s="10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2.75" customHeight="1">
      <c r="A286" s="10"/>
      <c r="B286" s="11"/>
      <c r="C286" s="10"/>
      <c r="D286" s="11"/>
      <c r="E286" s="10"/>
      <c r="F286" s="1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0"/>
      <c r="V286" s="11"/>
      <c r="W286" s="10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2.75" customHeight="1">
      <c r="A287" s="10"/>
      <c r="B287" s="11"/>
      <c r="C287" s="10"/>
      <c r="D287" s="11"/>
      <c r="E287" s="10"/>
      <c r="F287" s="1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0"/>
      <c r="V287" s="11"/>
      <c r="W287" s="10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2.75" customHeight="1">
      <c r="A288" s="10"/>
      <c r="B288" s="11"/>
      <c r="C288" s="10"/>
      <c r="D288" s="11"/>
      <c r="E288" s="10"/>
      <c r="F288" s="1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0"/>
      <c r="V288" s="11"/>
      <c r="W288" s="10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2.75" customHeight="1">
      <c r="A289" s="10"/>
      <c r="B289" s="11"/>
      <c r="C289" s="10"/>
      <c r="D289" s="11"/>
      <c r="E289" s="10"/>
      <c r="F289" s="1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0"/>
      <c r="V289" s="11"/>
      <c r="W289" s="10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2.75" customHeight="1">
      <c r="A290" s="10"/>
      <c r="B290" s="11"/>
      <c r="C290" s="10"/>
      <c r="D290" s="11"/>
      <c r="E290" s="10"/>
      <c r="F290" s="1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0"/>
      <c r="V290" s="11"/>
      <c r="W290" s="10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2.75" customHeight="1">
      <c r="A291" s="10"/>
      <c r="B291" s="11"/>
      <c r="C291" s="10"/>
      <c r="D291" s="11"/>
      <c r="E291" s="10"/>
      <c r="F291" s="1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0"/>
      <c r="V291" s="11"/>
      <c r="W291" s="10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2.75" customHeight="1">
      <c r="A292" s="10"/>
      <c r="B292" s="11"/>
      <c r="C292" s="10"/>
      <c r="D292" s="11"/>
      <c r="E292" s="10"/>
      <c r="F292" s="1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0"/>
      <c r="V292" s="11"/>
      <c r="W292" s="10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2.75" customHeight="1">
      <c r="A293" s="10"/>
      <c r="B293" s="11"/>
      <c r="C293" s="10"/>
      <c r="D293" s="11"/>
      <c r="E293" s="10"/>
      <c r="F293" s="1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0"/>
      <c r="V293" s="11"/>
      <c r="W293" s="10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2.75" customHeight="1">
      <c r="A294" s="10"/>
      <c r="B294" s="11"/>
      <c r="C294" s="10"/>
      <c r="D294" s="11"/>
      <c r="E294" s="10"/>
      <c r="F294" s="1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0"/>
      <c r="V294" s="11"/>
      <c r="W294" s="10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2.75" customHeight="1">
      <c r="A295" s="10"/>
      <c r="B295" s="11"/>
      <c r="C295" s="10"/>
      <c r="D295" s="11"/>
      <c r="E295" s="10"/>
      <c r="F295" s="1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0"/>
      <c r="V295" s="11"/>
      <c r="W295" s="10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2.75" customHeight="1">
      <c r="A296" s="10"/>
      <c r="B296" s="11"/>
      <c r="C296" s="10"/>
      <c r="D296" s="11"/>
      <c r="E296" s="10"/>
      <c r="F296" s="1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0"/>
      <c r="V296" s="11"/>
      <c r="W296" s="10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2.75" customHeight="1">
      <c r="A297" s="10"/>
      <c r="B297" s="11"/>
      <c r="C297" s="10"/>
      <c r="D297" s="11"/>
      <c r="E297" s="10"/>
      <c r="F297" s="1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0"/>
      <c r="V297" s="11"/>
      <c r="W297" s="10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2.75" customHeight="1">
      <c r="A298" s="10"/>
      <c r="B298" s="11"/>
      <c r="C298" s="10"/>
      <c r="D298" s="11"/>
      <c r="E298" s="10"/>
      <c r="F298" s="1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0"/>
      <c r="V298" s="11"/>
      <c r="W298" s="10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2.75" customHeight="1">
      <c r="A299" s="10"/>
      <c r="B299" s="11"/>
      <c r="C299" s="10"/>
      <c r="D299" s="11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0"/>
      <c r="V299" s="11"/>
      <c r="W299" s="10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2.75" customHeight="1">
      <c r="A300" s="10"/>
      <c r="B300" s="11"/>
      <c r="C300" s="10"/>
      <c r="D300" s="11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0"/>
      <c r="V300" s="11"/>
      <c r="W300" s="10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2.75" customHeight="1">
      <c r="A301" s="10"/>
      <c r="B301" s="11"/>
      <c r="C301" s="10"/>
      <c r="D301" s="11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0"/>
      <c r="V301" s="11"/>
      <c r="W301" s="10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2.75" customHeight="1">
      <c r="A302" s="10"/>
      <c r="B302" s="11"/>
      <c r="C302" s="10"/>
      <c r="D302" s="11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0"/>
      <c r="V302" s="11"/>
      <c r="W302" s="10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2.75" customHeight="1">
      <c r="A303" s="10"/>
      <c r="B303" s="11"/>
      <c r="C303" s="10"/>
      <c r="D303" s="11"/>
      <c r="E303" s="10"/>
      <c r="F303" s="1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0"/>
      <c r="V303" s="11"/>
      <c r="W303" s="10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2.75" customHeight="1">
      <c r="A304" s="10"/>
      <c r="B304" s="11"/>
      <c r="C304" s="10"/>
      <c r="D304" s="11"/>
      <c r="E304" s="10"/>
      <c r="F304" s="1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0"/>
      <c r="V304" s="11"/>
      <c r="W304" s="10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2.75" customHeight="1">
      <c r="A305" s="10"/>
      <c r="B305" s="11"/>
      <c r="C305" s="10"/>
      <c r="D305" s="11"/>
      <c r="E305" s="10"/>
      <c r="F305" s="1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0"/>
      <c r="V305" s="11"/>
      <c r="W305" s="10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2.75" customHeight="1">
      <c r="A306" s="10"/>
      <c r="B306" s="11"/>
      <c r="C306" s="10"/>
      <c r="D306" s="11"/>
      <c r="E306" s="10"/>
      <c r="F306" s="1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/>
      <c r="V306" s="11"/>
      <c r="W306" s="10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2.75" customHeight="1">
      <c r="A307" s="10"/>
      <c r="B307" s="11"/>
      <c r="C307" s="10"/>
      <c r="D307" s="11"/>
      <c r="E307" s="10"/>
      <c r="F307" s="1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0"/>
      <c r="V307" s="11"/>
      <c r="W307" s="10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2.75" customHeight="1">
      <c r="A308" s="10"/>
      <c r="B308" s="11"/>
      <c r="C308" s="10"/>
      <c r="D308" s="11"/>
      <c r="E308" s="10"/>
      <c r="F308" s="1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0"/>
      <c r="V308" s="11"/>
      <c r="W308" s="10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2.75" customHeight="1">
      <c r="A309" s="10"/>
      <c r="B309" s="11"/>
      <c r="C309" s="10"/>
      <c r="D309" s="11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0"/>
      <c r="V309" s="11"/>
      <c r="W309" s="10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2.75" customHeight="1">
      <c r="A310" s="10"/>
      <c r="B310" s="11"/>
      <c r="C310" s="10"/>
      <c r="D310" s="11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0"/>
      <c r="V310" s="11"/>
      <c r="W310" s="10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2.75" customHeight="1">
      <c r="A311" s="10"/>
      <c r="B311" s="11"/>
      <c r="C311" s="10"/>
      <c r="D311" s="11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0"/>
      <c r="V311" s="11"/>
      <c r="W311" s="10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2.75" customHeight="1">
      <c r="A312" s="10"/>
      <c r="B312" s="11"/>
      <c r="C312" s="10"/>
      <c r="D312" s="11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0"/>
      <c r="V312" s="11"/>
      <c r="W312" s="10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2.75" customHeight="1">
      <c r="A313" s="10"/>
      <c r="B313" s="11"/>
      <c r="C313" s="10"/>
      <c r="D313" s="11"/>
      <c r="E313" s="10"/>
      <c r="F313" s="1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0"/>
      <c r="V313" s="11"/>
      <c r="W313" s="10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2.75" customHeight="1">
      <c r="A314" s="10"/>
      <c r="B314" s="11"/>
      <c r="C314" s="10"/>
      <c r="D314" s="11"/>
      <c r="E314" s="10"/>
      <c r="F314" s="1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0"/>
      <c r="V314" s="11"/>
      <c r="W314" s="10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2.75" customHeight="1">
      <c r="A315" s="10"/>
      <c r="B315" s="11"/>
      <c r="C315" s="10"/>
      <c r="D315" s="11"/>
      <c r="E315" s="10"/>
      <c r="F315" s="1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0"/>
      <c r="V315" s="11"/>
      <c r="W315" s="10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2.75" customHeight="1">
      <c r="A316" s="10"/>
      <c r="B316" s="11"/>
      <c r="C316" s="10"/>
      <c r="D316" s="11"/>
      <c r="E316" s="10"/>
      <c r="F316" s="1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/>
      <c r="V316" s="11"/>
      <c r="W316" s="10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2.75" customHeight="1">
      <c r="A317" s="10"/>
      <c r="B317" s="11"/>
      <c r="C317" s="10"/>
      <c r="D317" s="11"/>
      <c r="E317" s="10"/>
      <c r="F317" s="1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0"/>
      <c r="V317" s="11"/>
      <c r="W317" s="10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2.75" customHeight="1">
      <c r="A318" s="10"/>
      <c r="B318" s="11"/>
      <c r="C318" s="10"/>
      <c r="D318" s="11"/>
      <c r="E318" s="10"/>
      <c r="F318" s="1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0"/>
      <c r="V318" s="11"/>
      <c r="W318" s="10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2.75" customHeight="1">
      <c r="A319" s="10"/>
      <c r="B319" s="11"/>
      <c r="C319" s="10"/>
      <c r="D319" s="11"/>
      <c r="E319" s="10"/>
      <c r="F319" s="1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0"/>
      <c r="V319" s="11"/>
      <c r="W319" s="10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2.75" customHeight="1">
      <c r="A320" s="10"/>
      <c r="B320" s="11"/>
      <c r="C320" s="10"/>
      <c r="D320" s="11"/>
      <c r="E320" s="10"/>
      <c r="F320" s="1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0"/>
      <c r="V320" s="11"/>
      <c r="W320" s="10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2.75" customHeight="1">
      <c r="A321" s="10"/>
      <c r="B321" s="11"/>
      <c r="C321" s="10"/>
      <c r="D321" s="11"/>
      <c r="E321" s="10"/>
      <c r="F321" s="1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0"/>
      <c r="V321" s="11"/>
      <c r="W321" s="10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2.75" customHeight="1">
      <c r="A322" s="10"/>
      <c r="B322" s="11"/>
      <c r="C322" s="10"/>
      <c r="D322" s="11"/>
      <c r="E322" s="10"/>
      <c r="F322" s="1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0"/>
      <c r="V322" s="11"/>
      <c r="W322" s="10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2.75" customHeight="1">
      <c r="A323" s="10"/>
      <c r="B323" s="11"/>
      <c r="C323" s="10"/>
      <c r="D323" s="11"/>
      <c r="E323" s="10"/>
      <c r="F323" s="1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0"/>
      <c r="V323" s="11"/>
      <c r="W323" s="10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2.75" customHeight="1">
      <c r="A324" s="10"/>
      <c r="B324" s="11"/>
      <c r="C324" s="10"/>
      <c r="D324" s="11"/>
      <c r="E324" s="10"/>
      <c r="F324" s="1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0"/>
      <c r="V324" s="11"/>
      <c r="W324" s="10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2.75" customHeight="1">
      <c r="A325" s="10"/>
      <c r="B325" s="11"/>
      <c r="C325" s="10"/>
      <c r="D325" s="11"/>
      <c r="E325" s="10"/>
      <c r="F325" s="1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0"/>
      <c r="V325" s="11"/>
      <c r="W325" s="10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2.75" customHeight="1">
      <c r="A326" s="10"/>
      <c r="B326" s="11"/>
      <c r="C326" s="10"/>
      <c r="D326" s="11"/>
      <c r="E326" s="10"/>
      <c r="F326" s="1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0"/>
      <c r="V326" s="11"/>
      <c r="W326" s="10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2.75" customHeight="1">
      <c r="A327" s="10"/>
      <c r="B327" s="11"/>
      <c r="C327" s="10"/>
      <c r="D327" s="11"/>
      <c r="E327" s="10"/>
      <c r="F327" s="1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0"/>
      <c r="V327" s="11"/>
      <c r="W327" s="10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2.75" customHeight="1">
      <c r="A328" s="10"/>
      <c r="B328" s="11"/>
      <c r="C328" s="10"/>
      <c r="D328" s="11"/>
      <c r="E328" s="10"/>
      <c r="F328" s="1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0"/>
      <c r="V328" s="11"/>
      <c r="W328" s="10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2.75" customHeight="1">
      <c r="A329" s="10"/>
      <c r="B329" s="11"/>
      <c r="C329" s="10"/>
      <c r="D329" s="11"/>
      <c r="E329" s="10"/>
      <c r="F329" s="1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0"/>
      <c r="V329" s="11"/>
      <c r="W329" s="10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2.75" customHeight="1">
      <c r="A330" s="10"/>
      <c r="B330" s="11"/>
      <c r="C330" s="10"/>
      <c r="D330" s="11"/>
      <c r="E330" s="10"/>
      <c r="F330" s="1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0"/>
      <c r="V330" s="11"/>
      <c r="W330" s="10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2.75" customHeight="1">
      <c r="A331" s="10"/>
      <c r="B331" s="11"/>
      <c r="C331" s="10"/>
      <c r="D331" s="11"/>
      <c r="E331" s="10"/>
      <c r="F331" s="1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0"/>
      <c r="V331" s="11"/>
      <c r="W331" s="10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2.75" customHeight="1">
      <c r="A332" s="10"/>
      <c r="B332" s="11"/>
      <c r="C332" s="10"/>
      <c r="D332" s="11"/>
      <c r="E332" s="10"/>
      <c r="F332" s="1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0"/>
      <c r="V332" s="11"/>
      <c r="W332" s="10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2.75" customHeight="1">
      <c r="A333" s="10"/>
      <c r="B333" s="11"/>
      <c r="C333" s="10"/>
      <c r="D333" s="11"/>
      <c r="E333" s="10"/>
      <c r="F333" s="1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0"/>
      <c r="V333" s="11"/>
      <c r="W333" s="10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2.75" customHeight="1">
      <c r="A334" s="10"/>
      <c r="B334" s="11"/>
      <c r="C334" s="10"/>
      <c r="D334" s="11"/>
      <c r="E334" s="10"/>
      <c r="F334" s="1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0"/>
      <c r="V334" s="11"/>
      <c r="W334" s="10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2.75" customHeight="1">
      <c r="A335" s="10"/>
      <c r="B335" s="11"/>
      <c r="C335" s="10"/>
      <c r="D335" s="11"/>
      <c r="E335" s="10"/>
      <c r="F335" s="1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0"/>
      <c r="V335" s="11"/>
      <c r="W335" s="10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2.75" customHeight="1">
      <c r="A336" s="10"/>
      <c r="B336" s="11"/>
      <c r="C336" s="10"/>
      <c r="D336" s="11"/>
      <c r="E336" s="10"/>
      <c r="F336" s="1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0"/>
      <c r="V336" s="11"/>
      <c r="W336" s="10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2.75" customHeight="1">
      <c r="A337" s="10"/>
      <c r="B337" s="11"/>
      <c r="C337" s="10"/>
      <c r="D337" s="11"/>
      <c r="E337" s="10"/>
      <c r="F337" s="1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0"/>
      <c r="V337" s="11"/>
      <c r="W337" s="10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2.75" customHeight="1">
      <c r="A338" s="10"/>
      <c r="B338" s="11"/>
      <c r="C338" s="10"/>
      <c r="D338" s="11"/>
      <c r="E338" s="10"/>
      <c r="F338" s="1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0"/>
      <c r="V338" s="11"/>
      <c r="W338" s="10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2.75" customHeight="1">
      <c r="A339" s="10"/>
      <c r="B339" s="11"/>
      <c r="C339" s="10"/>
      <c r="D339" s="11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0"/>
      <c r="V339" s="11"/>
      <c r="W339" s="10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2.75" customHeight="1">
      <c r="A340" s="10"/>
      <c r="B340" s="11"/>
      <c r="C340" s="10"/>
      <c r="D340" s="11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0"/>
      <c r="V340" s="11"/>
      <c r="W340" s="10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2.75" customHeight="1">
      <c r="A341" s="10"/>
      <c r="B341" s="11"/>
      <c r="C341" s="10"/>
      <c r="D341" s="11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0"/>
      <c r="V341" s="11"/>
      <c r="W341" s="10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2.75" customHeight="1">
      <c r="A342" s="10"/>
      <c r="B342" s="11"/>
      <c r="C342" s="10"/>
      <c r="D342" s="11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0"/>
      <c r="V342" s="11"/>
      <c r="W342" s="10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2.75" customHeight="1">
      <c r="A343" s="10"/>
      <c r="B343" s="11"/>
      <c r="C343" s="10"/>
      <c r="D343" s="11"/>
      <c r="E343" s="10"/>
      <c r="F343" s="1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0"/>
      <c r="V343" s="11"/>
      <c r="W343" s="10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2.75" customHeight="1">
      <c r="A344" s="10"/>
      <c r="B344" s="11"/>
      <c r="C344" s="10"/>
      <c r="D344" s="11"/>
      <c r="E344" s="10"/>
      <c r="F344" s="1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0"/>
      <c r="V344" s="11"/>
      <c r="W344" s="10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2.75" customHeight="1">
      <c r="A345" s="10"/>
      <c r="B345" s="11"/>
      <c r="C345" s="10"/>
      <c r="D345" s="11"/>
      <c r="E345" s="10"/>
      <c r="F345" s="1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0"/>
      <c r="V345" s="11"/>
      <c r="W345" s="10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2.75" customHeight="1">
      <c r="A346" s="10"/>
      <c r="B346" s="11"/>
      <c r="C346" s="10"/>
      <c r="D346" s="11"/>
      <c r="E346" s="10"/>
      <c r="F346" s="1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0"/>
      <c r="V346" s="11"/>
      <c r="W346" s="10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2.75" customHeight="1">
      <c r="A347" s="10"/>
      <c r="B347" s="11"/>
      <c r="C347" s="10"/>
      <c r="D347" s="11"/>
      <c r="E347" s="10"/>
      <c r="F347" s="1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0"/>
      <c r="V347" s="11"/>
      <c r="W347" s="10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2.75" customHeight="1">
      <c r="A348" s="10"/>
      <c r="B348" s="11"/>
      <c r="C348" s="10"/>
      <c r="D348" s="11"/>
      <c r="E348" s="10"/>
      <c r="F348" s="1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0"/>
      <c r="V348" s="11"/>
      <c r="W348" s="10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2.75" customHeight="1">
      <c r="A349" s="10"/>
      <c r="B349" s="11"/>
      <c r="C349" s="10"/>
      <c r="D349" s="11"/>
      <c r="E349" s="10"/>
      <c r="F349" s="1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0"/>
      <c r="V349" s="11"/>
      <c r="W349" s="10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2.75" customHeight="1">
      <c r="A350" s="10"/>
      <c r="B350" s="11"/>
      <c r="C350" s="10"/>
      <c r="D350" s="11"/>
      <c r="E350" s="10"/>
      <c r="F350" s="1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0"/>
      <c r="V350" s="11"/>
      <c r="W350" s="10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2.75" customHeight="1">
      <c r="A351" s="10"/>
      <c r="B351" s="11"/>
      <c r="C351" s="10"/>
      <c r="D351" s="11"/>
      <c r="E351" s="10"/>
      <c r="F351" s="1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0"/>
      <c r="V351" s="11"/>
      <c r="W351" s="10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2.75" customHeight="1">
      <c r="A352" s="10"/>
      <c r="B352" s="11"/>
      <c r="C352" s="10"/>
      <c r="D352" s="11"/>
      <c r="E352" s="10"/>
      <c r="F352" s="1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0"/>
      <c r="V352" s="11"/>
      <c r="W352" s="10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2.75" customHeight="1">
      <c r="A353" s="10"/>
      <c r="B353" s="11"/>
      <c r="C353" s="10"/>
      <c r="D353" s="11"/>
      <c r="E353" s="10"/>
      <c r="F353" s="1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0"/>
      <c r="V353" s="11"/>
      <c r="W353" s="10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2.75" customHeight="1">
      <c r="A354" s="10"/>
      <c r="B354" s="11"/>
      <c r="C354" s="10"/>
      <c r="D354" s="11"/>
      <c r="E354" s="10"/>
      <c r="F354" s="1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0"/>
      <c r="V354" s="11"/>
      <c r="W354" s="10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2.75" customHeight="1">
      <c r="A355" s="10"/>
      <c r="B355" s="11"/>
      <c r="C355" s="10"/>
      <c r="D355" s="11"/>
      <c r="E355" s="10"/>
      <c r="F355" s="1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0"/>
      <c r="V355" s="11"/>
      <c r="W355" s="10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2.75" customHeight="1">
      <c r="A356" s="10"/>
      <c r="B356" s="11"/>
      <c r="C356" s="10"/>
      <c r="D356" s="11"/>
      <c r="E356" s="10"/>
      <c r="F356" s="1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0"/>
      <c r="V356" s="11"/>
      <c r="W356" s="10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2.75" customHeight="1">
      <c r="A357" s="10"/>
      <c r="B357" s="11"/>
      <c r="C357" s="10"/>
      <c r="D357" s="11"/>
      <c r="E357" s="10"/>
      <c r="F357" s="1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0"/>
      <c r="V357" s="11"/>
      <c r="W357" s="10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2.75" customHeight="1">
      <c r="A358" s="10"/>
      <c r="B358" s="11"/>
      <c r="C358" s="10"/>
      <c r="D358" s="11"/>
      <c r="E358" s="10"/>
      <c r="F358" s="1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0"/>
      <c r="V358" s="11"/>
      <c r="W358" s="10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2.75" customHeight="1">
      <c r="A359" s="10"/>
      <c r="B359" s="11"/>
      <c r="C359" s="10"/>
      <c r="D359" s="11"/>
      <c r="E359" s="10"/>
      <c r="F359" s="1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0"/>
      <c r="V359" s="11"/>
      <c r="W359" s="10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2.75" customHeight="1">
      <c r="A360" s="10"/>
      <c r="B360" s="11"/>
      <c r="C360" s="10"/>
      <c r="D360" s="11"/>
      <c r="E360" s="10"/>
      <c r="F360" s="1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0"/>
      <c r="V360" s="11"/>
      <c r="W360" s="10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2.75" customHeight="1">
      <c r="A361" s="10"/>
      <c r="B361" s="11"/>
      <c r="C361" s="10"/>
      <c r="D361" s="11"/>
      <c r="E361" s="10"/>
      <c r="F361" s="1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0"/>
      <c r="V361" s="11"/>
      <c r="W361" s="10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2.75" customHeight="1">
      <c r="A362" s="10"/>
      <c r="B362" s="11"/>
      <c r="C362" s="10"/>
      <c r="D362" s="11"/>
      <c r="E362" s="10"/>
      <c r="F362" s="1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0"/>
      <c r="V362" s="11"/>
      <c r="W362" s="10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2.75" customHeight="1">
      <c r="A363" s="10"/>
      <c r="B363" s="11"/>
      <c r="C363" s="10"/>
      <c r="D363" s="11"/>
      <c r="E363" s="10"/>
      <c r="F363" s="1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0"/>
      <c r="V363" s="11"/>
      <c r="W363" s="10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2.75" customHeight="1">
      <c r="A364" s="10"/>
      <c r="B364" s="11"/>
      <c r="C364" s="10"/>
      <c r="D364" s="11"/>
      <c r="E364" s="10"/>
      <c r="F364" s="1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0"/>
      <c r="V364" s="11"/>
      <c r="W364" s="10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2.75" customHeight="1">
      <c r="A365" s="10"/>
      <c r="B365" s="11"/>
      <c r="C365" s="10"/>
      <c r="D365" s="11"/>
      <c r="E365" s="10"/>
      <c r="F365" s="1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0"/>
      <c r="V365" s="11"/>
      <c r="W365" s="10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2.75" customHeight="1">
      <c r="A366" s="10"/>
      <c r="B366" s="11"/>
      <c r="C366" s="10"/>
      <c r="D366" s="11"/>
      <c r="E366" s="10"/>
      <c r="F366" s="1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0"/>
      <c r="V366" s="11"/>
      <c r="W366" s="10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2.75" customHeight="1">
      <c r="A367" s="10"/>
      <c r="B367" s="11"/>
      <c r="C367" s="10"/>
      <c r="D367" s="11"/>
      <c r="E367" s="10"/>
      <c r="F367" s="1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0"/>
      <c r="V367" s="11"/>
      <c r="W367" s="10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2.75" customHeight="1">
      <c r="A368" s="10"/>
      <c r="B368" s="11"/>
      <c r="C368" s="10"/>
      <c r="D368" s="11"/>
      <c r="E368" s="10"/>
      <c r="F368" s="1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0"/>
      <c r="V368" s="11"/>
      <c r="W368" s="10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2.75" customHeight="1">
      <c r="A369" s="10"/>
      <c r="B369" s="11"/>
      <c r="C369" s="10"/>
      <c r="D369" s="11"/>
      <c r="E369" s="10"/>
      <c r="F369" s="1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0"/>
      <c r="V369" s="11"/>
      <c r="W369" s="10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2.75" customHeight="1">
      <c r="A370" s="10"/>
      <c r="B370" s="11"/>
      <c r="C370" s="10"/>
      <c r="D370" s="11"/>
      <c r="E370" s="10"/>
      <c r="F370" s="1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0"/>
      <c r="V370" s="11"/>
      <c r="W370" s="10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2.75" customHeight="1">
      <c r="A371" s="10"/>
      <c r="B371" s="11"/>
      <c r="C371" s="10"/>
      <c r="D371" s="11"/>
      <c r="E371" s="10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0"/>
      <c r="V371" s="11"/>
      <c r="W371" s="10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2.75" customHeight="1">
      <c r="A372" s="10"/>
      <c r="B372" s="11"/>
      <c r="C372" s="10"/>
      <c r="D372" s="11"/>
      <c r="E372" s="10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0"/>
      <c r="V372" s="11"/>
      <c r="W372" s="10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2.75" customHeight="1">
      <c r="A373" s="10"/>
      <c r="B373" s="11"/>
      <c r="C373" s="10"/>
      <c r="D373" s="11"/>
      <c r="E373" s="10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0"/>
      <c r="V373" s="11"/>
      <c r="W373" s="10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2.75" customHeight="1">
      <c r="A374" s="10"/>
      <c r="B374" s="11"/>
      <c r="C374" s="10"/>
      <c r="D374" s="11"/>
      <c r="E374" s="10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0"/>
      <c r="V374" s="11"/>
      <c r="W374" s="10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2.75" customHeight="1">
      <c r="A375" s="10"/>
      <c r="B375" s="11"/>
      <c r="C375" s="10"/>
      <c r="D375" s="11"/>
      <c r="E375" s="10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0"/>
      <c r="V375" s="11"/>
      <c r="W375" s="10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2.75" customHeight="1">
      <c r="A376" s="10"/>
      <c r="B376" s="11"/>
      <c r="C376" s="10"/>
      <c r="D376" s="11"/>
      <c r="E376" s="10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0"/>
      <c r="V376" s="11"/>
      <c r="W376" s="10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2.75" customHeight="1">
      <c r="A377" s="10"/>
      <c r="B377" s="11"/>
      <c r="C377" s="10"/>
      <c r="D377" s="11"/>
      <c r="E377" s="10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0"/>
      <c r="V377" s="11"/>
      <c r="W377" s="10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2.75" customHeight="1">
      <c r="A378" s="10"/>
      <c r="B378" s="11"/>
      <c r="C378" s="10"/>
      <c r="D378" s="11"/>
      <c r="E378" s="10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0"/>
      <c r="V378" s="11"/>
      <c r="W378" s="10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2.75" customHeight="1">
      <c r="A379" s="10"/>
      <c r="B379" s="11"/>
      <c r="C379" s="10"/>
      <c r="D379" s="11"/>
      <c r="E379" s="10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0"/>
      <c r="V379" s="11"/>
      <c r="W379" s="10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2.75" customHeight="1">
      <c r="A380" s="10"/>
      <c r="B380" s="11"/>
      <c r="C380" s="10"/>
      <c r="D380" s="11"/>
      <c r="E380" s="10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0"/>
      <c r="V380" s="11"/>
      <c r="W380" s="10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2.75" customHeight="1">
      <c r="A381" s="10"/>
      <c r="B381" s="11"/>
      <c r="C381" s="10"/>
      <c r="D381" s="11"/>
      <c r="E381" s="10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0"/>
      <c r="V381" s="11"/>
      <c r="W381" s="10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2.75" customHeight="1">
      <c r="A382" s="10"/>
      <c r="B382" s="11"/>
      <c r="C382" s="10"/>
      <c r="D382" s="11"/>
      <c r="E382" s="10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0"/>
      <c r="V382" s="11"/>
      <c r="W382" s="10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2.75" customHeight="1">
      <c r="A383" s="10"/>
      <c r="B383" s="11"/>
      <c r="C383" s="10"/>
      <c r="D383" s="11"/>
      <c r="E383" s="10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0"/>
      <c r="V383" s="11"/>
      <c r="W383" s="10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2.75" customHeight="1">
      <c r="A384" s="10"/>
      <c r="B384" s="11"/>
      <c r="C384" s="10"/>
      <c r="D384" s="11"/>
      <c r="E384" s="10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0"/>
      <c r="V384" s="11"/>
      <c r="W384" s="10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2.75" customHeight="1">
      <c r="A385" s="10"/>
      <c r="B385" s="11"/>
      <c r="C385" s="10"/>
      <c r="D385" s="11"/>
      <c r="E385" s="10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0"/>
      <c r="V385" s="11"/>
      <c r="W385" s="10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2.75" customHeight="1">
      <c r="A386" s="10"/>
      <c r="B386" s="11"/>
      <c r="C386" s="10"/>
      <c r="D386" s="11"/>
      <c r="E386" s="10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0"/>
      <c r="V386" s="11"/>
      <c r="W386" s="10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2.75" customHeight="1">
      <c r="A387" s="10"/>
      <c r="B387" s="11"/>
      <c r="C387" s="10"/>
      <c r="D387" s="11"/>
      <c r="E387" s="10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0"/>
      <c r="V387" s="11"/>
      <c r="W387" s="10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2.75" customHeight="1">
      <c r="A388" s="10"/>
      <c r="B388" s="11"/>
      <c r="C388" s="10"/>
      <c r="D388" s="11"/>
      <c r="E388" s="10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0"/>
      <c r="V388" s="11"/>
      <c r="W388" s="10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2.75" customHeight="1">
      <c r="A389" s="10"/>
      <c r="B389" s="11"/>
      <c r="C389" s="10"/>
      <c r="D389" s="11"/>
      <c r="E389" s="10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0"/>
      <c r="V389" s="11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2.75" customHeight="1">
      <c r="A390" s="10"/>
      <c r="B390" s="11"/>
      <c r="C390" s="10"/>
      <c r="D390" s="11"/>
      <c r="E390" s="10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0"/>
      <c r="V390" s="11"/>
      <c r="W390" s="10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2.75" customHeight="1">
      <c r="A391" s="10"/>
      <c r="B391" s="11"/>
      <c r="C391" s="10"/>
      <c r="D391" s="11"/>
      <c r="E391" s="10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0"/>
      <c r="V391" s="11"/>
      <c r="W391" s="10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2.75" customHeight="1">
      <c r="A392" s="10"/>
      <c r="B392" s="11"/>
      <c r="C392" s="10"/>
      <c r="D392" s="11"/>
      <c r="E392" s="10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0"/>
      <c r="V392" s="11"/>
      <c r="W392" s="10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2.75" customHeight="1">
      <c r="A393" s="10"/>
      <c r="B393" s="11"/>
      <c r="C393" s="10"/>
      <c r="D393" s="11"/>
      <c r="E393" s="10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0"/>
      <c r="V393" s="11"/>
      <c r="W393" s="10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2.75" customHeight="1">
      <c r="A394" s="10"/>
      <c r="B394" s="11"/>
      <c r="C394" s="10"/>
      <c r="D394" s="11"/>
      <c r="E394" s="10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0"/>
      <c r="V394" s="11"/>
      <c r="W394" s="10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2.75" customHeight="1">
      <c r="A395" s="10"/>
      <c r="B395" s="11"/>
      <c r="C395" s="10"/>
      <c r="D395" s="11"/>
      <c r="E395" s="10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0"/>
      <c r="V395" s="11"/>
      <c r="W395" s="10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2.75" customHeight="1">
      <c r="A396" s="10"/>
      <c r="B396" s="11"/>
      <c r="C396" s="10"/>
      <c r="D396" s="11"/>
      <c r="E396" s="10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0"/>
      <c r="V396" s="11"/>
      <c r="W396" s="10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2.75" customHeight="1">
      <c r="A397" s="10"/>
      <c r="B397" s="11"/>
      <c r="C397" s="10"/>
      <c r="D397" s="11"/>
      <c r="E397" s="10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0"/>
      <c r="V397" s="11"/>
      <c r="W397" s="10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2.75" customHeight="1">
      <c r="A398" s="10"/>
      <c r="B398" s="11"/>
      <c r="C398" s="10"/>
      <c r="D398" s="11"/>
      <c r="E398" s="10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0"/>
      <c r="V398" s="11"/>
      <c r="W398" s="10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2.75" customHeight="1">
      <c r="A399" s="10"/>
      <c r="B399" s="11"/>
      <c r="C399" s="10"/>
      <c r="D399" s="11"/>
      <c r="E399" s="10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0"/>
      <c r="V399" s="11"/>
      <c r="W399" s="10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2.75" customHeight="1">
      <c r="A400" s="10"/>
      <c r="B400" s="11"/>
      <c r="C400" s="10"/>
      <c r="D400" s="11"/>
      <c r="E400" s="10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0"/>
      <c r="V400" s="11"/>
      <c r="W400" s="10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2.75" customHeight="1">
      <c r="A401" s="10"/>
      <c r="B401" s="11"/>
      <c r="C401" s="10"/>
      <c r="D401" s="11"/>
      <c r="E401" s="10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0"/>
      <c r="V401" s="11"/>
      <c r="W401" s="10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2.75" customHeight="1">
      <c r="A402" s="10"/>
      <c r="B402" s="11"/>
      <c r="C402" s="10"/>
      <c r="D402" s="11"/>
      <c r="E402" s="10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0"/>
      <c r="V402" s="11"/>
      <c r="W402" s="10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2.75" customHeight="1">
      <c r="A403" s="10"/>
      <c r="B403" s="11"/>
      <c r="C403" s="10"/>
      <c r="D403" s="11"/>
      <c r="E403" s="10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0"/>
      <c r="V403" s="11"/>
      <c r="W403" s="10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2.75" customHeight="1">
      <c r="A404" s="10"/>
      <c r="B404" s="11"/>
      <c r="C404" s="10"/>
      <c r="D404" s="11"/>
      <c r="E404" s="10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0"/>
      <c r="V404" s="11"/>
      <c r="W404" s="10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2.75" customHeight="1">
      <c r="A405" s="10"/>
      <c r="B405" s="11"/>
      <c r="C405" s="10"/>
      <c r="D405" s="11"/>
      <c r="E405" s="10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0"/>
      <c r="V405" s="11"/>
      <c r="W405" s="10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2.75" customHeight="1">
      <c r="A406" s="10"/>
      <c r="B406" s="11"/>
      <c r="C406" s="10"/>
      <c r="D406" s="11"/>
      <c r="E406" s="10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0"/>
      <c r="V406" s="11"/>
      <c r="W406" s="10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2.75" customHeight="1">
      <c r="A407" s="10"/>
      <c r="B407" s="11"/>
      <c r="C407" s="10"/>
      <c r="D407" s="11"/>
      <c r="E407" s="10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0"/>
      <c r="V407" s="11"/>
      <c r="W407" s="10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2.75" customHeight="1">
      <c r="A408" s="10"/>
      <c r="B408" s="11"/>
      <c r="C408" s="10"/>
      <c r="D408" s="11"/>
      <c r="E408" s="10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0"/>
      <c r="V408" s="11"/>
      <c r="W408" s="10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2.75" customHeight="1">
      <c r="A409" s="10"/>
      <c r="B409" s="11"/>
      <c r="C409" s="10"/>
      <c r="D409" s="11"/>
      <c r="E409" s="10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0"/>
      <c r="V409" s="11"/>
      <c r="W409" s="10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2.75" customHeight="1">
      <c r="A410" s="10"/>
      <c r="B410" s="11"/>
      <c r="C410" s="10"/>
      <c r="D410" s="11"/>
      <c r="E410" s="10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0"/>
      <c r="V410" s="11"/>
      <c r="W410" s="10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2.75" customHeight="1">
      <c r="A411" s="10"/>
      <c r="B411" s="11"/>
      <c r="C411" s="10"/>
      <c r="D411" s="11"/>
      <c r="E411" s="10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0"/>
      <c r="V411" s="11"/>
      <c r="W411" s="10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2.75" customHeight="1">
      <c r="A412" s="10"/>
      <c r="B412" s="11"/>
      <c r="C412" s="10"/>
      <c r="D412" s="11"/>
      <c r="E412" s="10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0"/>
      <c r="V412" s="11"/>
      <c r="W412" s="10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2.75" customHeight="1">
      <c r="A413" s="10"/>
      <c r="B413" s="11"/>
      <c r="C413" s="10"/>
      <c r="D413" s="11"/>
      <c r="E413" s="10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0"/>
      <c r="V413" s="11"/>
      <c r="W413" s="10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2.75" customHeight="1">
      <c r="A414" s="10"/>
      <c r="B414" s="11"/>
      <c r="C414" s="10"/>
      <c r="D414" s="11"/>
      <c r="E414" s="10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0"/>
      <c r="V414" s="11"/>
      <c r="W414" s="10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2.75" customHeight="1">
      <c r="A415" s="10"/>
      <c r="B415" s="11"/>
      <c r="C415" s="10"/>
      <c r="D415" s="11"/>
      <c r="E415" s="10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0"/>
      <c r="V415" s="11"/>
      <c r="W415" s="10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2.75" customHeight="1">
      <c r="A416" s="10"/>
      <c r="B416" s="11"/>
      <c r="C416" s="10"/>
      <c r="D416" s="11"/>
      <c r="E416" s="10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0"/>
      <c r="V416" s="11"/>
      <c r="W416" s="10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2.75" customHeight="1">
      <c r="A417" s="10"/>
      <c r="B417" s="11"/>
      <c r="C417" s="10"/>
      <c r="D417" s="11"/>
      <c r="E417" s="10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0"/>
      <c r="V417" s="11"/>
      <c r="W417" s="10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2.75" customHeight="1">
      <c r="A418" s="10"/>
      <c r="B418" s="11"/>
      <c r="C418" s="10"/>
      <c r="D418" s="11"/>
      <c r="E418" s="10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0"/>
      <c r="V418" s="11"/>
      <c r="W418" s="10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2.75" customHeight="1">
      <c r="A419" s="10"/>
      <c r="B419" s="11"/>
      <c r="C419" s="10"/>
      <c r="D419" s="11"/>
      <c r="E419" s="10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0"/>
      <c r="V419" s="11"/>
      <c r="W419" s="10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2.75" customHeight="1">
      <c r="A420" s="10"/>
      <c r="B420" s="11"/>
      <c r="C420" s="10"/>
      <c r="D420" s="11"/>
      <c r="E420" s="10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0"/>
      <c r="V420" s="11"/>
      <c r="W420" s="10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2.75" customHeight="1">
      <c r="A421" s="10"/>
      <c r="B421" s="11"/>
      <c r="C421" s="10"/>
      <c r="D421" s="11"/>
      <c r="E421" s="10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0"/>
      <c r="V421" s="11"/>
      <c r="W421" s="10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2.75" customHeight="1">
      <c r="A422" s="10"/>
      <c r="B422" s="11"/>
      <c r="C422" s="10"/>
      <c r="D422" s="11"/>
      <c r="E422" s="10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0"/>
      <c r="V422" s="11"/>
      <c r="W422" s="10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2.75" customHeight="1">
      <c r="A423" s="10"/>
      <c r="B423" s="11"/>
      <c r="C423" s="10"/>
      <c r="D423" s="11"/>
      <c r="E423" s="10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0"/>
      <c r="V423" s="11"/>
      <c r="W423" s="10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2.75" customHeight="1">
      <c r="A424" s="10"/>
      <c r="B424" s="11"/>
      <c r="C424" s="10"/>
      <c r="D424" s="11"/>
      <c r="E424" s="10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0"/>
      <c r="V424" s="11"/>
      <c r="W424" s="10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2.75" customHeight="1">
      <c r="A425" s="10"/>
      <c r="B425" s="11"/>
      <c r="C425" s="10"/>
      <c r="D425" s="11"/>
      <c r="E425" s="10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0"/>
      <c r="V425" s="11"/>
      <c r="W425" s="10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2.75" customHeight="1">
      <c r="A426" s="10"/>
      <c r="B426" s="11"/>
      <c r="C426" s="10"/>
      <c r="D426" s="11"/>
      <c r="E426" s="10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0"/>
      <c r="V426" s="11"/>
      <c r="W426" s="10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2.75" customHeight="1">
      <c r="A427" s="10"/>
      <c r="B427" s="11"/>
      <c r="C427" s="10"/>
      <c r="D427" s="11"/>
      <c r="E427" s="10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0"/>
      <c r="V427" s="11"/>
      <c r="W427" s="10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2.75" customHeight="1">
      <c r="A428" s="10"/>
      <c r="B428" s="11"/>
      <c r="C428" s="10"/>
      <c r="D428" s="11"/>
      <c r="E428" s="10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0"/>
      <c r="V428" s="11"/>
      <c r="W428" s="10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2.75" customHeight="1">
      <c r="A429" s="10"/>
      <c r="B429" s="11"/>
      <c r="C429" s="10"/>
      <c r="D429" s="11"/>
      <c r="E429" s="10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0"/>
      <c r="V429" s="11"/>
      <c r="W429" s="10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2.75" customHeight="1">
      <c r="A430" s="10"/>
      <c r="B430" s="11"/>
      <c r="C430" s="10"/>
      <c r="D430" s="11"/>
      <c r="E430" s="10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0"/>
      <c r="V430" s="11"/>
      <c r="W430" s="10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2.75" customHeight="1">
      <c r="A431" s="10"/>
      <c r="B431" s="11"/>
      <c r="C431" s="10"/>
      <c r="D431" s="11"/>
      <c r="E431" s="10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0"/>
      <c r="V431" s="11"/>
      <c r="W431" s="10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2.75" customHeight="1">
      <c r="A432" s="10"/>
      <c r="B432" s="11"/>
      <c r="C432" s="10"/>
      <c r="D432" s="11"/>
      <c r="E432" s="10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0"/>
      <c r="V432" s="11"/>
      <c r="W432" s="10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2.75" customHeight="1">
      <c r="A433" s="10"/>
      <c r="B433" s="11"/>
      <c r="C433" s="10"/>
      <c r="D433" s="11"/>
      <c r="E433" s="10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0"/>
      <c r="V433" s="11"/>
      <c r="W433" s="10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2.75" customHeight="1">
      <c r="A434" s="10"/>
      <c r="B434" s="11"/>
      <c r="C434" s="10"/>
      <c r="D434" s="11"/>
      <c r="E434" s="10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0"/>
      <c r="V434" s="11"/>
      <c r="W434" s="10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2.75" customHeight="1">
      <c r="A435" s="10"/>
      <c r="B435" s="11"/>
      <c r="C435" s="10"/>
      <c r="D435" s="11"/>
      <c r="E435" s="10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0"/>
      <c r="V435" s="11"/>
      <c r="W435" s="10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2.75" customHeight="1">
      <c r="A436" s="10"/>
      <c r="B436" s="11"/>
      <c r="C436" s="10"/>
      <c r="D436" s="11"/>
      <c r="E436" s="10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0"/>
      <c r="V436" s="11"/>
      <c r="W436" s="10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2.75" customHeight="1">
      <c r="A437" s="10"/>
      <c r="B437" s="11"/>
      <c r="C437" s="10"/>
      <c r="D437" s="11"/>
      <c r="E437" s="10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0"/>
      <c r="V437" s="11"/>
      <c r="W437" s="10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2.75" customHeight="1">
      <c r="A438" s="10"/>
      <c r="B438" s="11"/>
      <c r="C438" s="10"/>
      <c r="D438" s="11"/>
      <c r="E438" s="10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0"/>
      <c r="V438" s="11"/>
      <c r="W438" s="10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2.75" customHeight="1">
      <c r="A439" s="10"/>
      <c r="B439" s="11"/>
      <c r="C439" s="10"/>
      <c r="D439" s="11"/>
      <c r="E439" s="10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0"/>
      <c r="V439" s="11"/>
      <c r="W439" s="10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2.75" customHeight="1">
      <c r="A440" s="10"/>
      <c r="B440" s="11"/>
      <c r="C440" s="10"/>
      <c r="D440" s="11"/>
      <c r="E440" s="10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0"/>
      <c r="V440" s="11"/>
      <c r="W440" s="10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2.75" customHeight="1">
      <c r="A441" s="10"/>
      <c r="B441" s="11"/>
      <c r="C441" s="10"/>
      <c r="D441" s="11"/>
      <c r="E441" s="10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0"/>
      <c r="V441" s="11"/>
      <c r="W441" s="10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2.75" customHeight="1">
      <c r="A442" s="10"/>
      <c r="B442" s="11"/>
      <c r="C442" s="10"/>
      <c r="D442" s="11"/>
      <c r="E442" s="10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0"/>
      <c r="V442" s="11"/>
      <c r="W442" s="10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2.75" customHeight="1">
      <c r="A443" s="10"/>
      <c r="B443" s="11"/>
      <c r="C443" s="10"/>
      <c r="D443" s="11"/>
      <c r="E443" s="10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0"/>
      <c r="V443" s="11"/>
      <c r="W443" s="10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2.75" customHeight="1">
      <c r="A444" s="10"/>
      <c r="B444" s="11"/>
      <c r="C444" s="10"/>
      <c r="D444" s="11"/>
      <c r="E444" s="10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0"/>
      <c r="V444" s="11"/>
      <c r="W444" s="10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2.75" customHeight="1">
      <c r="A445" s="10"/>
      <c r="B445" s="11"/>
      <c r="C445" s="10"/>
      <c r="D445" s="11"/>
      <c r="E445" s="10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0"/>
      <c r="V445" s="11"/>
      <c r="W445" s="10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2.75" customHeight="1">
      <c r="A446" s="10"/>
      <c r="B446" s="11"/>
      <c r="C446" s="10"/>
      <c r="D446" s="11"/>
      <c r="E446" s="10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0"/>
      <c r="V446" s="11"/>
      <c r="W446" s="10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2.75" customHeight="1">
      <c r="A447" s="10"/>
      <c r="B447" s="11"/>
      <c r="C447" s="10"/>
      <c r="D447" s="11"/>
      <c r="E447" s="10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0"/>
      <c r="V447" s="11"/>
      <c r="W447" s="10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2.75" customHeight="1">
      <c r="A448" s="10"/>
      <c r="B448" s="11"/>
      <c r="C448" s="10"/>
      <c r="D448" s="11"/>
      <c r="E448" s="10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0"/>
      <c r="V448" s="11"/>
      <c r="W448" s="10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2.75" customHeight="1">
      <c r="A449" s="10"/>
      <c r="B449" s="11"/>
      <c r="C449" s="10"/>
      <c r="D449" s="11"/>
      <c r="E449" s="10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0"/>
      <c r="V449" s="11"/>
      <c r="W449" s="10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2.75" customHeight="1">
      <c r="A450" s="10"/>
      <c r="B450" s="11"/>
      <c r="C450" s="10"/>
      <c r="D450" s="11"/>
      <c r="E450" s="10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0"/>
      <c r="V450" s="11"/>
      <c r="W450" s="10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2.75" customHeight="1">
      <c r="A451" s="10"/>
      <c r="B451" s="11"/>
      <c r="C451" s="10"/>
      <c r="D451" s="11"/>
      <c r="E451" s="10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0"/>
      <c r="V451" s="11"/>
      <c r="W451" s="10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2.75" customHeight="1">
      <c r="A452" s="10"/>
      <c r="B452" s="11"/>
      <c r="C452" s="10"/>
      <c r="D452" s="11"/>
      <c r="E452" s="10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0"/>
      <c r="V452" s="11"/>
      <c r="W452" s="10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2.75" customHeight="1">
      <c r="A453" s="10"/>
      <c r="B453" s="11"/>
      <c r="C453" s="10"/>
      <c r="D453" s="11"/>
      <c r="E453" s="10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0"/>
      <c r="V453" s="11"/>
      <c r="W453" s="10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2.75" customHeight="1">
      <c r="A454" s="10"/>
      <c r="B454" s="11"/>
      <c r="C454" s="10"/>
      <c r="D454" s="11"/>
      <c r="E454" s="10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0"/>
      <c r="V454" s="11"/>
      <c r="W454" s="10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2.75" customHeight="1">
      <c r="A455" s="10"/>
      <c r="B455" s="11"/>
      <c r="C455" s="10"/>
      <c r="D455" s="11"/>
      <c r="E455" s="10"/>
      <c r="F455" s="1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0"/>
      <c r="V455" s="11"/>
      <c r="W455" s="10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2.75" customHeight="1">
      <c r="A456" s="10"/>
      <c r="B456" s="11"/>
      <c r="C456" s="10"/>
      <c r="D456" s="11"/>
      <c r="E456" s="10"/>
      <c r="F456" s="1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0"/>
      <c r="V456" s="11"/>
      <c r="W456" s="10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2.75" customHeight="1">
      <c r="A457" s="10"/>
      <c r="B457" s="11"/>
      <c r="C457" s="10"/>
      <c r="D457" s="11"/>
      <c r="E457" s="10"/>
      <c r="F457" s="1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0"/>
      <c r="V457" s="11"/>
      <c r="W457" s="10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2.75" customHeight="1">
      <c r="A458" s="10"/>
      <c r="B458" s="11"/>
      <c r="C458" s="10"/>
      <c r="D458" s="11"/>
      <c r="E458" s="10"/>
      <c r="F458" s="1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0"/>
      <c r="V458" s="11"/>
      <c r="W458" s="10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2.75" customHeight="1">
      <c r="A459" s="10"/>
      <c r="B459" s="11"/>
      <c r="C459" s="10"/>
      <c r="D459" s="11"/>
      <c r="E459" s="10"/>
      <c r="F459" s="1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0"/>
      <c r="V459" s="11"/>
      <c r="W459" s="10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2.75" customHeight="1">
      <c r="A460" s="10"/>
      <c r="B460" s="11"/>
      <c r="C460" s="10"/>
      <c r="D460" s="11"/>
      <c r="E460" s="10"/>
      <c r="F460" s="1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0"/>
      <c r="V460" s="11"/>
      <c r="W460" s="10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2.75" customHeight="1">
      <c r="A461" s="10"/>
      <c r="B461" s="11"/>
      <c r="C461" s="10"/>
      <c r="D461" s="11"/>
      <c r="E461" s="10"/>
      <c r="F461" s="1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0"/>
      <c r="V461" s="11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2.75" customHeight="1">
      <c r="A462" s="10"/>
      <c r="B462" s="11"/>
      <c r="C462" s="10"/>
      <c r="D462" s="11"/>
      <c r="E462" s="10"/>
      <c r="F462" s="1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0"/>
      <c r="V462" s="11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2.75" customHeight="1">
      <c r="A463" s="10"/>
      <c r="B463" s="11"/>
      <c r="C463" s="10"/>
      <c r="D463" s="11"/>
      <c r="E463" s="10"/>
      <c r="F463" s="1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0"/>
      <c r="V463" s="11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2.75" customHeight="1">
      <c r="A464" s="10"/>
      <c r="B464" s="11"/>
      <c r="C464" s="10"/>
      <c r="D464" s="11"/>
      <c r="E464" s="10"/>
      <c r="F464" s="1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0"/>
      <c r="V464" s="11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2.75" customHeight="1">
      <c r="A465" s="10"/>
      <c r="B465" s="11"/>
      <c r="C465" s="10"/>
      <c r="D465" s="11"/>
      <c r="E465" s="10"/>
      <c r="F465" s="1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0"/>
      <c r="V465" s="11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2.75" customHeight="1">
      <c r="A466" s="10"/>
      <c r="B466" s="11"/>
      <c r="C466" s="10"/>
      <c r="D466" s="11"/>
      <c r="E466" s="10"/>
      <c r="F466" s="1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0"/>
      <c r="V466" s="11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2.75" customHeight="1">
      <c r="A467" s="10"/>
      <c r="B467" s="11"/>
      <c r="C467" s="10"/>
      <c r="D467" s="11"/>
      <c r="E467" s="10"/>
      <c r="F467" s="1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0"/>
      <c r="V467" s="11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2.75" customHeight="1">
      <c r="A468" s="10"/>
      <c r="B468" s="11"/>
      <c r="C468" s="10"/>
      <c r="D468" s="11"/>
      <c r="E468" s="10"/>
      <c r="F468" s="1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0"/>
      <c r="V468" s="11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2.75" customHeight="1">
      <c r="A469" s="10"/>
      <c r="B469" s="11"/>
      <c r="C469" s="10"/>
      <c r="D469" s="11"/>
      <c r="E469" s="10"/>
      <c r="F469" s="1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0"/>
      <c r="V469" s="11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2.75" customHeight="1">
      <c r="A470" s="10"/>
      <c r="B470" s="11"/>
      <c r="C470" s="10"/>
      <c r="D470" s="11"/>
      <c r="E470" s="10"/>
      <c r="F470" s="1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0"/>
      <c r="V470" s="11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2.75" customHeight="1">
      <c r="A471" s="10"/>
      <c r="B471" s="11"/>
      <c r="C471" s="10"/>
      <c r="D471" s="11"/>
      <c r="E471" s="10"/>
      <c r="F471" s="1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0"/>
      <c r="V471" s="11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2.75" customHeight="1">
      <c r="A472" s="10"/>
      <c r="B472" s="11"/>
      <c r="C472" s="10"/>
      <c r="D472" s="11"/>
      <c r="E472" s="10"/>
      <c r="F472" s="1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0"/>
      <c r="V472" s="11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2.75" customHeight="1">
      <c r="A473" s="10"/>
      <c r="B473" s="11"/>
      <c r="C473" s="10"/>
      <c r="D473" s="11"/>
      <c r="E473" s="10"/>
      <c r="F473" s="1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0"/>
      <c r="V473" s="11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2.75" customHeight="1">
      <c r="A474" s="10"/>
      <c r="B474" s="11"/>
      <c r="C474" s="10"/>
      <c r="D474" s="11"/>
      <c r="E474" s="10"/>
      <c r="F474" s="1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0"/>
      <c r="V474" s="11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2.75" customHeight="1">
      <c r="A475" s="10"/>
      <c r="B475" s="11"/>
      <c r="C475" s="10"/>
      <c r="D475" s="11"/>
      <c r="E475" s="10"/>
      <c r="F475" s="1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0"/>
      <c r="V475" s="11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2.75" customHeight="1">
      <c r="A476" s="10"/>
      <c r="B476" s="11"/>
      <c r="C476" s="10"/>
      <c r="D476" s="11"/>
      <c r="E476" s="10"/>
      <c r="F476" s="1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0"/>
      <c r="V476" s="11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2.75" customHeight="1">
      <c r="A477" s="10"/>
      <c r="B477" s="11"/>
      <c r="C477" s="10"/>
      <c r="D477" s="11"/>
      <c r="E477" s="10"/>
      <c r="F477" s="1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0"/>
      <c r="V477" s="11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2.75" customHeight="1">
      <c r="A478" s="10"/>
      <c r="B478" s="11"/>
      <c r="C478" s="10"/>
      <c r="D478" s="11"/>
      <c r="E478" s="10"/>
      <c r="F478" s="1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0"/>
      <c r="V478" s="11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2.75" customHeight="1">
      <c r="A479" s="10"/>
      <c r="B479" s="11"/>
      <c r="C479" s="10"/>
      <c r="D479" s="11"/>
      <c r="E479" s="10"/>
      <c r="F479" s="1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0"/>
      <c r="V479" s="11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2.75" customHeight="1">
      <c r="A480" s="10"/>
      <c r="B480" s="11"/>
      <c r="C480" s="10"/>
      <c r="D480" s="11"/>
      <c r="E480" s="10"/>
      <c r="F480" s="1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0"/>
      <c r="V480" s="11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2.75" customHeight="1">
      <c r="A481" s="10"/>
      <c r="B481" s="11"/>
      <c r="C481" s="10"/>
      <c r="D481" s="11"/>
      <c r="E481" s="10"/>
      <c r="F481" s="1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0"/>
      <c r="V481" s="11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2.75" customHeight="1">
      <c r="A482" s="10"/>
      <c r="B482" s="11"/>
      <c r="C482" s="10"/>
      <c r="D482" s="11"/>
      <c r="E482" s="10"/>
      <c r="F482" s="1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0"/>
      <c r="V482" s="11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2.75" customHeight="1">
      <c r="A483" s="10"/>
      <c r="B483" s="11"/>
      <c r="C483" s="10"/>
      <c r="D483" s="11"/>
      <c r="E483" s="10"/>
      <c r="F483" s="1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0"/>
      <c r="V483" s="11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2.75" customHeight="1">
      <c r="A484" s="10"/>
      <c r="B484" s="11"/>
      <c r="C484" s="10"/>
      <c r="D484" s="11"/>
      <c r="E484" s="10"/>
      <c r="F484" s="1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0"/>
      <c r="V484" s="11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2.75" customHeight="1">
      <c r="A485" s="10"/>
      <c r="B485" s="11"/>
      <c r="C485" s="10"/>
      <c r="D485" s="11"/>
      <c r="E485" s="10"/>
      <c r="F485" s="1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0"/>
      <c r="V485" s="11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2.75" customHeight="1">
      <c r="A486" s="10"/>
      <c r="B486" s="11"/>
      <c r="C486" s="10"/>
      <c r="D486" s="11"/>
      <c r="E486" s="10"/>
      <c r="F486" s="1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0"/>
      <c r="V486" s="11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2.75" customHeight="1">
      <c r="A487" s="10"/>
      <c r="B487" s="11"/>
      <c r="C487" s="10"/>
      <c r="D487" s="11"/>
      <c r="E487" s="10"/>
      <c r="F487" s="1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0"/>
      <c r="V487" s="11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2.75" customHeight="1">
      <c r="A488" s="10"/>
      <c r="B488" s="11"/>
      <c r="C488" s="10"/>
      <c r="D488" s="11"/>
      <c r="E488" s="10"/>
      <c r="F488" s="1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0"/>
      <c r="V488" s="11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2.75" customHeight="1">
      <c r="A489" s="10"/>
      <c r="B489" s="11"/>
      <c r="C489" s="10"/>
      <c r="D489" s="11"/>
      <c r="E489" s="10"/>
      <c r="F489" s="1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0"/>
      <c r="V489" s="11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2.75" customHeight="1">
      <c r="A490" s="10"/>
      <c r="B490" s="11"/>
      <c r="C490" s="10"/>
      <c r="D490" s="11"/>
      <c r="E490" s="10"/>
      <c r="F490" s="1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0"/>
      <c r="V490" s="11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2.75" customHeight="1">
      <c r="A491" s="10"/>
      <c r="B491" s="11"/>
      <c r="C491" s="10"/>
      <c r="D491" s="11"/>
      <c r="E491" s="10"/>
      <c r="F491" s="1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0"/>
      <c r="V491" s="11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2.75" customHeight="1">
      <c r="A492" s="10"/>
      <c r="B492" s="11"/>
      <c r="C492" s="10"/>
      <c r="D492" s="11"/>
      <c r="E492" s="10"/>
      <c r="F492" s="1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0"/>
      <c r="V492" s="11"/>
      <c r="W492" s="10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2.75" customHeight="1">
      <c r="A493" s="10"/>
      <c r="B493" s="11"/>
      <c r="C493" s="10"/>
      <c r="D493" s="11"/>
      <c r="E493" s="10"/>
      <c r="F493" s="1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0"/>
      <c r="V493" s="11"/>
      <c r="W493" s="10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2.75" customHeight="1">
      <c r="A494" s="10"/>
      <c r="B494" s="11"/>
      <c r="C494" s="10"/>
      <c r="D494" s="11"/>
      <c r="E494" s="10"/>
      <c r="F494" s="1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0"/>
      <c r="V494" s="11"/>
      <c r="W494" s="10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2.75" customHeight="1">
      <c r="A495" s="10"/>
      <c r="B495" s="11"/>
      <c r="C495" s="10"/>
      <c r="D495" s="11"/>
      <c r="E495" s="10"/>
      <c r="F495" s="1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0"/>
      <c r="V495" s="11"/>
      <c r="W495" s="10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2.75" customHeight="1">
      <c r="A496" s="10"/>
      <c r="B496" s="11"/>
      <c r="C496" s="10"/>
      <c r="D496" s="11"/>
      <c r="E496" s="10"/>
      <c r="F496" s="1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0"/>
      <c r="V496" s="11"/>
      <c r="W496" s="10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2.75" customHeight="1">
      <c r="A497" s="10"/>
      <c r="B497" s="11"/>
      <c r="C497" s="10"/>
      <c r="D497" s="11"/>
      <c r="E497" s="10"/>
      <c r="F497" s="1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0"/>
      <c r="V497" s="11"/>
      <c r="W497" s="10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2.75" customHeight="1">
      <c r="A498" s="10"/>
      <c r="B498" s="11"/>
      <c r="C498" s="10"/>
      <c r="D498" s="11"/>
      <c r="E498" s="10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0"/>
      <c r="V498" s="11"/>
      <c r="W498" s="10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2.75" customHeight="1">
      <c r="A499" s="10"/>
      <c r="B499" s="11"/>
      <c r="C499" s="10"/>
      <c r="D499" s="11"/>
      <c r="E499" s="10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0"/>
      <c r="V499" s="11"/>
      <c r="W499" s="10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2.75" customHeight="1">
      <c r="A500" s="10"/>
      <c r="B500" s="11"/>
      <c r="C500" s="10"/>
      <c r="D500" s="11"/>
      <c r="E500" s="10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0"/>
      <c r="V500" s="11"/>
      <c r="W500" s="10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2.75" customHeight="1">
      <c r="A501" s="10"/>
      <c r="B501" s="11"/>
      <c r="C501" s="10"/>
      <c r="D501" s="11"/>
      <c r="E501" s="10"/>
      <c r="F501" s="1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0"/>
      <c r="V501" s="11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2.75" customHeight="1">
      <c r="A502" s="10"/>
      <c r="B502" s="11"/>
      <c r="C502" s="10"/>
      <c r="D502" s="11"/>
      <c r="E502" s="10"/>
      <c r="F502" s="1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0"/>
      <c r="V502" s="11"/>
      <c r="W502" s="10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2.75" customHeight="1">
      <c r="A503" s="10"/>
      <c r="B503" s="11"/>
      <c r="C503" s="10"/>
      <c r="D503" s="11"/>
      <c r="E503" s="10"/>
      <c r="F503" s="1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0"/>
      <c r="V503" s="11"/>
      <c r="W503" s="10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2.75" customHeight="1">
      <c r="A504" s="10"/>
      <c r="B504" s="11"/>
      <c r="C504" s="10"/>
      <c r="D504" s="11"/>
      <c r="E504" s="10"/>
      <c r="F504" s="1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0"/>
      <c r="V504" s="11"/>
      <c r="W504" s="10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2.75" customHeight="1">
      <c r="A505" s="10"/>
      <c r="B505" s="11"/>
      <c r="C505" s="10"/>
      <c r="D505" s="11"/>
      <c r="E505" s="10"/>
      <c r="F505" s="1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0"/>
      <c r="V505" s="11"/>
      <c r="W505" s="10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2.75" customHeight="1">
      <c r="A506" s="10"/>
      <c r="B506" s="11"/>
      <c r="C506" s="10"/>
      <c r="D506" s="11"/>
      <c r="E506" s="10"/>
      <c r="F506" s="1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0"/>
      <c r="V506" s="11"/>
      <c r="W506" s="10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2.75" customHeight="1">
      <c r="A507" s="10"/>
      <c r="B507" s="11"/>
      <c r="C507" s="10"/>
      <c r="D507" s="11"/>
      <c r="E507" s="10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0"/>
      <c r="V507" s="11"/>
      <c r="W507" s="10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2.75" customHeight="1">
      <c r="A508" s="10"/>
      <c r="B508" s="11"/>
      <c r="C508" s="10"/>
      <c r="D508" s="11"/>
      <c r="E508" s="10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0"/>
      <c r="V508" s="11"/>
      <c r="W508" s="10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2.75" customHeight="1">
      <c r="A509" s="10"/>
      <c r="B509" s="11"/>
      <c r="C509" s="10"/>
      <c r="D509" s="11"/>
      <c r="E509" s="10"/>
      <c r="F509" s="1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0"/>
      <c r="V509" s="11"/>
      <c r="W509" s="10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2.75" customHeight="1">
      <c r="A510" s="10"/>
      <c r="B510" s="11"/>
      <c r="C510" s="10"/>
      <c r="D510" s="11"/>
      <c r="E510" s="10"/>
      <c r="F510" s="1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0"/>
      <c r="V510" s="11"/>
      <c r="W510" s="10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2.75" customHeight="1">
      <c r="A511" s="10"/>
      <c r="B511" s="11"/>
      <c r="C511" s="10"/>
      <c r="D511" s="11"/>
      <c r="E511" s="10"/>
      <c r="F511" s="1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0"/>
      <c r="V511" s="11"/>
      <c r="W511" s="10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2.75" customHeight="1">
      <c r="A512" s="10"/>
      <c r="B512" s="11"/>
      <c r="C512" s="10"/>
      <c r="D512" s="11"/>
      <c r="E512" s="10"/>
      <c r="F512" s="1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0"/>
      <c r="V512" s="11"/>
      <c r="W512" s="10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2.75" customHeight="1">
      <c r="A513" s="10"/>
      <c r="B513" s="11"/>
      <c r="C513" s="10"/>
      <c r="D513" s="11"/>
      <c r="E513" s="10"/>
      <c r="F513" s="1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0"/>
      <c r="V513" s="11"/>
      <c r="W513" s="10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2.75" customHeight="1">
      <c r="A514" s="10"/>
      <c r="B514" s="11"/>
      <c r="C514" s="10"/>
      <c r="D514" s="11"/>
      <c r="E514" s="10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0"/>
      <c r="V514" s="11"/>
      <c r="W514" s="10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2.75" customHeight="1">
      <c r="A515" s="10"/>
      <c r="B515" s="11"/>
      <c r="C515" s="10"/>
      <c r="D515" s="11"/>
      <c r="E515" s="10"/>
      <c r="F515" s="1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0"/>
      <c r="V515" s="11"/>
      <c r="W515" s="10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2.75" customHeight="1">
      <c r="A516" s="10"/>
      <c r="B516" s="11"/>
      <c r="C516" s="10"/>
      <c r="D516" s="11"/>
      <c r="E516" s="10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0"/>
      <c r="V516" s="11"/>
      <c r="W516" s="10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2.75" customHeight="1">
      <c r="A517" s="10"/>
      <c r="B517" s="11"/>
      <c r="C517" s="10"/>
      <c r="D517" s="11"/>
      <c r="E517" s="10"/>
      <c r="F517" s="1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0"/>
      <c r="V517" s="11"/>
      <c r="W517" s="10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2.75" customHeight="1">
      <c r="A518" s="10"/>
      <c r="B518" s="11"/>
      <c r="C518" s="10"/>
      <c r="D518" s="11"/>
      <c r="E518" s="10"/>
      <c r="F518" s="1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0"/>
      <c r="V518" s="11"/>
      <c r="W518" s="10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2.75" customHeight="1">
      <c r="A519" s="10"/>
      <c r="B519" s="11"/>
      <c r="C519" s="10"/>
      <c r="D519" s="11"/>
      <c r="E519" s="10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0"/>
      <c r="V519" s="11"/>
      <c r="W519" s="10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2.75" customHeight="1">
      <c r="A520" s="10"/>
      <c r="B520" s="11"/>
      <c r="C520" s="10"/>
      <c r="D520" s="11"/>
      <c r="E520" s="10"/>
      <c r="F520" s="1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0"/>
      <c r="V520" s="11"/>
      <c r="W520" s="10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2.75" customHeight="1">
      <c r="A521" s="10"/>
      <c r="B521" s="11"/>
      <c r="C521" s="10"/>
      <c r="D521" s="11"/>
      <c r="E521" s="10"/>
      <c r="F521" s="1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0"/>
      <c r="V521" s="11"/>
      <c r="W521" s="10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2.75" customHeight="1">
      <c r="A522" s="10"/>
      <c r="B522" s="11"/>
      <c r="C522" s="10"/>
      <c r="D522" s="11"/>
      <c r="E522" s="10"/>
      <c r="F522" s="1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0"/>
      <c r="V522" s="11"/>
      <c r="W522" s="10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2.75" customHeight="1">
      <c r="A523" s="10"/>
      <c r="B523" s="11"/>
      <c r="C523" s="10"/>
      <c r="D523" s="11"/>
      <c r="E523" s="10"/>
      <c r="F523" s="1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0"/>
      <c r="V523" s="11"/>
      <c r="W523" s="10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2.75" customHeight="1">
      <c r="A524" s="10"/>
      <c r="B524" s="11"/>
      <c r="C524" s="10"/>
      <c r="D524" s="11"/>
      <c r="E524" s="10"/>
      <c r="F524" s="1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0"/>
      <c r="V524" s="11"/>
      <c r="W524" s="10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2.75" customHeight="1">
      <c r="A525" s="10"/>
      <c r="B525" s="11"/>
      <c r="C525" s="10"/>
      <c r="D525" s="11"/>
      <c r="E525" s="10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0"/>
      <c r="V525" s="11"/>
      <c r="W525" s="10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2.75" customHeight="1">
      <c r="A526" s="10"/>
      <c r="B526" s="11"/>
      <c r="C526" s="10"/>
      <c r="D526" s="11"/>
      <c r="E526" s="10"/>
      <c r="F526" s="1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0"/>
      <c r="V526" s="11"/>
      <c r="W526" s="10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2.75" customHeight="1">
      <c r="A527" s="10"/>
      <c r="B527" s="11"/>
      <c r="C527" s="10"/>
      <c r="D527" s="11"/>
      <c r="E527" s="10"/>
      <c r="F527" s="1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0"/>
      <c r="V527" s="11"/>
      <c r="W527" s="10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2.75" customHeight="1">
      <c r="A528" s="10"/>
      <c r="B528" s="11"/>
      <c r="C528" s="10"/>
      <c r="D528" s="11"/>
      <c r="E528" s="10"/>
      <c r="F528" s="1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0"/>
      <c r="V528" s="11"/>
      <c r="W528" s="10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2.75" customHeight="1">
      <c r="A529" s="10"/>
      <c r="B529" s="11"/>
      <c r="C529" s="10"/>
      <c r="D529" s="11"/>
      <c r="E529" s="10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0"/>
      <c r="V529" s="11"/>
      <c r="W529" s="10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2.75" customHeight="1">
      <c r="A530" s="10"/>
      <c r="B530" s="11"/>
      <c r="C530" s="10"/>
      <c r="D530" s="11"/>
      <c r="E530" s="10"/>
      <c r="F530" s="1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0"/>
      <c r="V530" s="11"/>
      <c r="W530" s="10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2.75" customHeight="1">
      <c r="A531" s="10"/>
      <c r="B531" s="11"/>
      <c r="C531" s="10"/>
      <c r="D531" s="11"/>
      <c r="E531" s="10"/>
      <c r="F531" s="1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0"/>
      <c r="V531" s="11"/>
      <c r="W531" s="10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2.75" customHeight="1">
      <c r="A532" s="10"/>
      <c r="B532" s="11"/>
      <c r="C532" s="10"/>
      <c r="D532" s="11"/>
      <c r="E532" s="10"/>
      <c r="F532" s="1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0"/>
      <c r="V532" s="11"/>
      <c r="W532" s="10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2.75" customHeight="1">
      <c r="A533" s="10"/>
      <c r="B533" s="11"/>
      <c r="C533" s="10"/>
      <c r="D533" s="11"/>
      <c r="E533" s="10"/>
      <c r="F533" s="1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0"/>
      <c r="V533" s="11"/>
      <c r="W533" s="10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2.75" customHeight="1">
      <c r="A534" s="10"/>
      <c r="B534" s="11"/>
      <c r="C534" s="10"/>
      <c r="D534" s="11"/>
      <c r="E534" s="10"/>
      <c r="F534" s="1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0"/>
      <c r="V534" s="11"/>
      <c r="W534" s="10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2.75" customHeight="1">
      <c r="A535" s="10"/>
      <c r="B535" s="11"/>
      <c r="C535" s="10"/>
      <c r="D535" s="11"/>
      <c r="E535" s="10"/>
      <c r="F535" s="1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0"/>
      <c r="V535" s="11"/>
      <c r="W535" s="10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2.75" customHeight="1">
      <c r="A536" s="10"/>
      <c r="B536" s="11"/>
      <c r="C536" s="10"/>
      <c r="D536" s="11"/>
      <c r="E536" s="10"/>
      <c r="F536" s="1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0"/>
      <c r="V536" s="11"/>
      <c r="W536" s="10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2.75" customHeight="1">
      <c r="A537" s="10"/>
      <c r="B537" s="11"/>
      <c r="C537" s="10"/>
      <c r="D537" s="11"/>
      <c r="E537" s="10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0"/>
      <c r="V537" s="11"/>
      <c r="W537" s="10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2.75" customHeight="1">
      <c r="A538" s="10"/>
      <c r="B538" s="11"/>
      <c r="C538" s="10"/>
      <c r="D538" s="11"/>
      <c r="E538" s="10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0"/>
      <c r="V538" s="11"/>
      <c r="W538" s="10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2.75" customHeight="1">
      <c r="A539" s="10"/>
      <c r="B539" s="11"/>
      <c r="C539" s="10"/>
      <c r="D539" s="11"/>
      <c r="E539" s="10"/>
      <c r="F539" s="1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0"/>
      <c r="V539" s="11"/>
      <c r="W539" s="10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2.75" customHeight="1">
      <c r="A540" s="10"/>
      <c r="B540" s="11"/>
      <c r="C540" s="10"/>
      <c r="D540" s="11"/>
      <c r="E540" s="10"/>
      <c r="F540" s="1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0"/>
      <c r="V540" s="11"/>
      <c r="W540" s="10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2.75" customHeight="1">
      <c r="A541" s="10"/>
      <c r="B541" s="11"/>
      <c r="C541" s="10"/>
      <c r="D541" s="11"/>
      <c r="E541" s="10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0"/>
      <c r="V541" s="11"/>
      <c r="W541" s="10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2.75" customHeight="1">
      <c r="A542" s="10"/>
      <c r="B542" s="11"/>
      <c r="C542" s="10"/>
      <c r="D542" s="11"/>
      <c r="E542" s="10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0"/>
      <c r="V542" s="11"/>
      <c r="W542" s="10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2.75" customHeight="1">
      <c r="A543" s="10"/>
      <c r="B543" s="11"/>
      <c r="C543" s="10"/>
      <c r="D543" s="11"/>
      <c r="E543" s="10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0"/>
      <c r="V543" s="11"/>
      <c r="W543" s="10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2.75" customHeight="1">
      <c r="A544" s="10"/>
      <c r="B544" s="11"/>
      <c r="C544" s="10"/>
      <c r="D544" s="11"/>
      <c r="E544" s="10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0"/>
      <c r="V544" s="11"/>
      <c r="W544" s="10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2.75" customHeight="1">
      <c r="A545" s="10"/>
      <c r="B545" s="11"/>
      <c r="C545" s="10"/>
      <c r="D545" s="11"/>
      <c r="E545" s="10"/>
      <c r="F545" s="1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0"/>
      <c r="V545" s="11"/>
      <c r="W545" s="10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2.75" customHeight="1">
      <c r="A546" s="10"/>
      <c r="B546" s="11"/>
      <c r="C546" s="10"/>
      <c r="D546" s="11"/>
      <c r="E546" s="10"/>
      <c r="F546" s="1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0"/>
      <c r="V546" s="11"/>
      <c r="W546" s="10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2.75" customHeight="1">
      <c r="A547" s="10"/>
      <c r="B547" s="11"/>
      <c r="C547" s="10"/>
      <c r="D547" s="11"/>
      <c r="E547" s="10"/>
      <c r="F547" s="1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0"/>
      <c r="V547" s="11"/>
      <c r="W547" s="10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2.75" customHeight="1">
      <c r="A548" s="10"/>
      <c r="B548" s="11"/>
      <c r="C548" s="10"/>
      <c r="D548" s="11"/>
      <c r="E548" s="10"/>
      <c r="F548" s="1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0"/>
      <c r="V548" s="11"/>
      <c r="W548" s="10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2.75" customHeight="1">
      <c r="A549" s="10"/>
      <c r="B549" s="11"/>
      <c r="C549" s="10"/>
      <c r="D549" s="11"/>
      <c r="E549" s="10"/>
      <c r="F549" s="1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0"/>
      <c r="V549" s="11"/>
      <c r="W549" s="10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2.75" customHeight="1">
      <c r="A550" s="10"/>
      <c r="B550" s="11"/>
      <c r="C550" s="10"/>
      <c r="D550" s="11"/>
      <c r="E550" s="10"/>
      <c r="F550" s="1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0"/>
      <c r="V550" s="11"/>
      <c r="W550" s="10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2.75" customHeight="1">
      <c r="A551" s="10"/>
      <c r="B551" s="11"/>
      <c r="C551" s="10"/>
      <c r="D551" s="11"/>
      <c r="E551" s="10"/>
      <c r="F551" s="1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0"/>
      <c r="V551" s="11"/>
      <c r="W551" s="10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2.75" customHeight="1">
      <c r="A552" s="10"/>
      <c r="B552" s="11"/>
      <c r="C552" s="10"/>
      <c r="D552" s="11"/>
      <c r="E552" s="10"/>
      <c r="F552" s="1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0"/>
      <c r="V552" s="11"/>
      <c r="W552" s="10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2.75" customHeight="1">
      <c r="A553" s="10"/>
      <c r="B553" s="11"/>
      <c r="C553" s="10"/>
      <c r="D553" s="11"/>
      <c r="E553" s="10"/>
      <c r="F553" s="1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0"/>
      <c r="V553" s="11"/>
      <c r="W553" s="10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2.75" customHeight="1">
      <c r="A554" s="10"/>
      <c r="B554" s="11"/>
      <c r="C554" s="10"/>
      <c r="D554" s="11"/>
      <c r="E554" s="10"/>
      <c r="F554" s="1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0"/>
      <c r="V554" s="11"/>
      <c r="W554" s="10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2.75" customHeight="1">
      <c r="A555" s="10"/>
      <c r="B555" s="11"/>
      <c r="C555" s="10"/>
      <c r="D555" s="11"/>
      <c r="E555" s="10"/>
      <c r="F555" s="1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0"/>
      <c r="V555" s="11"/>
      <c r="W555" s="10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2.75" customHeight="1">
      <c r="A556" s="10"/>
      <c r="B556" s="11"/>
      <c r="C556" s="10"/>
      <c r="D556" s="11"/>
      <c r="E556" s="10"/>
      <c r="F556" s="1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0"/>
      <c r="V556" s="11"/>
      <c r="W556" s="10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2.75" customHeight="1">
      <c r="A557" s="10"/>
      <c r="B557" s="11"/>
      <c r="C557" s="10"/>
      <c r="D557" s="11"/>
      <c r="E557" s="10"/>
      <c r="F557" s="1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0"/>
      <c r="V557" s="11"/>
      <c r="W557" s="10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2.75" customHeight="1">
      <c r="A558" s="10"/>
      <c r="B558" s="11"/>
      <c r="C558" s="10"/>
      <c r="D558" s="11"/>
      <c r="E558" s="10"/>
      <c r="F558" s="1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0"/>
      <c r="V558" s="11"/>
      <c r="W558" s="10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2.75" customHeight="1">
      <c r="A559" s="10"/>
      <c r="B559" s="11"/>
      <c r="C559" s="10"/>
      <c r="D559" s="11"/>
      <c r="E559" s="10"/>
      <c r="F559" s="1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0"/>
      <c r="V559" s="11"/>
      <c r="W559" s="10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2.75" customHeight="1">
      <c r="A560" s="10"/>
      <c r="B560" s="11"/>
      <c r="C560" s="10"/>
      <c r="D560" s="11"/>
      <c r="E560" s="10"/>
      <c r="F560" s="1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0"/>
      <c r="V560" s="11"/>
      <c r="W560" s="10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2.75" customHeight="1">
      <c r="A561" s="10"/>
      <c r="B561" s="11"/>
      <c r="C561" s="10"/>
      <c r="D561" s="11"/>
      <c r="E561" s="10"/>
      <c r="F561" s="1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0"/>
      <c r="V561" s="11"/>
      <c r="W561" s="10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2.75" customHeight="1">
      <c r="A562" s="10"/>
      <c r="B562" s="11"/>
      <c r="C562" s="10"/>
      <c r="D562" s="11"/>
      <c r="E562" s="10"/>
      <c r="F562" s="1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0"/>
      <c r="V562" s="11"/>
      <c r="W562" s="10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2.75" customHeight="1">
      <c r="A563" s="10"/>
      <c r="B563" s="11"/>
      <c r="C563" s="10"/>
      <c r="D563" s="11"/>
      <c r="E563" s="10"/>
      <c r="F563" s="1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0"/>
      <c r="V563" s="11"/>
      <c r="W563" s="10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2.75" customHeight="1">
      <c r="A564" s="10"/>
      <c r="B564" s="11"/>
      <c r="C564" s="10"/>
      <c r="D564" s="11"/>
      <c r="E564" s="10"/>
      <c r="F564" s="1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0"/>
      <c r="V564" s="11"/>
      <c r="W564" s="10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2.75" customHeight="1">
      <c r="A565" s="10"/>
      <c r="B565" s="11"/>
      <c r="C565" s="10"/>
      <c r="D565" s="11"/>
      <c r="E565" s="10"/>
      <c r="F565" s="1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0"/>
      <c r="V565" s="11"/>
      <c r="W565" s="10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2.75" customHeight="1">
      <c r="A566" s="10"/>
      <c r="B566" s="11"/>
      <c r="C566" s="10"/>
      <c r="D566" s="11"/>
      <c r="E566" s="10"/>
      <c r="F566" s="1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0"/>
      <c r="V566" s="11"/>
      <c r="W566" s="10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2.75" customHeight="1">
      <c r="A567" s="10"/>
      <c r="B567" s="11"/>
      <c r="C567" s="10"/>
      <c r="D567" s="11"/>
      <c r="E567" s="10"/>
      <c r="F567" s="1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0"/>
      <c r="V567" s="11"/>
      <c r="W567" s="10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2.75" customHeight="1">
      <c r="A568" s="10"/>
      <c r="B568" s="11"/>
      <c r="C568" s="10"/>
      <c r="D568" s="11"/>
      <c r="E568" s="10"/>
      <c r="F568" s="1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0"/>
      <c r="V568" s="11"/>
      <c r="W568" s="10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2.75" customHeight="1">
      <c r="A569" s="10"/>
      <c r="B569" s="11"/>
      <c r="C569" s="10"/>
      <c r="D569" s="11"/>
      <c r="E569" s="10"/>
      <c r="F569" s="1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0"/>
      <c r="V569" s="11"/>
      <c r="W569" s="10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2.75" customHeight="1">
      <c r="A570" s="10"/>
      <c r="B570" s="11"/>
      <c r="C570" s="10"/>
      <c r="D570" s="11"/>
      <c r="E570" s="10"/>
      <c r="F570" s="1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0"/>
      <c r="V570" s="11"/>
      <c r="W570" s="10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2.75" customHeight="1">
      <c r="A571" s="10"/>
      <c r="B571" s="11"/>
      <c r="C571" s="10"/>
      <c r="D571" s="11"/>
      <c r="E571" s="10"/>
      <c r="F571" s="1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0"/>
      <c r="V571" s="11"/>
      <c r="W571" s="10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2.75" customHeight="1">
      <c r="A572" s="10"/>
      <c r="B572" s="11"/>
      <c r="C572" s="10"/>
      <c r="D572" s="11"/>
      <c r="E572" s="10"/>
      <c r="F572" s="1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0"/>
      <c r="V572" s="11"/>
      <c r="W572" s="10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2.75" customHeight="1">
      <c r="A573" s="10"/>
      <c r="B573" s="11"/>
      <c r="C573" s="10"/>
      <c r="D573" s="11"/>
      <c r="E573" s="10"/>
      <c r="F573" s="1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0"/>
      <c r="V573" s="11"/>
      <c r="W573" s="10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2.75" customHeight="1">
      <c r="A574" s="10"/>
      <c r="B574" s="11"/>
      <c r="C574" s="10"/>
      <c r="D574" s="11"/>
      <c r="E574" s="10"/>
      <c r="F574" s="1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0"/>
      <c r="V574" s="11"/>
      <c r="W574" s="10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2.75" customHeight="1">
      <c r="A575" s="10"/>
      <c r="B575" s="11"/>
      <c r="C575" s="10"/>
      <c r="D575" s="11"/>
      <c r="E575" s="10"/>
      <c r="F575" s="1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0"/>
      <c r="V575" s="11"/>
      <c r="W575" s="10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2.75" customHeight="1">
      <c r="A576" s="10"/>
      <c r="B576" s="11"/>
      <c r="C576" s="10"/>
      <c r="D576" s="11"/>
      <c r="E576" s="10"/>
      <c r="F576" s="1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0"/>
      <c r="V576" s="11"/>
      <c r="W576" s="10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2.75" customHeight="1">
      <c r="A577" s="10"/>
      <c r="B577" s="11"/>
      <c r="C577" s="10"/>
      <c r="D577" s="11"/>
      <c r="E577" s="10"/>
      <c r="F577" s="1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0"/>
      <c r="V577" s="11"/>
      <c r="W577" s="10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2.75" customHeight="1">
      <c r="A578" s="10"/>
      <c r="B578" s="11"/>
      <c r="C578" s="10"/>
      <c r="D578" s="11"/>
      <c r="E578" s="10"/>
      <c r="F578" s="1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0"/>
      <c r="V578" s="11"/>
      <c r="W578" s="10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2.75" customHeight="1">
      <c r="A579" s="10"/>
      <c r="B579" s="11"/>
      <c r="C579" s="10"/>
      <c r="D579" s="11"/>
      <c r="E579" s="10"/>
      <c r="F579" s="1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0"/>
      <c r="V579" s="11"/>
      <c r="W579" s="10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2.75" customHeight="1">
      <c r="A580" s="10"/>
      <c r="B580" s="11"/>
      <c r="C580" s="10"/>
      <c r="D580" s="11"/>
      <c r="E580" s="10"/>
      <c r="F580" s="1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0"/>
      <c r="V580" s="11"/>
      <c r="W580" s="10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2.75" customHeight="1">
      <c r="A581" s="10"/>
      <c r="B581" s="11"/>
      <c r="C581" s="10"/>
      <c r="D581" s="11"/>
      <c r="E581" s="10"/>
      <c r="F581" s="1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0"/>
      <c r="V581" s="11"/>
      <c r="W581" s="10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2.75" customHeight="1">
      <c r="A582" s="10"/>
      <c r="B582" s="11"/>
      <c r="C582" s="10"/>
      <c r="D582" s="11"/>
      <c r="E582" s="10"/>
      <c r="F582" s="1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0"/>
      <c r="V582" s="11"/>
      <c r="W582" s="10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2.75" customHeight="1">
      <c r="A583" s="10"/>
      <c r="B583" s="11"/>
      <c r="C583" s="10"/>
      <c r="D583" s="11"/>
      <c r="E583" s="10"/>
      <c r="F583" s="1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0"/>
      <c r="V583" s="11"/>
      <c r="W583" s="10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2.75" customHeight="1">
      <c r="A584" s="10"/>
      <c r="B584" s="11"/>
      <c r="C584" s="10"/>
      <c r="D584" s="11"/>
      <c r="E584" s="10"/>
      <c r="F584" s="1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0"/>
      <c r="V584" s="11"/>
      <c r="W584" s="10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2.75" customHeight="1">
      <c r="A585" s="10"/>
      <c r="B585" s="11"/>
      <c r="C585" s="10"/>
      <c r="D585" s="11"/>
      <c r="E585" s="10"/>
      <c r="F585" s="1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0"/>
      <c r="V585" s="11"/>
      <c r="W585" s="10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2.75" customHeight="1">
      <c r="A586" s="10"/>
      <c r="B586" s="11"/>
      <c r="C586" s="10"/>
      <c r="D586" s="11"/>
      <c r="E586" s="10"/>
      <c r="F586" s="1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0"/>
      <c r="V586" s="11"/>
      <c r="W586" s="10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2.75" customHeight="1">
      <c r="A587" s="10"/>
      <c r="B587" s="11"/>
      <c r="C587" s="10"/>
      <c r="D587" s="11"/>
      <c r="E587" s="10"/>
      <c r="F587" s="1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0"/>
      <c r="V587" s="11"/>
      <c r="W587" s="10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2.75" customHeight="1">
      <c r="A588" s="10"/>
      <c r="B588" s="11"/>
      <c r="C588" s="10"/>
      <c r="D588" s="11"/>
      <c r="E588" s="10"/>
      <c r="F588" s="1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0"/>
      <c r="V588" s="11"/>
      <c r="W588" s="10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2.75" customHeight="1">
      <c r="A589" s="10"/>
      <c r="B589" s="11"/>
      <c r="C589" s="10"/>
      <c r="D589" s="11"/>
      <c r="E589" s="10"/>
      <c r="F589" s="1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0"/>
      <c r="V589" s="11"/>
      <c r="W589" s="10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2.75" customHeight="1">
      <c r="A590" s="10"/>
      <c r="B590" s="11"/>
      <c r="C590" s="10"/>
      <c r="D590" s="11"/>
      <c r="E590" s="10"/>
      <c r="F590" s="1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0"/>
      <c r="V590" s="11"/>
      <c r="W590" s="10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2.75" customHeight="1">
      <c r="A591" s="10"/>
      <c r="B591" s="11"/>
      <c r="C591" s="10"/>
      <c r="D591" s="11"/>
      <c r="E591" s="10"/>
      <c r="F591" s="1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0"/>
      <c r="V591" s="11"/>
      <c r="W591" s="10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2.75" customHeight="1">
      <c r="A592" s="10"/>
      <c r="B592" s="11"/>
      <c r="C592" s="10"/>
      <c r="D592" s="11"/>
      <c r="E592" s="10"/>
      <c r="F592" s="1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0"/>
      <c r="V592" s="11"/>
      <c r="W592" s="10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2.75" customHeight="1">
      <c r="A593" s="10"/>
      <c r="B593" s="11"/>
      <c r="C593" s="10"/>
      <c r="D593" s="11"/>
      <c r="E593" s="10"/>
      <c r="F593" s="1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0"/>
      <c r="V593" s="11"/>
      <c r="W593" s="10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2.75" customHeight="1">
      <c r="A594" s="10"/>
      <c r="B594" s="11"/>
      <c r="C594" s="10"/>
      <c r="D594" s="11"/>
      <c r="E594" s="10"/>
      <c r="F594" s="1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0"/>
      <c r="V594" s="11"/>
      <c r="W594" s="10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2.75" customHeight="1">
      <c r="A595" s="10"/>
      <c r="B595" s="11"/>
      <c r="C595" s="10"/>
      <c r="D595" s="11"/>
      <c r="E595" s="10"/>
      <c r="F595" s="1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0"/>
      <c r="V595" s="11"/>
      <c r="W595" s="10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2.75" customHeight="1">
      <c r="A596" s="10"/>
      <c r="B596" s="11"/>
      <c r="C596" s="10"/>
      <c r="D596" s="11"/>
      <c r="E596" s="10"/>
      <c r="F596" s="1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0"/>
      <c r="V596" s="11"/>
      <c r="W596" s="10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2.75" customHeight="1">
      <c r="A597" s="10"/>
      <c r="B597" s="11"/>
      <c r="C597" s="10"/>
      <c r="D597" s="11"/>
      <c r="E597" s="10"/>
      <c r="F597" s="1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0"/>
      <c r="V597" s="11"/>
      <c r="W597" s="10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2.75" customHeight="1">
      <c r="A598" s="10"/>
      <c r="B598" s="11"/>
      <c r="C598" s="10"/>
      <c r="D598" s="11"/>
      <c r="E598" s="10"/>
      <c r="F598" s="1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0"/>
      <c r="V598" s="11"/>
      <c r="W598" s="10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2.75" customHeight="1">
      <c r="A599" s="10"/>
      <c r="B599" s="11"/>
      <c r="C599" s="10"/>
      <c r="D599" s="11"/>
      <c r="E599" s="10"/>
      <c r="F599" s="1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0"/>
      <c r="V599" s="11"/>
      <c r="W599" s="10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2.75" customHeight="1">
      <c r="A600" s="10"/>
      <c r="B600" s="11"/>
      <c r="C600" s="10"/>
      <c r="D600" s="11"/>
      <c r="E600" s="10"/>
      <c r="F600" s="1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0"/>
      <c r="V600" s="11"/>
      <c r="W600" s="10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2.75" customHeight="1">
      <c r="A601" s="10"/>
      <c r="B601" s="11"/>
      <c r="C601" s="10"/>
      <c r="D601" s="11"/>
      <c r="E601" s="10"/>
      <c r="F601" s="1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0"/>
      <c r="V601" s="11"/>
      <c r="W601" s="10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2.75" customHeight="1">
      <c r="A602" s="10"/>
      <c r="B602" s="11"/>
      <c r="C602" s="10"/>
      <c r="D602" s="11"/>
      <c r="E602" s="10"/>
      <c r="F602" s="1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0"/>
      <c r="V602" s="11"/>
      <c r="W602" s="10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2.75" customHeight="1">
      <c r="A603" s="10"/>
      <c r="B603" s="11"/>
      <c r="C603" s="10"/>
      <c r="D603" s="11"/>
      <c r="E603" s="10"/>
      <c r="F603" s="1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0"/>
      <c r="V603" s="11"/>
      <c r="W603" s="10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2.75" customHeight="1">
      <c r="A604" s="10"/>
      <c r="B604" s="11"/>
      <c r="C604" s="10"/>
      <c r="D604" s="11"/>
      <c r="E604" s="10"/>
      <c r="F604" s="1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0"/>
      <c r="V604" s="11"/>
      <c r="W604" s="10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2.75" customHeight="1">
      <c r="A605" s="10"/>
      <c r="B605" s="11"/>
      <c r="C605" s="10"/>
      <c r="D605" s="11"/>
      <c r="E605" s="10"/>
      <c r="F605" s="1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0"/>
      <c r="V605" s="11"/>
      <c r="W605" s="10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2.75" customHeight="1">
      <c r="A606" s="10"/>
      <c r="B606" s="11"/>
      <c r="C606" s="10"/>
      <c r="D606" s="11"/>
      <c r="E606" s="10"/>
      <c r="F606" s="1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0"/>
      <c r="V606" s="11"/>
      <c r="W606" s="10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2.75" customHeight="1">
      <c r="A607" s="10"/>
      <c r="B607" s="11"/>
      <c r="C607" s="10"/>
      <c r="D607" s="11"/>
      <c r="E607" s="10"/>
      <c r="F607" s="1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0"/>
      <c r="V607" s="11"/>
      <c r="W607" s="10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2.75" customHeight="1">
      <c r="A608" s="10"/>
      <c r="B608" s="11"/>
      <c r="C608" s="10"/>
      <c r="D608" s="11"/>
      <c r="E608" s="10"/>
      <c r="F608" s="1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0"/>
      <c r="V608" s="11"/>
      <c r="W608" s="10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2.75" customHeight="1">
      <c r="A609" s="10"/>
      <c r="B609" s="11"/>
      <c r="C609" s="10"/>
      <c r="D609" s="11"/>
      <c r="E609" s="10"/>
      <c r="F609" s="1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0"/>
      <c r="V609" s="11"/>
      <c r="W609" s="10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2.75" customHeight="1">
      <c r="A610" s="10"/>
      <c r="B610" s="11"/>
      <c r="C610" s="10"/>
      <c r="D610" s="11"/>
      <c r="E610" s="10"/>
      <c r="F610" s="1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0"/>
      <c r="V610" s="11"/>
      <c r="W610" s="10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2.75" customHeight="1">
      <c r="A611" s="10"/>
      <c r="B611" s="11"/>
      <c r="C611" s="10"/>
      <c r="D611" s="11"/>
      <c r="E611" s="10"/>
      <c r="F611" s="1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0"/>
      <c r="V611" s="11"/>
      <c r="W611" s="10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2.75" customHeight="1">
      <c r="A612" s="10"/>
      <c r="B612" s="11"/>
      <c r="C612" s="10"/>
      <c r="D612" s="11"/>
      <c r="E612" s="10"/>
      <c r="F612" s="1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0"/>
      <c r="V612" s="11"/>
      <c r="W612" s="10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2.75" customHeight="1">
      <c r="A613" s="10"/>
      <c r="B613" s="11"/>
      <c r="C613" s="10"/>
      <c r="D613" s="11"/>
      <c r="E613" s="10"/>
      <c r="F613" s="1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0"/>
      <c r="V613" s="11"/>
      <c r="W613" s="10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2.75" customHeight="1">
      <c r="A614" s="10"/>
      <c r="B614" s="11"/>
      <c r="C614" s="10"/>
      <c r="D614" s="11"/>
      <c r="E614" s="10"/>
      <c r="F614" s="1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0"/>
      <c r="V614" s="11"/>
      <c r="W614" s="10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2.75" customHeight="1">
      <c r="A615" s="10"/>
      <c r="B615" s="11"/>
      <c r="C615" s="10"/>
      <c r="D615" s="11"/>
      <c r="E615" s="10"/>
      <c r="F615" s="1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0"/>
      <c r="V615" s="11"/>
      <c r="W615" s="10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2.75" customHeight="1">
      <c r="A616" s="10"/>
      <c r="B616" s="11"/>
      <c r="C616" s="10"/>
      <c r="D616" s="11"/>
      <c r="E616" s="10"/>
      <c r="F616" s="1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0"/>
      <c r="V616" s="11"/>
      <c r="W616" s="10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2.75" customHeight="1">
      <c r="A617" s="10"/>
      <c r="B617" s="11"/>
      <c r="C617" s="10"/>
      <c r="D617" s="11"/>
      <c r="E617" s="10"/>
      <c r="F617" s="1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0"/>
      <c r="V617" s="11"/>
      <c r="W617" s="10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2.75" customHeight="1">
      <c r="A618" s="10"/>
      <c r="B618" s="11"/>
      <c r="C618" s="10"/>
      <c r="D618" s="11"/>
      <c r="E618" s="10"/>
      <c r="F618" s="1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0"/>
      <c r="V618" s="11"/>
      <c r="W618" s="10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2.75" customHeight="1">
      <c r="A619" s="10"/>
      <c r="B619" s="11"/>
      <c r="C619" s="10"/>
      <c r="D619" s="11"/>
      <c r="E619" s="10"/>
      <c r="F619" s="1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0"/>
      <c r="V619" s="11"/>
      <c r="W619" s="10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2.75" customHeight="1">
      <c r="A620" s="10"/>
      <c r="B620" s="11"/>
      <c r="C620" s="10"/>
      <c r="D620" s="11"/>
      <c r="E620" s="10"/>
      <c r="F620" s="1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0"/>
      <c r="V620" s="11"/>
      <c r="W620" s="10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2.75" customHeight="1">
      <c r="A621" s="10"/>
      <c r="B621" s="11"/>
      <c r="C621" s="10"/>
      <c r="D621" s="11"/>
      <c r="E621" s="10"/>
      <c r="F621" s="1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0"/>
      <c r="V621" s="11"/>
      <c r="W621" s="10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2.75" customHeight="1">
      <c r="A622" s="10"/>
      <c r="B622" s="11"/>
      <c r="C622" s="10"/>
      <c r="D622" s="11"/>
      <c r="E622" s="10"/>
      <c r="F622" s="1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0"/>
      <c r="V622" s="11"/>
      <c r="W622" s="10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2.75" customHeight="1">
      <c r="A623" s="10"/>
      <c r="B623" s="11"/>
      <c r="C623" s="10"/>
      <c r="D623" s="11"/>
      <c r="E623" s="10"/>
      <c r="F623" s="1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0"/>
      <c r="V623" s="11"/>
      <c r="W623" s="10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2.75" customHeight="1">
      <c r="A624" s="10"/>
      <c r="B624" s="11"/>
      <c r="C624" s="10"/>
      <c r="D624" s="11"/>
      <c r="E624" s="10"/>
      <c r="F624" s="1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0"/>
      <c r="V624" s="11"/>
      <c r="W624" s="10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2.75" customHeight="1">
      <c r="A625" s="10"/>
      <c r="B625" s="11"/>
      <c r="C625" s="10"/>
      <c r="D625" s="11"/>
      <c r="E625" s="10"/>
      <c r="F625" s="1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0"/>
      <c r="V625" s="11"/>
      <c r="W625" s="10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2.75" customHeight="1">
      <c r="A626" s="10"/>
      <c r="B626" s="11"/>
      <c r="C626" s="10"/>
      <c r="D626" s="11"/>
      <c r="E626" s="10"/>
      <c r="F626" s="1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0"/>
      <c r="V626" s="11"/>
      <c r="W626" s="10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2.75" customHeight="1">
      <c r="A627" s="10"/>
      <c r="B627" s="11"/>
      <c r="C627" s="10"/>
      <c r="D627" s="11"/>
      <c r="E627" s="10"/>
      <c r="F627" s="1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0"/>
      <c r="V627" s="11"/>
      <c r="W627" s="10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2.75" customHeight="1">
      <c r="A628" s="10"/>
      <c r="B628" s="11"/>
      <c r="C628" s="10"/>
      <c r="D628" s="11"/>
      <c r="E628" s="10"/>
      <c r="F628" s="1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0"/>
      <c r="V628" s="11"/>
      <c r="W628" s="10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2.75" customHeight="1">
      <c r="A629" s="10"/>
      <c r="B629" s="11"/>
      <c r="C629" s="10"/>
      <c r="D629" s="11"/>
      <c r="E629" s="10"/>
      <c r="F629" s="1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0"/>
      <c r="V629" s="11"/>
      <c r="W629" s="10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2.75" customHeight="1">
      <c r="A630" s="10"/>
      <c r="B630" s="11"/>
      <c r="C630" s="10"/>
      <c r="D630" s="11"/>
      <c r="E630" s="10"/>
      <c r="F630" s="1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0"/>
      <c r="V630" s="11"/>
      <c r="W630" s="10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2.75" customHeight="1">
      <c r="A631" s="10"/>
      <c r="B631" s="11"/>
      <c r="C631" s="10"/>
      <c r="D631" s="11"/>
      <c r="E631" s="10"/>
      <c r="F631" s="1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0"/>
      <c r="V631" s="11"/>
      <c r="W631" s="10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2.75" customHeight="1">
      <c r="A632" s="10"/>
      <c r="B632" s="11"/>
      <c r="C632" s="10"/>
      <c r="D632" s="11"/>
      <c r="E632" s="10"/>
      <c r="F632" s="1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0"/>
      <c r="V632" s="11"/>
      <c r="W632" s="10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2.75" customHeight="1">
      <c r="A633" s="10"/>
      <c r="B633" s="11"/>
      <c r="C633" s="10"/>
      <c r="D633" s="11"/>
      <c r="E633" s="10"/>
      <c r="F633" s="1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0"/>
      <c r="V633" s="11"/>
      <c r="W633" s="10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2.75" customHeight="1">
      <c r="A634" s="10"/>
      <c r="B634" s="11"/>
      <c r="C634" s="10"/>
      <c r="D634" s="11"/>
      <c r="E634" s="10"/>
      <c r="F634" s="1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0"/>
      <c r="V634" s="11"/>
      <c r="W634" s="10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2.75" customHeight="1">
      <c r="A635" s="10"/>
      <c r="B635" s="11"/>
      <c r="C635" s="10"/>
      <c r="D635" s="11"/>
      <c r="E635" s="10"/>
      <c r="F635" s="1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0"/>
      <c r="V635" s="11"/>
      <c r="W635" s="10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2.75" customHeight="1">
      <c r="A636" s="10"/>
      <c r="B636" s="11"/>
      <c r="C636" s="10"/>
      <c r="D636" s="11"/>
      <c r="E636" s="10"/>
      <c r="F636" s="1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0"/>
      <c r="V636" s="11"/>
      <c r="W636" s="10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2.75" customHeight="1">
      <c r="A637" s="10"/>
      <c r="B637" s="11"/>
      <c r="C637" s="10"/>
      <c r="D637" s="11"/>
      <c r="E637" s="10"/>
      <c r="F637" s="1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0"/>
      <c r="V637" s="11"/>
      <c r="W637" s="10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2.75" customHeight="1">
      <c r="A638" s="10"/>
      <c r="B638" s="11"/>
      <c r="C638" s="10"/>
      <c r="D638" s="11"/>
      <c r="E638" s="10"/>
      <c r="F638" s="1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0"/>
      <c r="V638" s="11"/>
      <c r="W638" s="10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2.75" customHeight="1">
      <c r="A639" s="10"/>
      <c r="B639" s="11"/>
      <c r="C639" s="10"/>
      <c r="D639" s="11"/>
      <c r="E639" s="10"/>
      <c r="F639" s="1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0"/>
      <c r="V639" s="11"/>
      <c r="W639" s="10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2.75" customHeight="1">
      <c r="A640" s="10"/>
      <c r="B640" s="11"/>
      <c r="C640" s="10"/>
      <c r="D640" s="11"/>
      <c r="E640" s="10"/>
      <c r="F640" s="1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0"/>
      <c r="V640" s="11"/>
      <c r="W640" s="10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2.75" customHeight="1">
      <c r="A641" s="10"/>
      <c r="B641" s="11"/>
      <c r="C641" s="10"/>
      <c r="D641" s="11"/>
      <c r="E641" s="10"/>
      <c r="F641" s="1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0"/>
      <c r="V641" s="11"/>
      <c r="W641" s="10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2.75" customHeight="1">
      <c r="A642" s="10"/>
      <c r="B642" s="11"/>
      <c r="C642" s="10"/>
      <c r="D642" s="11"/>
      <c r="E642" s="10"/>
      <c r="F642" s="1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0"/>
      <c r="V642" s="11"/>
      <c r="W642" s="10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2.75" customHeight="1">
      <c r="A643" s="10"/>
      <c r="B643" s="11"/>
      <c r="C643" s="10"/>
      <c r="D643" s="11"/>
      <c r="E643" s="10"/>
      <c r="F643" s="1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0"/>
      <c r="V643" s="11"/>
      <c r="W643" s="10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2.75" customHeight="1">
      <c r="A644" s="10"/>
      <c r="B644" s="11"/>
      <c r="C644" s="10"/>
      <c r="D644" s="11"/>
      <c r="E644" s="10"/>
      <c r="F644" s="1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0"/>
      <c r="V644" s="11"/>
      <c r="W644" s="10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2.75" customHeight="1">
      <c r="A645" s="10"/>
      <c r="B645" s="11"/>
      <c r="C645" s="10"/>
      <c r="D645" s="11"/>
      <c r="E645" s="10"/>
      <c r="F645" s="1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0"/>
      <c r="V645" s="11"/>
      <c r="W645" s="10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2.75" customHeight="1">
      <c r="A646" s="10"/>
      <c r="B646" s="11"/>
      <c r="C646" s="10"/>
      <c r="D646" s="11"/>
      <c r="E646" s="10"/>
      <c r="F646" s="1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0"/>
      <c r="V646" s="11"/>
      <c r="W646" s="10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2.75" customHeight="1">
      <c r="A647" s="10"/>
      <c r="B647" s="11"/>
      <c r="C647" s="10"/>
      <c r="D647" s="11"/>
      <c r="E647" s="10"/>
      <c r="F647" s="1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0"/>
      <c r="V647" s="11"/>
      <c r="W647" s="10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2.75" customHeight="1">
      <c r="A648" s="10"/>
      <c r="B648" s="11"/>
      <c r="C648" s="10"/>
      <c r="D648" s="11"/>
      <c r="E648" s="10"/>
      <c r="F648" s="1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0"/>
      <c r="V648" s="11"/>
      <c r="W648" s="10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2.75" customHeight="1">
      <c r="A649" s="10"/>
      <c r="B649" s="11"/>
      <c r="C649" s="10"/>
      <c r="D649" s="11"/>
      <c r="E649" s="10"/>
      <c r="F649" s="1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0"/>
      <c r="V649" s="11"/>
      <c r="W649" s="10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2.75" customHeight="1">
      <c r="A650" s="10"/>
      <c r="B650" s="11"/>
      <c r="C650" s="10"/>
      <c r="D650" s="11"/>
      <c r="E650" s="10"/>
      <c r="F650" s="1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0"/>
      <c r="V650" s="11"/>
      <c r="W650" s="10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2.75" customHeight="1">
      <c r="A651" s="10"/>
      <c r="B651" s="11"/>
      <c r="C651" s="10"/>
      <c r="D651" s="11"/>
      <c r="E651" s="10"/>
      <c r="F651" s="1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0"/>
      <c r="V651" s="11"/>
      <c r="W651" s="10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2.75" customHeight="1">
      <c r="A652" s="10"/>
      <c r="B652" s="11"/>
      <c r="C652" s="10"/>
      <c r="D652" s="11"/>
      <c r="E652" s="10"/>
      <c r="F652" s="1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0"/>
      <c r="V652" s="11"/>
      <c r="W652" s="10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2.75" customHeight="1">
      <c r="A653" s="10"/>
      <c r="B653" s="11"/>
      <c r="C653" s="10"/>
      <c r="D653" s="11"/>
      <c r="E653" s="10"/>
      <c r="F653" s="1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0"/>
      <c r="V653" s="11"/>
      <c r="W653" s="10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2.75" customHeight="1">
      <c r="A654" s="10"/>
      <c r="B654" s="11"/>
      <c r="C654" s="10"/>
      <c r="D654" s="11"/>
      <c r="E654" s="10"/>
      <c r="F654" s="1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0"/>
      <c r="V654" s="11"/>
      <c r="W654" s="10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2.75" customHeight="1">
      <c r="A655" s="10"/>
      <c r="B655" s="11"/>
      <c r="C655" s="10"/>
      <c r="D655" s="11"/>
      <c r="E655" s="10"/>
      <c r="F655" s="1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0"/>
      <c r="V655" s="11"/>
      <c r="W655" s="10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2.75" customHeight="1">
      <c r="A656" s="10"/>
      <c r="B656" s="11"/>
      <c r="C656" s="10"/>
      <c r="D656" s="11"/>
      <c r="E656" s="10"/>
      <c r="F656" s="1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0"/>
      <c r="V656" s="11"/>
      <c r="W656" s="10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2.75" customHeight="1">
      <c r="A657" s="10"/>
      <c r="B657" s="11"/>
      <c r="C657" s="10"/>
      <c r="D657" s="11"/>
      <c r="E657" s="10"/>
      <c r="F657" s="1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0"/>
      <c r="V657" s="11"/>
      <c r="W657" s="10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2.75" customHeight="1">
      <c r="A658" s="10"/>
      <c r="B658" s="11"/>
      <c r="C658" s="10"/>
      <c r="D658" s="11"/>
      <c r="E658" s="10"/>
      <c r="F658" s="1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0"/>
      <c r="V658" s="11"/>
      <c r="W658" s="10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2.75" customHeight="1">
      <c r="A659" s="10"/>
      <c r="B659" s="11"/>
      <c r="C659" s="10"/>
      <c r="D659" s="11"/>
      <c r="E659" s="10"/>
      <c r="F659" s="1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0"/>
      <c r="V659" s="11"/>
      <c r="W659" s="10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2.75" customHeight="1">
      <c r="A660" s="10"/>
      <c r="B660" s="11"/>
      <c r="C660" s="10"/>
      <c r="D660" s="11"/>
      <c r="E660" s="10"/>
      <c r="F660" s="1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0"/>
      <c r="V660" s="11"/>
      <c r="W660" s="10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2.75" customHeight="1">
      <c r="A661" s="10"/>
      <c r="B661" s="11"/>
      <c r="C661" s="10"/>
      <c r="D661" s="11"/>
      <c r="E661" s="10"/>
      <c r="F661" s="1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0"/>
      <c r="V661" s="11"/>
      <c r="W661" s="10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2.75" customHeight="1">
      <c r="A662" s="10"/>
      <c r="B662" s="11"/>
      <c r="C662" s="10"/>
      <c r="D662" s="11"/>
      <c r="E662" s="10"/>
      <c r="F662" s="1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0"/>
      <c r="V662" s="11"/>
      <c r="W662" s="10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2.75" customHeight="1">
      <c r="A663" s="10"/>
      <c r="B663" s="11"/>
      <c r="C663" s="10"/>
      <c r="D663" s="11"/>
      <c r="E663" s="10"/>
      <c r="F663" s="1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0"/>
      <c r="V663" s="11"/>
      <c r="W663" s="10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2.75" customHeight="1">
      <c r="A664" s="10"/>
      <c r="B664" s="11"/>
      <c r="C664" s="10"/>
      <c r="D664" s="11"/>
      <c r="E664" s="10"/>
      <c r="F664" s="1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0"/>
      <c r="V664" s="11"/>
      <c r="W664" s="10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2.75" customHeight="1">
      <c r="A665" s="10"/>
      <c r="B665" s="11"/>
      <c r="C665" s="10"/>
      <c r="D665" s="11"/>
      <c r="E665" s="10"/>
      <c r="F665" s="1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0"/>
      <c r="V665" s="11"/>
      <c r="W665" s="10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2.75" customHeight="1">
      <c r="A666" s="10"/>
      <c r="B666" s="11"/>
      <c r="C666" s="10"/>
      <c r="D666" s="11"/>
      <c r="E666" s="10"/>
      <c r="F666" s="1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0"/>
      <c r="V666" s="11"/>
      <c r="W666" s="10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2.75" customHeight="1">
      <c r="A667" s="10"/>
      <c r="B667" s="11"/>
      <c r="C667" s="10"/>
      <c r="D667" s="11"/>
      <c r="E667" s="10"/>
      <c r="F667" s="1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0"/>
      <c r="V667" s="11"/>
      <c r="W667" s="10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2.75" customHeight="1">
      <c r="A668" s="10"/>
      <c r="B668" s="11"/>
      <c r="C668" s="10"/>
      <c r="D668" s="11"/>
      <c r="E668" s="10"/>
      <c r="F668" s="1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0"/>
      <c r="V668" s="11"/>
      <c r="W668" s="10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2.75" customHeight="1">
      <c r="A669" s="10"/>
      <c r="B669" s="11"/>
      <c r="C669" s="10"/>
      <c r="D669" s="11"/>
      <c r="E669" s="10"/>
      <c r="F669" s="1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0"/>
      <c r="V669" s="11"/>
      <c r="W669" s="10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2.75" customHeight="1">
      <c r="A670" s="10"/>
      <c r="B670" s="11"/>
      <c r="C670" s="10"/>
      <c r="D670" s="11"/>
      <c r="E670" s="10"/>
      <c r="F670" s="1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0"/>
      <c r="V670" s="11"/>
      <c r="W670" s="10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2.75" customHeight="1">
      <c r="A671" s="10"/>
      <c r="B671" s="11"/>
      <c r="C671" s="10"/>
      <c r="D671" s="11"/>
      <c r="E671" s="10"/>
      <c r="F671" s="1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0"/>
      <c r="V671" s="11"/>
      <c r="W671" s="10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2.75" customHeight="1">
      <c r="A672" s="10"/>
      <c r="B672" s="11"/>
      <c r="C672" s="10"/>
      <c r="D672" s="11"/>
      <c r="E672" s="10"/>
      <c r="F672" s="1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0"/>
      <c r="V672" s="11"/>
      <c r="W672" s="10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2.75" customHeight="1">
      <c r="A673" s="10"/>
      <c r="B673" s="11"/>
      <c r="C673" s="10"/>
      <c r="D673" s="11"/>
      <c r="E673" s="10"/>
      <c r="F673" s="1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0"/>
      <c r="V673" s="11"/>
      <c r="W673" s="10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2.75" customHeight="1">
      <c r="A674" s="10"/>
      <c r="B674" s="11"/>
      <c r="C674" s="10"/>
      <c r="D674" s="11"/>
      <c r="E674" s="10"/>
      <c r="F674" s="1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0"/>
      <c r="V674" s="11"/>
      <c r="W674" s="10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2.75" customHeight="1">
      <c r="A675" s="10"/>
      <c r="B675" s="11"/>
      <c r="C675" s="10"/>
      <c r="D675" s="11"/>
      <c r="E675" s="10"/>
      <c r="F675" s="1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0"/>
      <c r="V675" s="11"/>
      <c r="W675" s="10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2.75" customHeight="1">
      <c r="A676" s="10"/>
      <c r="B676" s="11"/>
      <c r="C676" s="10"/>
      <c r="D676" s="11"/>
      <c r="E676" s="10"/>
      <c r="F676" s="1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0"/>
      <c r="V676" s="11"/>
      <c r="W676" s="10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2.75" customHeight="1">
      <c r="A677" s="10"/>
      <c r="B677" s="11"/>
      <c r="C677" s="10"/>
      <c r="D677" s="11"/>
      <c r="E677" s="10"/>
      <c r="F677" s="1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0"/>
      <c r="V677" s="11"/>
      <c r="W677" s="10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2.75" customHeight="1">
      <c r="A678" s="10"/>
      <c r="B678" s="11"/>
      <c r="C678" s="10"/>
      <c r="D678" s="11"/>
      <c r="E678" s="10"/>
      <c r="F678" s="1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0"/>
      <c r="V678" s="11"/>
      <c r="W678" s="10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2.75" customHeight="1">
      <c r="A679" s="10"/>
      <c r="B679" s="11"/>
      <c r="C679" s="10"/>
      <c r="D679" s="11"/>
      <c r="E679" s="10"/>
      <c r="F679" s="1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0"/>
      <c r="V679" s="11"/>
      <c r="W679" s="10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2.75" customHeight="1">
      <c r="A680" s="10"/>
      <c r="B680" s="11"/>
      <c r="C680" s="10"/>
      <c r="D680" s="11"/>
      <c r="E680" s="10"/>
      <c r="F680" s="1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0"/>
      <c r="V680" s="11"/>
      <c r="W680" s="10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2.75" customHeight="1">
      <c r="A681" s="10"/>
      <c r="B681" s="11"/>
      <c r="C681" s="10"/>
      <c r="D681" s="11"/>
      <c r="E681" s="10"/>
      <c r="F681" s="1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0"/>
      <c r="V681" s="11"/>
      <c r="W681" s="10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2.75" customHeight="1">
      <c r="A682" s="10"/>
      <c r="B682" s="11"/>
      <c r="C682" s="10"/>
      <c r="D682" s="11"/>
      <c r="E682" s="10"/>
      <c r="F682" s="1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0"/>
      <c r="V682" s="11"/>
      <c r="W682" s="10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2.75" customHeight="1">
      <c r="A683" s="10"/>
      <c r="B683" s="11"/>
      <c r="C683" s="10"/>
      <c r="D683" s="11"/>
      <c r="E683" s="10"/>
      <c r="F683" s="1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0"/>
      <c r="V683" s="11"/>
      <c r="W683" s="10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2.75" customHeight="1">
      <c r="A684" s="10"/>
      <c r="B684" s="11"/>
      <c r="C684" s="10"/>
      <c r="D684" s="11"/>
      <c r="E684" s="10"/>
      <c r="F684" s="1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0"/>
      <c r="V684" s="11"/>
      <c r="W684" s="10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2.75" customHeight="1">
      <c r="A685" s="10"/>
      <c r="B685" s="11"/>
      <c r="C685" s="10"/>
      <c r="D685" s="11"/>
      <c r="E685" s="10"/>
      <c r="F685" s="1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0"/>
      <c r="V685" s="11"/>
      <c r="W685" s="10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2.75" customHeight="1">
      <c r="A686" s="10"/>
      <c r="B686" s="11"/>
      <c r="C686" s="10"/>
      <c r="D686" s="11"/>
      <c r="E686" s="10"/>
      <c r="F686" s="1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0"/>
      <c r="V686" s="11"/>
      <c r="W686" s="10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2.75" customHeight="1">
      <c r="A687" s="10"/>
      <c r="B687" s="11"/>
      <c r="C687" s="10"/>
      <c r="D687" s="11"/>
      <c r="E687" s="10"/>
      <c r="F687" s="1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0"/>
      <c r="V687" s="11"/>
      <c r="W687" s="10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2.75" customHeight="1">
      <c r="A688" s="10"/>
      <c r="B688" s="11"/>
      <c r="C688" s="10"/>
      <c r="D688" s="11"/>
      <c r="E688" s="10"/>
      <c r="F688" s="1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0"/>
      <c r="V688" s="11"/>
      <c r="W688" s="10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2.75" customHeight="1">
      <c r="A689" s="10"/>
      <c r="B689" s="11"/>
      <c r="C689" s="10"/>
      <c r="D689" s="11"/>
      <c r="E689" s="10"/>
      <c r="F689" s="1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0"/>
      <c r="V689" s="11"/>
      <c r="W689" s="10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2.75" customHeight="1">
      <c r="A690" s="10"/>
      <c r="B690" s="11"/>
      <c r="C690" s="10"/>
      <c r="D690" s="11"/>
      <c r="E690" s="10"/>
      <c r="F690" s="1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0"/>
      <c r="V690" s="11"/>
      <c r="W690" s="10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2.75" customHeight="1">
      <c r="A691" s="10"/>
      <c r="B691" s="11"/>
      <c r="C691" s="10"/>
      <c r="D691" s="11"/>
      <c r="E691" s="10"/>
      <c r="F691" s="1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0"/>
      <c r="V691" s="11"/>
      <c r="W691" s="10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2.75" customHeight="1">
      <c r="A692" s="10"/>
      <c r="B692" s="11"/>
      <c r="C692" s="10"/>
      <c r="D692" s="11"/>
      <c r="E692" s="10"/>
      <c r="F692" s="1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0"/>
      <c r="V692" s="11"/>
      <c r="W692" s="10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2.75" customHeight="1">
      <c r="A693" s="10"/>
      <c r="B693" s="11"/>
      <c r="C693" s="10"/>
      <c r="D693" s="11"/>
      <c r="E693" s="10"/>
      <c r="F693" s="1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0"/>
      <c r="V693" s="11"/>
      <c r="W693" s="10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2.75" customHeight="1">
      <c r="A694" s="10"/>
      <c r="B694" s="11"/>
      <c r="C694" s="10"/>
      <c r="D694" s="11"/>
      <c r="E694" s="10"/>
      <c r="F694" s="1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0"/>
      <c r="V694" s="11"/>
      <c r="W694" s="10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2.75" customHeight="1">
      <c r="A695" s="10"/>
      <c r="B695" s="11"/>
      <c r="C695" s="10"/>
      <c r="D695" s="11"/>
      <c r="E695" s="10"/>
      <c r="F695" s="1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0"/>
      <c r="V695" s="11"/>
      <c r="W695" s="10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2.75" customHeight="1">
      <c r="A696" s="10"/>
      <c r="B696" s="11"/>
      <c r="C696" s="10"/>
      <c r="D696" s="11"/>
      <c r="E696" s="10"/>
      <c r="F696" s="1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0"/>
      <c r="V696" s="11"/>
      <c r="W696" s="10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2.75" customHeight="1">
      <c r="A697" s="10"/>
      <c r="B697" s="11"/>
      <c r="C697" s="10"/>
      <c r="D697" s="11"/>
      <c r="E697" s="10"/>
      <c r="F697" s="1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0"/>
      <c r="V697" s="11"/>
      <c r="W697" s="10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2.75" customHeight="1">
      <c r="A698" s="10"/>
      <c r="B698" s="11"/>
      <c r="C698" s="10"/>
      <c r="D698" s="11"/>
      <c r="E698" s="10"/>
      <c r="F698" s="1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0"/>
      <c r="V698" s="11"/>
      <c r="W698" s="10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2.75" customHeight="1">
      <c r="A699" s="10"/>
      <c r="B699" s="11"/>
      <c r="C699" s="10"/>
      <c r="D699" s="11"/>
      <c r="E699" s="10"/>
      <c r="F699" s="1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0"/>
      <c r="V699" s="11"/>
      <c r="W699" s="10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2.75" customHeight="1">
      <c r="A700" s="10"/>
      <c r="B700" s="11"/>
      <c r="C700" s="10"/>
      <c r="D700" s="11"/>
      <c r="E700" s="10"/>
      <c r="F700" s="1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0"/>
      <c r="V700" s="11"/>
      <c r="W700" s="10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2.75" customHeight="1">
      <c r="A701" s="10"/>
      <c r="B701" s="11"/>
      <c r="C701" s="10"/>
      <c r="D701" s="11"/>
      <c r="E701" s="10"/>
      <c r="F701" s="1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0"/>
      <c r="V701" s="11"/>
      <c r="W701" s="10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2.75" customHeight="1">
      <c r="A702" s="10"/>
      <c r="B702" s="11"/>
      <c r="C702" s="10"/>
      <c r="D702" s="11"/>
      <c r="E702" s="10"/>
      <c r="F702" s="1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0"/>
      <c r="V702" s="11"/>
      <c r="W702" s="10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2.75" customHeight="1">
      <c r="A703" s="10"/>
      <c r="B703" s="11"/>
      <c r="C703" s="10"/>
      <c r="D703" s="11"/>
      <c r="E703" s="10"/>
      <c r="F703" s="1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0"/>
      <c r="V703" s="11"/>
      <c r="W703" s="10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2.75" customHeight="1">
      <c r="A704" s="10"/>
      <c r="B704" s="11"/>
      <c r="C704" s="10"/>
      <c r="D704" s="11"/>
      <c r="E704" s="10"/>
      <c r="F704" s="1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0"/>
      <c r="V704" s="11"/>
      <c r="W704" s="10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2.75" customHeight="1">
      <c r="A705" s="10"/>
      <c r="B705" s="11"/>
      <c r="C705" s="10"/>
      <c r="D705" s="11"/>
      <c r="E705" s="10"/>
      <c r="F705" s="1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0"/>
      <c r="V705" s="11"/>
      <c r="W705" s="10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2.75" customHeight="1">
      <c r="A706" s="10"/>
      <c r="B706" s="11"/>
      <c r="C706" s="10"/>
      <c r="D706" s="11"/>
      <c r="E706" s="10"/>
      <c r="F706" s="1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0"/>
      <c r="V706" s="11"/>
      <c r="W706" s="10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2.75" customHeight="1">
      <c r="A707" s="10"/>
      <c r="B707" s="11"/>
      <c r="C707" s="10"/>
      <c r="D707" s="11"/>
      <c r="E707" s="10"/>
      <c r="F707" s="1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0"/>
      <c r="V707" s="11"/>
      <c r="W707" s="10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2.75" customHeight="1">
      <c r="A708" s="10"/>
      <c r="B708" s="11"/>
      <c r="C708" s="10"/>
      <c r="D708" s="11"/>
      <c r="E708" s="10"/>
      <c r="F708" s="1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0"/>
      <c r="V708" s="11"/>
      <c r="W708" s="10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2.75" customHeight="1">
      <c r="A709" s="10"/>
      <c r="B709" s="11"/>
      <c r="C709" s="10"/>
      <c r="D709" s="11"/>
      <c r="E709" s="10"/>
      <c r="F709" s="1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0"/>
      <c r="V709" s="11"/>
      <c r="W709" s="10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2.75" customHeight="1">
      <c r="A710" s="10"/>
      <c r="B710" s="11"/>
      <c r="C710" s="10"/>
      <c r="D710" s="11"/>
      <c r="E710" s="10"/>
      <c r="F710" s="1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0"/>
      <c r="V710" s="11"/>
      <c r="W710" s="10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2.75" customHeight="1">
      <c r="A711" s="10"/>
      <c r="B711" s="11"/>
      <c r="C711" s="10"/>
      <c r="D711" s="11"/>
      <c r="E711" s="10"/>
      <c r="F711" s="1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0"/>
      <c r="V711" s="11"/>
      <c r="W711" s="10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2.75" customHeight="1">
      <c r="A712" s="10"/>
      <c r="B712" s="11"/>
      <c r="C712" s="10"/>
      <c r="D712" s="11"/>
      <c r="E712" s="10"/>
      <c r="F712" s="1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0"/>
      <c r="V712" s="11"/>
      <c r="W712" s="10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2.75" customHeight="1">
      <c r="A713" s="10"/>
      <c r="B713" s="11"/>
      <c r="C713" s="10"/>
      <c r="D713" s="11"/>
      <c r="E713" s="10"/>
      <c r="F713" s="1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0"/>
      <c r="V713" s="11"/>
      <c r="W713" s="10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2.75" customHeight="1">
      <c r="A714" s="10"/>
      <c r="B714" s="11"/>
      <c r="C714" s="10"/>
      <c r="D714" s="11"/>
      <c r="E714" s="10"/>
      <c r="F714" s="1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0"/>
      <c r="V714" s="11"/>
      <c r="W714" s="10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2.75" customHeight="1">
      <c r="A715" s="10"/>
      <c r="B715" s="11"/>
      <c r="C715" s="10"/>
      <c r="D715" s="11"/>
      <c r="E715" s="10"/>
      <c r="F715" s="1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0"/>
      <c r="V715" s="11"/>
      <c r="W715" s="10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2.75" customHeight="1">
      <c r="A716" s="10"/>
      <c r="B716" s="11"/>
      <c r="C716" s="10"/>
      <c r="D716" s="11"/>
      <c r="E716" s="10"/>
      <c r="F716" s="1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0"/>
      <c r="V716" s="11"/>
      <c r="W716" s="10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2.75" customHeight="1">
      <c r="A717" s="10"/>
      <c r="B717" s="11"/>
      <c r="C717" s="10"/>
      <c r="D717" s="11"/>
      <c r="E717" s="10"/>
      <c r="F717" s="1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0"/>
      <c r="V717" s="11"/>
      <c r="W717" s="10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2.75" customHeight="1">
      <c r="A718" s="10"/>
      <c r="B718" s="11"/>
      <c r="C718" s="10"/>
      <c r="D718" s="11"/>
      <c r="E718" s="10"/>
      <c r="F718" s="1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0"/>
      <c r="V718" s="11"/>
      <c r="W718" s="10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2.75" customHeight="1">
      <c r="A719" s="10"/>
      <c r="B719" s="11"/>
      <c r="C719" s="10"/>
      <c r="D719" s="11"/>
      <c r="E719" s="10"/>
      <c r="F719" s="1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0"/>
      <c r="V719" s="11"/>
      <c r="W719" s="10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2.75" customHeight="1">
      <c r="A720" s="10"/>
      <c r="B720" s="11"/>
      <c r="C720" s="10"/>
      <c r="D720" s="11"/>
      <c r="E720" s="10"/>
      <c r="F720" s="1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0"/>
      <c r="V720" s="11"/>
      <c r="W720" s="10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2.75" customHeight="1">
      <c r="A721" s="10"/>
      <c r="B721" s="11"/>
      <c r="C721" s="10"/>
      <c r="D721" s="11"/>
      <c r="E721" s="10"/>
      <c r="F721" s="1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0"/>
      <c r="V721" s="11"/>
      <c r="W721" s="10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2.75" customHeight="1">
      <c r="A722" s="10"/>
      <c r="B722" s="11"/>
      <c r="C722" s="10"/>
      <c r="D722" s="11"/>
      <c r="E722" s="10"/>
      <c r="F722" s="1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0"/>
      <c r="V722" s="11"/>
      <c r="W722" s="10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2.75" customHeight="1">
      <c r="A723" s="10"/>
      <c r="B723" s="11"/>
      <c r="C723" s="10"/>
      <c r="D723" s="11"/>
      <c r="E723" s="10"/>
      <c r="F723" s="1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0"/>
      <c r="V723" s="11"/>
      <c r="W723" s="10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2.75" customHeight="1">
      <c r="A724" s="10"/>
      <c r="B724" s="11"/>
      <c r="C724" s="10"/>
      <c r="D724" s="11"/>
      <c r="E724" s="10"/>
      <c r="F724" s="1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0"/>
      <c r="V724" s="11"/>
      <c r="W724" s="10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2.75" customHeight="1">
      <c r="A725" s="10"/>
      <c r="B725" s="11"/>
      <c r="C725" s="10"/>
      <c r="D725" s="11"/>
      <c r="E725" s="10"/>
      <c r="F725" s="1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0"/>
      <c r="V725" s="11"/>
      <c r="W725" s="10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2.75" customHeight="1">
      <c r="A726" s="10"/>
      <c r="B726" s="11"/>
      <c r="C726" s="10"/>
      <c r="D726" s="11"/>
      <c r="E726" s="10"/>
      <c r="F726" s="1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0"/>
      <c r="V726" s="11"/>
      <c r="W726" s="10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2.75" customHeight="1">
      <c r="A727" s="10"/>
      <c r="B727" s="11"/>
      <c r="C727" s="10"/>
      <c r="D727" s="11"/>
      <c r="E727" s="10"/>
      <c r="F727" s="1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0"/>
      <c r="V727" s="11"/>
      <c r="W727" s="10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2.75" customHeight="1">
      <c r="A728" s="10"/>
      <c r="B728" s="11"/>
      <c r="C728" s="10"/>
      <c r="D728" s="11"/>
      <c r="E728" s="10"/>
      <c r="F728" s="1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0"/>
      <c r="V728" s="11"/>
      <c r="W728" s="10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2.75" customHeight="1">
      <c r="A729" s="10"/>
      <c r="B729" s="11"/>
      <c r="C729" s="10"/>
      <c r="D729" s="11"/>
      <c r="E729" s="10"/>
      <c r="F729" s="1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0"/>
      <c r="V729" s="11"/>
      <c r="W729" s="10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2.75" customHeight="1">
      <c r="A730" s="10"/>
      <c r="B730" s="11"/>
      <c r="C730" s="10"/>
      <c r="D730" s="11"/>
      <c r="E730" s="10"/>
      <c r="F730" s="1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0"/>
      <c r="V730" s="11"/>
      <c r="W730" s="10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2.75" customHeight="1">
      <c r="A731" s="10"/>
      <c r="B731" s="11"/>
      <c r="C731" s="10"/>
      <c r="D731" s="11"/>
      <c r="E731" s="10"/>
      <c r="F731" s="1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0"/>
      <c r="V731" s="11"/>
      <c r="W731" s="10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2.75" customHeight="1">
      <c r="A732" s="10"/>
      <c r="B732" s="11"/>
      <c r="C732" s="10"/>
      <c r="D732" s="11"/>
      <c r="E732" s="10"/>
      <c r="F732" s="1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0"/>
      <c r="V732" s="11"/>
      <c r="W732" s="10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2.75" customHeight="1">
      <c r="A733" s="10"/>
      <c r="B733" s="11"/>
      <c r="C733" s="10"/>
      <c r="D733" s="11"/>
      <c r="E733" s="10"/>
      <c r="F733" s="1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0"/>
      <c r="V733" s="11"/>
      <c r="W733" s="10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2.75" customHeight="1">
      <c r="A734" s="10"/>
      <c r="B734" s="11"/>
      <c r="C734" s="10"/>
      <c r="D734" s="11"/>
      <c r="E734" s="10"/>
      <c r="F734" s="1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0"/>
      <c r="V734" s="11"/>
      <c r="W734" s="10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2.75" customHeight="1">
      <c r="A735" s="10"/>
      <c r="B735" s="11"/>
      <c r="C735" s="10"/>
      <c r="D735" s="11"/>
      <c r="E735" s="10"/>
      <c r="F735" s="1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0"/>
      <c r="V735" s="11"/>
      <c r="W735" s="10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2.75" customHeight="1">
      <c r="A736" s="10"/>
      <c r="B736" s="11"/>
      <c r="C736" s="10"/>
      <c r="D736" s="11"/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0"/>
      <c r="V736" s="11"/>
      <c r="W736" s="10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2.75" customHeight="1">
      <c r="A737" s="10"/>
      <c r="B737" s="11"/>
      <c r="C737" s="10"/>
      <c r="D737" s="11"/>
      <c r="E737" s="10"/>
      <c r="F737" s="1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0"/>
      <c r="V737" s="11"/>
      <c r="W737" s="10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2.75" customHeight="1">
      <c r="A738" s="10"/>
      <c r="B738" s="11"/>
      <c r="C738" s="10"/>
      <c r="D738" s="11"/>
      <c r="E738" s="10"/>
      <c r="F738" s="1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0"/>
      <c r="V738" s="11"/>
      <c r="W738" s="10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2.75" customHeight="1">
      <c r="A739" s="10"/>
      <c r="B739" s="11"/>
      <c r="C739" s="10"/>
      <c r="D739" s="11"/>
      <c r="E739" s="10"/>
      <c r="F739" s="1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0"/>
      <c r="V739" s="11"/>
      <c r="W739" s="10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2.75" customHeight="1">
      <c r="A740" s="10"/>
      <c r="B740" s="11"/>
      <c r="C740" s="10"/>
      <c r="D740" s="11"/>
      <c r="E740" s="10"/>
      <c r="F740" s="1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0"/>
      <c r="V740" s="11"/>
      <c r="W740" s="10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2.75" customHeight="1">
      <c r="A741" s="10"/>
      <c r="B741" s="11"/>
      <c r="C741" s="10"/>
      <c r="D741" s="11"/>
      <c r="E741" s="10"/>
      <c r="F741" s="1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0"/>
      <c r="V741" s="11"/>
      <c r="W741" s="10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2.75" customHeight="1">
      <c r="A742" s="10"/>
      <c r="B742" s="11"/>
      <c r="C742" s="10"/>
      <c r="D742" s="11"/>
      <c r="E742" s="10"/>
      <c r="F742" s="1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0"/>
      <c r="V742" s="11"/>
      <c r="W742" s="10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2.75" customHeight="1">
      <c r="A743" s="10"/>
      <c r="B743" s="11"/>
      <c r="C743" s="10"/>
      <c r="D743" s="11"/>
      <c r="E743" s="10"/>
      <c r="F743" s="1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0"/>
      <c r="V743" s="11"/>
      <c r="W743" s="10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2.75" customHeight="1">
      <c r="A744" s="10"/>
      <c r="B744" s="11"/>
      <c r="C744" s="10"/>
      <c r="D744" s="11"/>
      <c r="E744" s="10"/>
      <c r="F744" s="1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0"/>
      <c r="V744" s="11"/>
      <c r="W744" s="10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2.75" customHeight="1">
      <c r="A745" s="10"/>
      <c r="B745" s="11"/>
      <c r="C745" s="10"/>
      <c r="D745" s="11"/>
      <c r="E745" s="10"/>
      <c r="F745" s="1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0"/>
      <c r="V745" s="11"/>
      <c r="W745" s="10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2.75" customHeight="1">
      <c r="A746" s="10"/>
      <c r="B746" s="11"/>
      <c r="C746" s="10"/>
      <c r="D746" s="11"/>
      <c r="E746" s="10"/>
      <c r="F746" s="1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0"/>
      <c r="V746" s="11"/>
      <c r="W746" s="10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2.75" customHeight="1">
      <c r="A747" s="10"/>
      <c r="B747" s="11"/>
      <c r="C747" s="10"/>
      <c r="D747" s="11"/>
      <c r="E747" s="10"/>
      <c r="F747" s="1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0"/>
      <c r="V747" s="11"/>
      <c r="W747" s="10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2.75" customHeight="1">
      <c r="A748" s="10"/>
      <c r="B748" s="11"/>
      <c r="C748" s="10"/>
      <c r="D748" s="11"/>
      <c r="E748" s="10"/>
      <c r="F748" s="1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0"/>
      <c r="V748" s="11"/>
      <c r="W748" s="10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2.75" customHeight="1">
      <c r="A749" s="10"/>
      <c r="B749" s="11"/>
      <c r="C749" s="10"/>
      <c r="D749" s="11"/>
      <c r="E749" s="10"/>
      <c r="F749" s="1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0"/>
      <c r="V749" s="11"/>
      <c r="W749" s="10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2.75" customHeight="1">
      <c r="A750" s="10"/>
      <c r="B750" s="11"/>
      <c r="C750" s="10"/>
      <c r="D750" s="11"/>
      <c r="E750" s="10"/>
      <c r="F750" s="1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0"/>
      <c r="V750" s="11"/>
      <c r="W750" s="10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2.75" customHeight="1">
      <c r="A751" s="10"/>
      <c r="B751" s="11"/>
      <c r="C751" s="10"/>
      <c r="D751" s="11"/>
      <c r="E751" s="10"/>
      <c r="F751" s="1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0"/>
      <c r="V751" s="11"/>
      <c r="W751" s="10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2.75" customHeight="1">
      <c r="A752" s="10"/>
      <c r="B752" s="11"/>
      <c r="C752" s="10"/>
      <c r="D752" s="11"/>
      <c r="E752" s="10"/>
      <c r="F752" s="1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0"/>
      <c r="V752" s="11"/>
      <c r="W752" s="10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2.75" customHeight="1">
      <c r="A753" s="10"/>
      <c r="B753" s="11"/>
      <c r="C753" s="10"/>
      <c r="D753" s="11"/>
      <c r="E753" s="10"/>
      <c r="F753" s="1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0"/>
      <c r="V753" s="11"/>
      <c r="W753" s="10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2.75" customHeight="1">
      <c r="A754" s="10"/>
      <c r="B754" s="11"/>
      <c r="C754" s="10"/>
      <c r="D754" s="11"/>
      <c r="E754" s="10"/>
      <c r="F754" s="1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0"/>
      <c r="V754" s="11"/>
      <c r="W754" s="10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2.75" customHeight="1">
      <c r="A755" s="10"/>
      <c r="B755" s="11"/>
      <c r="C755" s="10"/>
      <c r="D755" s="11"/>
      <c r="E755" s="10"/>
      <c r="F755" s="1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0"/>
      <c r="V755" s="11"/>
      <c r="W755" s="10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2.75" customHeight="1">
      <c r="A756" s="10"/>
      <c r="B756" s="11"/>
      <c r="C756" s="10"/>
      <c r="D756" s="11"/>
      <c r="E756" s="10"/>
      <c r="F756" s="1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0"/>
      <c r="V756" s="11"/>
      <c r="W756" s="10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2.75" customHeight="1">
      <c r="A757" s="10"/>
      <c r="B757" s="11"/>
      <c r="C757" s="10"/>
      <c r="D757" s="11"/>
      <c r="E757" s="10"/>
      <c r="F757" s="1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0"/>
      <c r="V757" s="11"/>
      <c r="W757" s="10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2.75" customHeight="1">
      <c r="A758" s="10"/>
      <c r="B758" s="11"/>
      <c r="C758" s="10"/>
      <c r="D758" s="11"/>
      <c r="E758" s="10"/>
      <c r="F758" s="1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0"/>
      <c r="V758" s="11"/>
      <c r="W758" s="10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2.75" customHeight="1">
      <c r="A759" s="10"/>
      <c r="B759" s="11"/>
      <c r="C759" s="10"/>
      <c r="D759" s="11"/>
      <c r="E759" s="10"/>
      <c r="F759" s="1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0"/>
      <c r="V759" s="11"/>
      <c r="W759" s="10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2.75" customHeight="1">
      <c r="A760" s="10"/>
      <c r="B760" s="11"/>
      <c r="C760" s="10"/>
      <c r="D760" s="11"/>
      <c r="E760" s="10"/>
      <c r="F760" s="1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0"/>
      <c r="V760" s="11"/>
      <c r="W760" s="10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2.75" customHeight="1">
      <c r="A761" s="10"/>
      <c r="B761" s="11"/>
      <c r="C761" s="10"/>
      <c r="D761" s="11"/>
      <c r="E761" s="10"/>
      <c r="F761" s="1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0"/>
      <c r="V761" s="11"/>
      <c r="W761" s="10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2.75" customHeight="1">
      <c r="A762" s="10"/>
      <c r="B762" s="11"/>
      <c r="C762" s="10"/>
      <c r="D762" s="11"/>
      <c r="E762" s="10"/>
      <c r="F762" s="1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0"/>
      <c r="V762" s="11"/>
      <c r="W762" s="10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2.75" customHeight="1">
      <c r="A763" s="10"/>
      <c r="B763" s="11"/>
      <c r="C763" s="10"/>
      <c r="D763" s="11"/>
      <c r="E763" s="10"/>
      <c r="F763" s="1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0"/>
      <c r="V763" s="11"/>
      <c r="W763" s="10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2.75" customHeight="1">
      <c r="A764" s="10"/>
      <c r="B764" s="11"/>
      <c r="C764" s="10"/>
      <c r="D764" s="11"/>
      <c r="E764" s="10"/>
      <c r="F764" s="1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0"/>
      <c r="V764" s="11"/>
      <c r="W764" s="10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2.75" customHeight="1">
      <c r="A765" s="10"/>
      <c r="B765" s="11"/>
      <c r="C765" s="10"/>
      <c r="D765" s="11"/>
      <c r="E765" s="10"/>
      <c r="F765" s="1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0"/>
      <c r="V765" s="11"/>
      <c r="W765" s="10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2.75" customHeight="1">
      <c r="A766" s="10"/>
      <c r="B766" s="11"/>
      <c r="C766" s="10"/>
      <c r="D766" s="11"/>
      <c r="E766" s="10"/>
      <c r="F766" s="1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0"/>
      <c r="V766" s="11"/>
      <c r="W766" s="10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2.75" customHeight="1">
      <c r="A767" s="10"/>
      <c r="B767" s="11"/>
      <c r="C767" s="10"/>
      <c r="D767" s="11"/>
      <c r="E767" s="10"/>
      <c r="F767" s="1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0"/>
      <c r="V767" s="11"/>
      <c r="W767" s="10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2.75" customHeight="1">
      <c r="A768" s="10"/>
      <c r="B768" s="11"/>
      <c r="C768" s="10"/>
      <c r="D768" s="11"/>
      <c r="E768" s="10"/>
      <c r="F768" s="1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0"/>
      <c r="V768" s="11"/>
      <c r="W768" s="10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2.75" customHeight="1">
      <c r="A769" s="10"/>
      <c r="B769" s="11"/>
      <c r="C769" s="10"/>
      <c r="D769" s="11"/>
      <c r="E769" s="10"/>
      <c r="F769" s="1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0"/>
      <c r="V769" s="11"/>
      <c r="W769" s="10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2.75" customHeight="1">
      <c r="A770" s="10"/>
      <c r="B770" s="11"/>
      <c r="C770" s="10"/>
      <c r="D770" s="11"/>
      <c r="E770" s="10"/>
      <c r="F770" s="1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0"/>
      <c r="V770" s="11"/>
      <c r="W770" s="10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2.75" customHeight="1">
      <c r="A771" s="10"/>
      <c r="B771" s="11"/>
      <c r="C771" s="10"/>
      <c r="D771" s="11"/>
      <c r="E771" s="10"/>
      <c r="F771" s="1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0"/>
      <c r="V771" s="11"/>
      <c r="W771" s="10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2.75" customHeight="1">
      <c r="A772" s="10"/>
      <c r="B772" s="11"/>
      <c r="C772" s="10"/>
      <c r="D772" s="11"/>
      <c r="E772" s="10"/>
      <c r="F772" s="1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0"/>
      <c r="V772" s="11"/>
      <c r="W772" s="10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2.75" customHeight="1">
      <c r="A773" s="10"/>
      <c r="B773" s="11"/>
      <c r="C773" s="10"/>
      <c r="D773" s="11"/>
      <c r="E773" s="10"/>
      <c r="F773" s="1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0"/>
      <c r="V773" s="11"/>
      <c r="W773" s="10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2.75" customHeight="1">
      <c r="A774" s="10"/>
      <c r="B774" s="11"/>
      <c r="C774" s="10"/>
      <c r="D774" s="11"/>
      <c r="E774" s="10"/>
      <c r="F774" s="1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0"/>
      <c r="V774" s="11"/>
      <c r="W774" s="10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2.75" customHeight="1">
      <c r="A775" s="10"/>
      <c r="B775" s="11"/>
      <c r="C775" s="10"/>
      <c r="D775" s="11"/>
      <c r="E775" s="10"/>
      <c r="F775" s="1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0"/>
      <c r="V775" s="11"/>
      <c r="W775" s="10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2.75" customHeight="1">
      <c r="A776" s="10"/>
      <c r="B776" s="11"/>
      <c r="C776" s="10"/>
      <c r="D776" s="11"/>
      <c r="E776" s="10"/>
      <c r="F776" s="1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0"/>
      <c r="V776" s="11"/>
      <c r="W776" s="10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2.75" customHeight="1">
      <c r="A777" s="10"/>
      <c r="B777" s="11"/>
      <c r="C777" s="10"/>
      <c r="D777" s="11"/>
      <c r="E777" s="10"/>
      <c r="F777" s="1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0"/>
      <c r="V777" s="11"/>
      <c r="W777" s="10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2.75" customHeight="1">
      <c r="A778" s="10"/>
      <c r="B778" s="11"/>
      <c r="C778" s="10"/>
      <c r="D778" s="11"/>
      <c r="E778" s="10"/>
      <c r="F778" s="1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0"/>
      <c r="V778" s="11"/>
      <c r="W778" s="10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2.75" customHeight="1">
      <c r="A779" s="10"/>
      <c r="B779" s="11"/>
      <c r="C779" s="10"/>
      <c r="D779" s="11"/>
      <c r="E779" s="10"/>
      <c r="F779" s="1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0"/>
      <c r="V779" s="11"/>
      <c r="W779" s="10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2.75" customHeight="1">
      <c r="A780" s="10"/>
      <c r="B780" s="11"/>
      <c r="C780" s="10"/>
      <c r="D780" s="11"/>
      <c r="E780" s="10"/>
      <c r="F780" s="1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0"/>
      <c r="V780" s="11"/>
      <c r="W780" s="10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2.75" customHeight="1">
      <c r="A781" s="10"/>
      <c r="B781" s="11"/>
      <c r="C781" s="10"/>
      <c r="D781" s="11"/>
      <c r="E781" s="10"/>
      <c r="F781" s="1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0"/>
      <c r="V781" s="11"/>
      <c r="W781" s="10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2.75" customHeight="1">
      <c r="A782" s="10"/>
      <c r="B782" s="11"/>
      <c r="C782" s="10"/>
      <c r="D782" s="11"/>
      <c r="E782" s="10"/>
      <c r="F782" s="1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0"/>
      <c r="V782" s="11"/>
      <c r="W782" s="10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2.75" customHeight="1">
      <c r="A783" s="10"/>
      <c r="B783" s="11"/>
      <c r="C783" s="10"/>
      <c r="D783" s="11"/>
      <c r="E783" s="10"/>
      <c r="F783" s="1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0"/>
      <c r="V783" s="11"/>
      <c r="W783" s="10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2.75" customHeight="1">
      <c r="A784" s="10"/>
      <c r="B784" s="11"/>
      <c r="C784" s="10"/>
      <c r="D784" s="11"/>
      <c r="E784" s="10"/>
      <c r="F784" s="1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0"/>
      <c r="V784" s="11"/>
      <c r="W784" s="10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2.75" customHeight="1">
      <c r="A785" s="10"/>
      <c r="B785" s="11"/>
      <c r="C785" s="10"/>
      <c r="D785" s="11"/>
      <c r="E785" s="10"/>
      <c r="F785" s="1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0"/>
      <c r="V785" s="11"/>
      <c r="W785" s="10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2.75" customHeight="1">
      <c r="A786" s="10"/>
      <c r="B786" s="11"/>
      <c r="C786" s="10"/>
      <c r="D786" s="11"/>
      <c r="E786" s="10"/>
      <c r="F786" s="1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0"/>
      <c r="V786" s="11"/>
      <c r="W786" s="10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2.75" customHeight="1">
      <c r="A787" s="10"/>
      <c r="B787" s="11"/>
      <c r="C787" s="10"/>
      <c r="D787" s="11"/>
      <c r="E787" s="10"/>
      <c r="F787" s="1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0"/>
      <c r="V787" s="11"/>
      <c r="W787" s="10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2.75" customHeight="1">
      <c r="A788" s="10"/>
      <c r="B788" s="11"/>
      <c r="C788" s="10"/>
      <c r="D788" s="11"/>
      <c r="E788" s="10"/>
      <c r="F788" s="1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0"/>
      <c r="V788" s="11"/>
      <c r="W788" s="10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2.75" customHeight="1">
      <c r="A789" s="10"/>
      <c r="B789" s="11"/>
      <c r="C789" s="10"/>
      <c r="D789" s="11"/>
      <c r="E789" s="10"/>
      <c r="F789" s="1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0"/>
      <c r="V789" s="11"/>
      <c r="W789" s="10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2.75" customHeight="1">
      <c r="A790" s="10"/>
      <c r="B790" s="11"/>
      <c r="C790" s="10"/>
      <c r="D790" s="11"/>
      <c r="E790" s="10"/>
      <c r="F790" s="1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0"/>
      <c r="V790" s="11"/>
      <c r="W790" s="10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2.75" customHeight="1">
      <c r="A791" s="10"/>
      <c r="B791" s="11"/>
      <c r="C791" s="10"/>
      <c r="D791" s="11"/>
      <c r="E791" s="10"/>
      <c r="F791" s="1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0"/>
      <c r="V791" s="11"/>
      <c r="W791" s="10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2.75" customHeight="1">
      <c r="A792" s="10"/>
      <c r="B792" s="11"/>
      <c r="C792" s="10"/>
      <c r="D792" s="11"/>
      <c r="E792" s="10"/>
      <c r="F792" s="1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0"/>
      <c r="V792" s="11"/>
      <c r="W792" s="10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2.75" customHeight="1">
      <c r="A793" s="10"/>
      <c r="B793" s="11"/>
      <c r="C793" s="10"/>
      <c r="D793" s="11"/>
      <c r="E793" s="10"/>
      <c r="F793" s="1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0"/>
      <c r="V793" s="11"/>
      <c r="W793" s="10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2.75" customHeight="1">
      <c r="A794" s="10"/>
      <c r="B794" s="11"/>
      <c r="C794" s="10"/>
      <c r="D794" s="11"/>
      <c r="E794" s="10"/>
      <c r="F794" s="1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0"/>
      <c r="V794" s="11"/>
      <c r="W794" s="10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2.75" customHeight="1">
      <c r="A795" s="10"/>
      <c r="B795" s="11"/>
      <c r="C795" s="10"/>
      <c r="D795" s="11"/>
      <c r="E795" s="10"/>
      <c r="F795" s="1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0"/>
      <c r="V795" s="11"/>
      <c r="W795" s="10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2.75" customHeight="1">
      <c r="A796" s="10"/>
      <c r="B796" s="11"/>
      <c r="C796" s="10"/>
      <c r="D796" s="11"/>
      <c r="E796" s="10"/>
      <c r="F796" s="1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0"/>
      <c r="V796" s="11"/>
      <c r="W796" s="10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2.75" customHeight="1">
      <c r="A797" s="10"/>
      <c r="B797" s="11"/>
      <c r="C797" s="10"/>
      <c r="D797" s="11"/>
      <c r="E797" s="10"/>
      <c r="F797" s="1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0"/>
      <c r="V797" s="11"/>
      <c r="W797" s="10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2.75" customHeight="1">
      <c r="A798" s="10"/>
      <c r="B798" s="11"/>
      <c r="C798" s="10"/>
      <c r="D798" s="11"/>
      <c r="E798" s="10"/>
      <c r="F798" s="1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0"/>
      <c r="V798" s="11"/>
      <c r="W798" s="10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2.75" customHeight="1">
      <c r="A799" s="10"/>
      <c r="B799" s="11"/>
      <c r="C799" s="10"/>
      <c r="D799" s="11"/>
      <c r="E799" s="10"/>
      <c r="F799" s="1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0"/>
      <c r="V799" s="11"/>
      <c r="W799" s="10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2.75" customHeight="1">
      <c r="A800" s="10"/>
      <c r="B800" s="11"/>
      <c r="C800" s="10"/>
      <c r="D800" s="11"/>
      <c r="E800" s="10"/>
      <c r="F800" s="1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0"/>
      <c r="V800" s="11"/>
      <c r="W800" s="10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2.75" customHeight="1">
      <c r="A801" s="10"/>
      <c r="B801" s="11"/>
      <c r="C801" s="10"/>
      <c r="D801" s="11"/>
      <c r="E801" s="10"/>
      <c r="F801" s="1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0"/>
      <c r="V801" s="11"/>
      <c r="W801" s="10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2.75" customHeight="1">
      <c r="A802" s="10"/>
      <c r="B802" s="11"/>
      <c r="C802" s="10"/>
      <c r="D802" s="11"/>
      <c r="E802" s="10"/>
      <c r="F802" s="1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0"/>
      <c r="V802" s="11"/>
      <c r="W802" s="10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2.75" customHeight="1">
      <c r="A803" s="10"/>
      <c r="B803" s="11"/>
      <c r="C803" s="10"/>
      <c r="D803" s="11"/>
      <c r="E803" s="10"/>
      <c r="F803" s="1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0"/>
      <c r="V803" s="11"/>
      <c r="W803" s="10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2.75" customHeight="1">
      <c r="A804" s="10"/>
      <c r="B804" s="11"/>
      <c r="C804" s="10"/>
      <c r="D804" s="11"/>
      <c r="E804" s="10"/>
      <c r="F804" s="1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0"/>
      <c r="V804" s="11"/>
      <c r="W804" s="10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2.75" customHeight="1">
      <c r="A805" s="10"/>
      <c r="B805" s="11"/>
      <c r="C805" s="10"/>
      <c r="D805" s="11"/>
      <c r="E805" s="10"/>
      <c r="F805" s="1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0"/>
      <c r="V805" s="11"/>
      <c r="W805" s="10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2.75" customHeight="1">
      <c r="A806" s="10"/>
      <c r="B806" s="11"/>
      <c r="C806" s="10"/>
      <c r="D806" s="11"/>
      <c r="E806" s="10"/>
      <c r="F806" s="1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0"/>
      <c r="V806" s="11"/>
      <c r="W806" s="10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2.75" customHeight="1">
      <c r="A807" s="10"/>
      <c r="B807" s="11"/>
      <c r="C807" s="10"/>
      <c r="D807" s="11"/>
      <c r="E807" s="10"/>
      <c r="F807" s="1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0"/>
      <c r="V807" s="11"/>
      <c r="W807" s="10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2.75" customHeight="1">
      <c r="A808" s="10"/>
      <c r="B808" s="11"/>
      <c r="C808" s="10"/>
      <c r="D808" s="11"/>
      <c r="E808" s="10"/>
      <c r="F808" s="1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0"/>
      <c r="V808" s="11"/>
      <c r="W808" s="10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2.75" customHeight="1">
      <c r="A809" s="10"/>
      <c r="B809" s="11"/>
      <c r="C809" s="10"/>
      <c r="D809" s="11"/>
      <c r="E809" s="10"/>
      <c r="F809" s="1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0"/>
      <c r="V809" s="11"/>
      <c r="W809" s="10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2.75" customHeight="1">
      <c r="A810" s="10"/>
      <c r="B810" s="11"/>
      <c r="C810" s="10"/>
      <c r="D810" s="11"/>
      <c r="E810" s="10"/>
      <c r="F810" s="1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0"/>
      <c r="V810" s="11"/>
      <c r="W810" s="10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2.75" customHeight="1">
      <c r="A811" s="10"/>
      <c r="B811" s="11"/>
      <c r="C811" s="10"/>
      <c r="D811" s="11"/>
      <c r="E811" s="10"/>
      <c r="F811" s="1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0"/>
      <c r="V811" s="11"/>
      <c r="W811" s="10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2.75" customHeight="1">
      <c r="A812" s="10"/>
      <c r="B812" s="11"/>
      <c r="C812" s="10"/>
      <c r="D812" s="11"/>
      <c r="E812" s="10"/>
      <c r="F812" s="1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0"/>
      <c r="V812" s="11"/>
      <c r="W812" s="10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2.75" customHeight="1">
      <c r="A813" s="10"/>
      <c r="B813" s="11"/>
      <c r="C813" s="10"/>
      <c r="D813" s="11"/>
      <c r="E813" s="10"/>
      <c r="F813" s="1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0"/>
      <c r="V813" s="11"/>
      <c r="W813" s="10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2.75" customHeight="1">
      <c r="A814" s="10"/>
      <c r="B814" s="11"/>
      <c r="C814" s="10"/>
      <c r="D814" s="11"/>
      <c r="E814" s="10"/>
      <c r="F814" s="1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0"/>
      <c r="V814" s="11"/>
      <c r="W814" s="10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2.75" customHeight="1">
      <c r="A815" s="10"/>
      <c r="B815" s="11"/>
      <c r="C815" s="10"/>
      <c r="D815" s="11"/>
      <c r="E815" s="10"/>
      <c r="F815" s="1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0"/>
      <c r="V815" s="11"/>
      <c r="W815" s="10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2.75" customHeight="1">
      <c r="A816" s="10"/>
      <c r="B816" s="11"/>
      <c r="C816" s="10"/>
      <c r="D816" s="11"/>
      <c r="E816" s="10"/>
      <c r="F816" s="1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0"/>
      <c r="V816" s="11"/>
      <c r="W816" s="10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2.75" customHeight="1">
      <c r="A817" s="10"/>
      <c r="B817" s="11"/>
      <c r="C817" s="10"/>
      <c r="D817" s="11"/>
      <c r="E817" s="10"/>
      <c r="F817" s="1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0"/>
      <c r="V817" s="11"/>
      <c r="W817" s="10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2.75" customHeight="1">
      <c r="A818" s="10"/>
      <c r="B818" s="11"/>
      <c r="C818" s="10"/>
      <c r="D818" s="11"/>
      <c r="E818" s="10"/>
      <c r="F818" s="1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0"/>
      <c r="V818" s="11"/>
      <c r="W818" s="10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2.75" customHeight="1">
      <c r="A819" s="10"/>
      <c r="B819" s="11"/>
      <c r="C819" s="10"/>
      <c r="D819" s="11"/>
      <c r="E819" s="10"/>
      <c r="F819" s="1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0"/>
      <c r="V819" s="11"/>
      <c r="W819" s="10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2.75" customHeight="1">
      <c r="A820" s="10"/>
      <c r="B820" s="11"/>
      <c r="C820" s="10"/>
      <c r="D820" s="11"/>
      <c r="E820" s="10"/>
      <c r="F820" s="1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0"/>
      <c r="V820" s="11"/>
      <c r="W820" s="10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2.75" customHeight="1">
      <c r="A821" s="10"/>
      <c r="B821" s="11"/>
      <c r="C821" s="10"/>
      <c r="D821" s="11"/>
      <c r="E821" s="10"/>
      <c r="F821" s="1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0"/>
      <c r="V821" s="11"/>
      <c r="W821" s="10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2.75" customHeight="1">
      <c r="A822" s="10"/>
      <c r="B822" s="11"/>
      <c r="C822" s="10"/>
      <c r="D822" s="11"/>
      <c r="E822" s="10"/>
      <c r="F822" s="1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0"/>
      <c r="V822" s="11"/>
      <c r="W822" s="10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2.75" customHeight="1">
      <c r="A823" s="10"/>
      <c r="B823" s="11"/>
      <c r="C823" s="10"/>
      <c r="D823" s="11"/>
      <c r="E823" s="10"/>
      <c r="F823" s="1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0"/>
      <c r="V823" s="11"/>
      <c r="W823" s="10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2.75" customHeight="1">
      <c r="A824" s="10"/>
      <c r="B824" s="11"/>
      <c r="C824" s="10"/>
      <c r="D824" s="11"/>
      <c r="E824" s="10"/>
      <c r="F824" s="1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0"/>
      <c r="V824" s="11"/>
      <c r="W824" s="10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2.75" customHeight="1">
      <c r="A825" s="10"/>
      <c r="B825" s="11"/>
      <c r="C825" s="10"/>
      <c r="D825" s="11"/>
      <c r="E825" s="10"/>
      <c r="F825" s="1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0"/>
      <c r="V825" s="11"/>
      <c r="W825" s="10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2.75" customHeight="1">
      <c r="A826" s="10"/>
      <c r="B826" s="11"/>
      <c r="C826" s="10"/>
      <c r="D826" s="11"/>
      <c r="E826" s="10"/>
      <c r="F826" s="1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0"/>
      <c r="V826" s="11"/>
      <c r="W826" s="10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2.75" customHeight="1">
      <c r="A827" s="10"/>
      <c r="B827" s="11"/>
      <c r="C827" s="10"/>
      <c r="D827" s="11"/>
      <c r="E827" s="10"/>
      <c r="F827" s="1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0"/>
      <c r="V827" s="11"/>
      <c r="W827" s="10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2.75" customHeight="1">
      <c r="A828" s="10"/>
      <c r="B828" s="11"/>
      <c r="C828" s="10"/>
      <c r="D828" s="11"/>
      <c r="E828" s="10"/>
      <c r="F828" s="1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0"/>
      <c r="V828" s="11"/>
      <c r="W828" s="10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2.75" customHeight="1">
      <c r="A829" s="10"/>
      <c r="B829" s="11"/>
      <c r="C829" s="10"/>
      <c r="D829" s="11"/>
      <c r="E829" s="10"/>
      <c r="F829" s="1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0"/>
      <c r="V829" s="11"/>
      <c r="W829" s="10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2.75" customHeight="1">
      <c r="A830" s="10"/>
      <c r="B830" s="11"/>
      <c r="C830" s="10"/>
      <c r="D830" s="11"/>
      <c r="E830" s="10"/>
      <c r="F830" s="1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0"/>
      <c r="V830" s="11"/>
      <c r="W830" s="10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2.75" customHeight="1">
      <c r="A831" s="10"/>
      <c r="B831" s="11"/>
      <c r="C831" s="10"/>
      <c r="D831" s="11"/>
      <c r="E831" s="10"/>
      <c r="F831" s="1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0"/>
      <c r="V831" s="11"/>
      <c r="W831" s="10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2.75" customHeight="1">
      <c r="A832" s="10"/>
      <c r="B832" s="11"/>
      <c r="C832" s="10"/>
      <c r="D832" s="11"/>
      <c r="E832" s="10"/>
      <c r="F832" s="1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0"/>
      <c r="V832" s="11"/>
      <c r="W832" s="10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2.75" customHeight="1">
      <c r="A833" s="10"/>
      <c r="B833" s="11"/>
      <c r="C833" s="10"/>
      <c r="D833" s="11"/>
      <c r="E833" s="10"/>
      <c r="F833" s="1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0"/>
      <c r="V833" s="11"/>
      <c r="W833" s="10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2.75" customHeight="1">
      <c r="A834" s="10"/>
      <c r="B834" s="11"/>
      <c r="C834" s="10"/>
      <c r="D834" s="11"/>
      <c r="E834" s="10"/>
      <c r="F834" s="1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0"/>
      <c r="V834" s="11"/>
      <c r="W834" s="10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2.75" customHeight="1">
      <c r="A835" s="10"/>
      <c r="B835" s="11"/>
      <c r="C835" s="10"/>
      <c r="D835" s="11"/>
      <c r="E835" s="10"/>
      <c r="F835" s="1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0"/>
      <c r="V835" s="11"/>
      <c r="W835" s="10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2.75" customHeight="1">
      <c r="A836" s="10"/>
      <c r="B836" s="11"/>
      <c r="C836" s="10"/>
      <c r="D836" s="11"/>
      <c r="E836" s="10"/>
      <c r="F836" s="1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0"/>
      <c r="V836" s="11"/>
      <c r="W836" s="10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2.75" customHeight="1">
      <c r="A837" s="10"/>
      <c r="B837" s="11"/>
      <c r="C837" s="10"/>
      <c r="D837" s="11"/>
      <c r="E837" s="10"/>
      <c r="F837" s="1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0"/>
      <c r="V837" s="11"/>
      <c r="W837" s="10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2.75" customHeight="1">
      <c r="A838" s="10"/>
      <c r="B838" s="11"/>
      <c r="C838" s="10"/>
      <c r="D838" s="11"/>
      <c r="E838" s="10"/>
      <c r="F838" s="1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0"/>
      <c r="V838" s="11"/>
      <c r="W838" s="10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2.75" customHeight="1">
      <c r="A839" s="10"/>
      <c r="B839" s="11"/>
      <c r="C839" s="10"/>
      <c r="D839" s="11"/>
      <c r="E839" s="10"/>
      <c r="F839" s="1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0"/>
      <c r="V839" s="11"/>
      <c r="W839" s="10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2.75" customHeight="1">
      <c r="A840" s="10"/>
      <c r="B840" s="11"/>
      <c r="C840" s="10"/>
      <c r="D840" s="11"/>
      <c r="E840" s="10"/>
      <c r="F840" s="1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0"/>
      <c r="V840" s="11"/>
      <c r="W840" s="10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2.75" customHeight="1">
      <c r="A841" s="10"/>
      <c r="B841" s="11"/>
      <c r="C841" s="10"/>
      <c r="D841" s="11"/>
      <c r="E841" s="10"/>
      <c r="F841" s="1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0"/>
      <c r="V841" s="11"/>
      <c r="W841" s="10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2.75" customHeight="1">
      <c r="A842" s="10"/>
      <c r="B842" s="11"/>
      <c r="C842" s="10"/>
      <c r="D842" s="11"/>
      <c r="E842" s="10"/>
      <c r="F842" s="1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0"/>
      <c r="V842" s="11"/>
      <c r="W842" s="10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2.75" customHeight="1">
      <c r="A843" s="10"/>
      <c r="B843" s="11"/>
      <c r="C843" s="10"/>
      <c r="D843" s="11"/>
      <c r="E843" s="10"/>
      <c r="F843" s="1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0"/>
      <c r="V843" s="11"/>
      <c r="W843" s="10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2.75" customHeight="1">
      <c r="A844" s="10"/>
      <c r="B844" s="11"/>
      <c r="C844" s="10"/>
      <c r="D844" s="11"/>
      <c r="E844" s="10"/>
      <c r="F844" s="1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0"/>
      <c r="V844" s="11"/>
      <c r="W844" s="10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2.75" customHeight="1">
      <c r="A845" s="10"/>
      <c r="B845" s="11"/>
      <c r="C845" s="10"/>
      <c r="D845" s="11"/>
      <c r="E845" s="10"/>
      <c r="F845" s="1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0"/>
      <c r="V845" s="11"/>
      <c r="W845" s="10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2.75" customHeight="1">
      <c r="A846" s="10"/>
      <c r="B846" s="11"/>
      <c r="C846" s="10"/>
      <c r="D846" s="11"/>
      <c r="E846" s="10"/>
      <c r="F846" s="1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0"/>
      <c r="V846" s="11"/>
      <c r="W846" s="10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2.75" customHeight="1">
      <c r="A847" s="10"/>
      <c r="B847" s="11"/>
      <c r="C847" s="10"/>
      <c r="D847" s="11"/>
      <c r="E847" s="10"/>
      <c r="F847" s="1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0"/>
      <c r="V847" s="11"/>
      <c r="W847" s="10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2.75" customHeight="1">
      <c r="A848" s="10"/>
      <c r="B848" s="11"/>
      <c r="C848" s="10"/>
      <c r="D848" s="11"/>
      <c r="E848" s="10"/>
      <c r="F848" s="1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0"/>
      <c r="V848" s="11"/>
      <c r="W848" s="10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2.75" customHeight="1">
      <c r="A849" s="10"/>
      <c r="B849" s="11"/>
      <c r="C849" s="10"/>
      <c r="D849" s="11"/>
      <c r="E849" s="10"/>
      <c r="F849" s="1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0"/>
      <c r="V849" s="11"/>
      <c r="W849" s="10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2.75" customHeight="1">
      <c r="A850" s="10"/>
      <c r="B850" s="11"/>
      <c r="C850" s="10"/>
      <c r="D850" s="11"/>
      <c r="E850" s="10"/>
      <c r="F850" s="1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0"/>
      <c r="V850" s="11"/>
      <c r="W850" s="10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2.75" customHeight="1">
      <c r="A851" s="10"/>
      <c r="B851" s="11"/>
      <c r="C851" s="10"/>
      <c r="D851" s="11"/>
      <c r="E851" s="10"/>
      <c r="F851" s="1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0"/>
      <c r="V851" s="11"/>
      <c r="W851" s="10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2.75" customHeight="1">
      <c r="A852" s="10"/>
      <c r="B852" s="11"/>
      <c r="C852" s="10"/>
      <c r="D852" s="11"/>
      <c r="E852" s="10"/>
      <c r="F852" s="1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0"/>
      <c r="V852" s="11"/>
      <c r="W852" s="10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2.75" customHeight="1">
      <c r="A853" s="10"/>
      <c r="B853" s="11"/>
      <c r="C853" s="10"/>
      <c r="D853" s="11"/>
      <c r="E853" s="10"/>
      <c r="F853" s="1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0"/>
      <c r="V853" s="11"/>
      <c r="W853" s="10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2.75" customHeight="1">
      <c r="A854" s="10"/>
      <c r="B854" s="11"/>
      <c r="C854" s="10"/>
      <c r="D854" s="11"/>
      <c r="E854" s="10"/>
      <c r="F854" s="1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0"/>
      <c r="V854" s="11"/>
      <c r="W854" s="10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2.75" customHeight="1">
      <c r="A855" s="10"/>
      <c r="B855" s="11"/>
      <c r="C855" s="10"/>
      <c r="D855" s="11"/>
      <c r="E855" s="10"/>
      <c r="F855" s="1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0"/>
      <c r="V855" s="11"/>
      <c r="W855" s="10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2.75" customHeight="1">
      <c r="A856" s="10"/>
      <c r="B856" s="11"/>
      <c r="C856" s="10"/>
      <c r="D856" s="11"/>
      <c r="E856" s="10"/>
      <c r="F856" s="1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0"/>
      <c r="V856" s="11"/>
      <c r="W856" s="10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2.75" customHeight="1">
      <c r="A857" s="10"/>
      <c r="B857" s="11"/>
      <c r="C857" s="10"/>
      <c r="D857" s="11"/>
      <c r="E857" s="10"/>
      <c r="F857" s="1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0"/>
      <c r="V857" s="11"/>
      <c r="W857" s="10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2.75" customHeight="1">
      <c r="A858" s="10"/>
      <c r="B858" s="11"/>
      <c r="C858" s="10"/>
      <c r="D858" s="11"/>
      <c r="E858" s="10"/>
      <c r="F858" s="1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0"/>
      <c r="V858" s="11"/>
      <c r="W858" s="10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2.75" customHeight="1">
      <c r="A859" s="10"/>
      <c r="B859" s="11"/>
      <c r="C859" s="10"/>
      <c r="D859" s="11"/>
      <c r="E859" s="10"/>
      <c r="F859" s="1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0"/>
      <c r="V859" s="11"/>
      <c r="W859" s="10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2.75" customHeight="1">
      <c r="A860" s="10"/>
      <c r="B860" s="11"/>
      <c r="C860" s="10"/>
      <c r="D860" s="11"/>
      <c r="E860" s="10"/>
      <c r="F860" s="1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0"/>
      <c r="V860" s="11"/>
      <c r="W860" s="10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2.75" customHeight="1">
      <c r="A861" s="10"/>
      <c r="B861" s="11"/>
      <c r="C861" s="10"/>
      <c r="D861" s="11"/>
      <c r="E861" s="10"/>
      <c r="F861" s="1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0"/>
      <c r="V861" s="11"/>
      <c r="W861" s="10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2.75" customHeight="1">
      <c r="A862" s="10"/>
      <c r="B862" s="11"/>
      <c r="C862" s="10"/>
      <c r="D862" s="11"/>
      <c r="E862" s="10"/>
      <c r="F862" s="1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0"/>
      <c r="V862" s="11"/>
      <c r="W862" s="10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2.75" customHeight="1">
      <c r="A863" s="10"/>
      <c r="B863" s="11"/>
      <c r="C863" s="10"/>
      <c r="D863" s="11"/>
      <c r="E863" s="10"/>
      <c r="F863" s="1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0"/>
      <c r="V863" s="11"/>
      <c r="W863" s="10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2.75" customHeight="1">
      <c r="A864" s="10"/>
      <c r="B864" s="11"/>
      <c r="C864" s="10"/>
      <c r="D864" s="11"/>
      <c r="E864" s="10"/>
      <c r="F864" s="1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0"/>
      <c r="V864" s="11"/>
      <c r="W864" s="10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2.75" customHeight="1">
      <c r="A865" s="10"/>
      <c r="B865" s="11"/>
      <c r="C865" s="10"/>
      <c r="D865" s="11"/>
      <c r="E865" s="10"/>
      <c r="F865" s="1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0"/>
      <c r="V865" s="11"/>
      <c r="W865" s="10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2.75" customHeight="1">
      <c r="A866" s="10"/>
      <c r="B866" s="11"/>
      <c r="C866" s="10"/>
      <c r="D866" s="11"/>
      <c r="E866" s="10"/>
      <c r="F866" s="1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0"/>
      <c r="V866" s="11"/>
      <c r="W866" s="10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2.75" customHeight="1">
      <c r="A867" s="10"/>
      <c r="B867" s="11"/>
      <c r="C867" s="10"/>
      <c r="D867" s="11"/>
      <c r="E867" s="10"/>
      <c r="F867" s="1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0"/>
      <c r="V867" s="11"/>
      <c r="W867" s="10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2.75" customHeight="1">
      <c r="A868" s="10"/>
      <c r="B868" s="11"/>
      <c r="C868" s="10"/>
      <c r="D868" s="11"/>
      <c r="E868" s="10"/>
      <c r="F868" s="1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0"/>
      <c r="V868" s="11"/>
      <c r="W868" s="10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2.75" customHeight="1">
      <c r="A869" s="10"/>
      <c r="B869" s="11"/>
      <c r="C869" s="10"/>
      <c r="D869" s="11"/>
      <c r="E869" s="10"/>
      <c r="F869" s="1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0"/>
      <c r="V869" s="11"/>
      <c r="W869" s="10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2.75" customHeight="1">
      <c r="A870" s="10"/>
      <c r="B870" s="11"/>
      <c r="C870" s="10"/>
      <c r="D870" s="11"/>
      <c r="E870" s="10"/>
      <c r="F870" s="1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0"/>
      <c r="V870" s="11"/>
      <c r="W870" s="10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2.75" customHeight="1">
      <c r="A871" s="10"/>
      <c r="B871" s="11"/>
      <c r="C871" s="10"/>
      <c r="D871" s="11"/>
      <c r="E871" s="10"/>
      <c r="F871" s="1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0"/>
      <c r="V871" s="11"/>
      <c r="W871" s="10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2.75" customHeight="1">
      <c r="A872" s="10"/>
      <c r="B872" s="11"/>
      <c r="C872" s="10"/>
      <c r="D872" s="11"/>
      <c r="E872" s="10"/>
      <c r="F872" s="1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0"/>
      <c r="V872" s="11"/>
      <c r="W872" s="10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2.75" customHeight="1">
      <c r="A873" s="10"/>
      <c r="B873" s="11"/>
      <c r="C873" s="10"/>
      <c r="D873" s="11"/>
      <c r="E873" s="10"/>
      <c r="F873" s="1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0"/>
      <c r="V873" s="11"/>
      <c r="W873" s="10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2.75" customHeight="1">
      <c r="A874" s="10"/>
      <c r="B874" s="11"/>
      <c r="C874" s="10"/>
      <c r="D874" s="11"/>
      <c r="E874" s="10"/>
      <c r="F874" s="1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0"/>
      <c r="V874" s="11"/>
      <c r="W874" s="10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2.75" customHeight="1">
      <c r="A875" s="10"/>
      <c r="B875" s="11"/>
      <c r="C875" s="10"/>
      <c r="D875" s="11"/>
      <c r="E875" s="10"/>
      <c r="F875" s="1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0"/>
      <c r="V875" s="11"/>
      <c r="W875" s="10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2.75" customHeight="1">
      <c r="A876" s="10"/>
      <c r="B876" s="11"/>
      <c r="C876" s="10"/>
      <c r="D876" s="11"/>
      <c r="E876" s="10"/>
      <c r="F876" s="1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0"/>
      <c r="V876" s="11"/>
      <c r="W876" s="10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2.75" customHeight="1">
      <c r="A877" s="10"/>
      <c r="B877" s="11"/>
      <c r="C877" s="10"/>
      <c r="D877" s="11"/>
      <c r="E877" s="10"/>
      <c r="F877" s="1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0"/>
      <c r="V877" s="11"/>
      <c r="W877" s="10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2.75" customHeight="1">
      <c r="A878" s="10"/>
      <c r="B878" s="11"/>
      <c r="C878" s="10"/>
      <c r="D878" s="11"/>
      <c r="E878" s="10"/>
      <c r="F878" s="1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0"/>
      <c r="V878" s="11"/>
      <c r="W878" s="10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2.75" customHeight="1">
      <c r="A879" s="10"/>
      <c r="B879" s="11"/>
      <c r="C879" s="10"/>
      <c r="D879" s="11"/>
      <c r="E879" s="10"/>
      <c r="F879" s="1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0"/>
      <c r="V879" s="11"/>
      <c r="W879" s="10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2.75" customHeight="1">
      <c r="A880" s="10"/>
      <c r="B880" s="11"/>
      <c r="C880" s="10"/>
      <c r="D880" s="11"/>
      <c r="E880" s="10"/>
      <c r="F880" s="1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0"/>
      <c r="V880" s="11"/>
      <c r="W880" s="10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2.75" customHeight="1">
      <c r="A881" s="10"/>
      <c r="B881" s="11"/>
      <c r="C881" s="10"/>
      <c r="D881" s="11"/>
      <c r="E881" s="10"/>
      <c r="F881" s="1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0"/>
      <c r="V881" s="11"/>
      <c r="W881" s="10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2.75" customHeight="1">
      <c r="A882" s="10"/>
      <c r="B882" s="11"/>
      <c r="C882" s="10"/>
      <c r="D882" s="11"/>
      <c r="E882" s="10"/>
      <c r="F882" s="1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0"/>
      <c r="V882" s="11"/>
      <c r="W882" s="10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2.75" customHeight="1">
      <c r="A883" s="10"/>
      <c r="B883" s="11"/>
      <c r="C883" s="10"/>
      <c r="D883" s="11"/>
      <c r="E883" s="10"/>
      <c r="F883" s="1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0"/>
      <c r="V883" s="11"/>
      <c r="W883" s="10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2.75" customHeight="1">
      <c r="A884" s="10"/>
      <c r="B884" s="11"/>
      <c r="C884" s="10"/>
      <c r="D884" s="11"/>
      <c r="E884" s="10"/>
      <c r="F884" s="1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0"/>
      <c r="V884" s="11"/>
      <c r="W884" s="10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2.75" customHeight="1">
      <c r="A885" s="10"/>
      <c r="B885" s="11"/>
      <c r="C885" s="10"/>
      <c r="D885" s="11"/>
      <c r="E885" s="10"/>
      <c r="F885" s="1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0"/>
      <c r="V885" s="11"/>
      <c r="W885" s="10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2.75" customHeight="1">
      <c r="A886" s="10"/>
      <c r="B886" s="11"/>
      <c r="C886" s="10"/>
      <c r="D886" s="11"/>
      <c r="E886" s="10"/>
      <c r="F886" s="1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0"/>
      <c r="V886" s="11"/>
      <c r="W886" s="10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2.75" customHeight="1">
      <c r="A887" s="10"/>
      <c r="B887" s="11"/>
      <c r="C887" s="10"/>
      <c r="D887" s="11"/>
      <c r="E887" s="10"/>
      <c r="F887" s="1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0"/>
      <c r="V887" s="11"/>
      <c r="W887" s="10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2.75" customHeight="1">
      <c r="A888" s="10"/>
      <c r="B888" s="11"/>
      <c r="C888" s="10"/>
      <c r="D888" s="11"/>
      <c r="E888" s="10"/>
      <c r="F888" s="1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0"/>
      <c r="V888" s="11"/>
      <c r="W888" s="10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2.75" customHeight="1">
      <c r="A889" s="10"/>
      <c r="B889" s="11"/>
      <c r="C889" s="10"/>
      <c r="D889" s="11"/>
      <c r="E889" s="10"/>
      <c r="F889" s="1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0"/>
      <c r="V889" s="11"/>
      <c r="W889" s="10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2.75" customHeight="1">
      <c r="A890" s="10"/>
      <c r="B890" s="11"/>
      <c r="C890" s="10"/>
      <c r="D890" s="11"/>
      <c r="E890" s="10"/>
      <c r="F890" s="1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0"/>
      <c r="V890" s="11"/>
      <c r="W890" s="10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2.75" customHeight="1">
      <c r="A891" s="10"/>
      <c r="B891" s="11"/>
      <c r="C891" s="10"/>
      <c r="D891" s="11"/>
      <c r="E891" s="10"/>
      <c r="F891" s="1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0"/>
      <c r="V891" s="11"/>
      <c r="W891" s="10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2.75" customHeight="1">
      <c r="A892" s="10"/>
      <c r="B892" s="11"/>
      <c r="C892" s="10"/>
      <c r="D892" s="11"/>
      <c r="E892" s="10"/>
      <c r="F892" s="1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0"/>
      <c r="V892" s="11"/>
      <c r="W892" s="10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2.75" customHeight="1">
      <c r="A893" s="10"/>
      <c r="B893" s="11"/>
      <c r="C893" s="10"/>
      <c r="D893" s="11"/>
      <c r="E893" s="10"/>
      <c r="F893" s="1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0"/>
      <c r="V893" s="11"/>
      <c r="W893" s="10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2.75" customHeight="1">
      <c r="A894" s="10"/>
      <c r="B894" s="11"/>
      <c r="C894" s="10"/>
      <c r="D894" s="11"/>
      <c r="E894" s="10"/>
      <c r="F894" s="1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0"/>
      <c r="V894" s="11"/>
      <c r="W894" s="10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2.75" customHeight="1">
      <c r="A895" s="10"/>
      <c r="B895" s="11"/>
      <c r="C895" s="10"/>
      <c r="D895" s="11"/>
      <c r="E895" s="10"/>
      <c r="F895" s="1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0"/>
      <c r="V895" s="11"/>
      <c r="W895" s="10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2.75" customHeight="1">
      <c r="A896" s="10"/>
      <c r="B896" s="11"/>
      <c r="C896" s="10"/>
      <c r="D896" s="11"/>
      <c r="E896" s="10"/>
      <c r="F896" s="1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0"/>
      <c r="V896" s="11"/>
      <c r="W896" s="10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2.75" customHeight="1">
      <c r="A897" s="10"/>
      <c r="B897" s="11"/>
      <c r="C897" s="10"/>
      <c r="D897" s="11"/>
      <c r="E897" s="10"/>
      <c r="F897" s="1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0"/>
      <c r="V897" s="11"/>
      <c r="W897" s="10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2.75" customHeight="1">
      <c r="A898" s="10"/>
      <c r="B898" s="11"/>
      <c r="C898" s="10"/>
      <c r="D898" s="11"/>
      <c r="E898" s="10"/>
      <c r="F898" s="1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0"/>
      <c r="V898" s="11"/>
      <c r="W898" s="10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2.75" customHeight="1">
      <c r="A899" s="10"/>
      <c r="B899" s="11"/>
      <c r="C899" s="10"/>
      <c r="D899" s="11"/>
      <c r="E899" s="10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0"/>
      <c r="V899" s="11"/>
      <c r="W899" s="10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2.75" customHeight="1">
      <c r="A900" s="10"/>
      <c r="B900" s="11"/>
      <c r="C900" s="10"/>
      <c r="D900" s="11"/>
      <c r="E900" s="10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0"/>
      <c r="V900" s="11"/>
      <c r="W900" s="10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2.75" customHeight="1">
      <c r="A901" s="10"/>
      <c r="B901" s="11"/>
      <c r="C901" s="10"/>
      <c r="D901" s="11"/>
      <c r="E901" s="10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0"/>
      <c r="V901" s="11"/>
      <c r="W901" s="10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2.75" customHeight="1">
      <c r="A902" s="10"/>
      <c r="B902" s="11"/>
      <c r="C902" s="10"/>
      <c r="D902" s="11"/>
      <c r="E902" s="10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0"/>
      <c r="V902" s="11"/>
      <c r="W902" s="10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2.75" customHeight="1">
      <c r="A903" s="10"/>
      <c r="B903" s="11"/>
      <c r="C903" s="10"/>
      <c r="D903" s="11"/>
      <c r="E903" s="10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0"/>
      <c r="V903" s="11"/>
      <c r="W903" s="10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2.75" customHeight="1">
      <c r="A904" s="10"/>
      <c r="B904" s="11"/>
      <c r="C904" s="10"/>
      <c r="D904" s="11"/>
      <c r="E904" s="10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0"/>
      <c r="V904" s="11"/>
      <c r="W904" s="10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2.75" customHeight="1">
      <c r="A905" s="10"/>
      <c r="B905" s="11"/>
      <c r="C905" s="10"/>
      <c r="D905" s="11"/>
      <c r="E905" s="10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0"/>
      <c r="V905" s="11"/>
      <c r="W905" s="10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2.75" customHeight="1">
      <c r="A906" s="10"/>
      <c r="B906" s="11"/>
      <c r="C906" s="10"/>
      <c r="D906" s="11"/>
      <c r="E906" s="10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0"/>
      <c r="V906" s="11"/>
      <c r="W906" s="10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2.75" customHeight="1">
      <c r="A907" s="10"/>
      <c r="B907" s="11"/>
      <c r="C907" s="10"/>
      <c r="D907" s="11"/>
      <c r="E907" s="10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0"/>
      <c r="V907" s="11"/>
      <c r="W907" s="10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2.75" customHeight="1">
      <c r="A908" s="10"/>
      <c r="B908" s="11"/>
      <c r="C908" s="10"/>
      <c r="D908" s="11"/>
      <c r="E908" s="10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0"/>
      <c r="V908" s="11"/>
      <c r="W908" s="10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2.75" customHeight="1">
      <c r="A909" s="10"/>
      <c r="B909" s="11"/>
      <c r="C909" s="10"/>
      <c r="D909" s="11"/>
      <c r="E909" s="10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0"/>
      <c r="V909" s="11"/>
      <c r="W909" s="10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2.75" customHeight="1">
      <c r="A910" s="10"/>
      <c r="B910" s="11"/>
      <c r="C910" s="10"/>
      <c r="D910" s="11"/>
      <c r="E910" s="10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0"/>
      <c r="V910" s="11"/>
      <c r="W910" s="10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2.75" customHeight="1">
      <c r="A911" s="10"/>
      <c r="B911" s="11"/>
      <c r="C911" s="10"/>
      <c r="D911" s="11"/>
      <c r="E911" s="10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0"/>
      <c r="V911" s="11"/>
      <c r="W911" s="10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2.75" customHeight="1">
      <c r="A912" s="10"/>
      <c r="B912" s="11"/>
      <c r="C912" s="10"/>
      <c r="D912" s="11"/>
      <c r="E912" s="10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0"/>
      <c r="V912" s="11"/>
      <c r="W912" s="10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2.75" customHeight="1">
      <c r="A913" s="10"/>
      <c r="B913" s="11"/>
      <c r="C913" s="10"/>
      <c r="D913" s="11"/>
      <c r="E913" s="10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0"/>
      <c r="V913" s="11"/>
      <c r="W913" s="10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2.75" customHeight="1">
      <c r="A914" s="10"/>
      <c r="B914" s="11"/>
      <c r="C914" s="10"/>
      <c r="D914" s="11"/>
      <c r="E914" s="10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0"/>
      <c r="V914" s="11"/>
      <c r="W914" s="10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2.75" customHeight="1">
      <c r="A915" s="10"/>
      <c r="B915" s="11"/>
      <c r="C915" s="10"/>
      <c r="D915" s="11"/>
      <c r="E915" s="10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0"/>
      <c r="V915" s="11"/>
      <c r="W915" s="10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2.75" customHeight="1">
      <c r="A916" s="10"/>
      <c r="B916" s="11"/>
      <c r="C916" s="10"/>
      <c r="D916" s="11"/>
      <c r="E916" s="10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0"/>
      <c r="V916" s="11"/>
      <c r="W916" s="10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2.75" customHeight="1">
      <c r="A917" s="10"/>
      <c r="B917" s="11"/>
      <c r="C917" s="10"/>
      <c r="D917" s="11"/>
      <c r="E917" s="10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0"/>
      <c r="V917" s="11"/>
      <c r="W917" s="10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2.75" customHeight="1">
      <c r="A918" s="10"/>
      <c r="B918" s="11"/>
      <c r="C918" s="10"/>
      <c r="D918" s="11"/>
      <c r="E918" s="10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0"/>
      <c r="V918" s="11"/>
      <c r="W918" s="10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2.75" customHeight="1">
      <c r="A919" s="10"/>
      <c r="B919" s="11"/>
      <c r="C919" s="10"/>
      <c r="D919" s="11"/>
      <c r="E919" s="10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0"/>
      <c r="V919" s="11"/>
      <c r="W919" s="10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2.75" customHeight="1">
      <c r="A920" s="10"/>
      <c r="B920" s="11"/>
      <c r="C920" s="10"/>
      <c r="D920" s="11"/>
      <c r="E920" s="10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0"/>
      <c r="V920" s="11"/>
      <c r="W920" s="10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2.75" customHeight="1">
      <c r="A921" s="10"/>
      <c r="B921" s="11"/>
      <c r="C921" s="10"/>
      <c r="D921" s="11"/>
      <c r="E921" s="10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0"/>
      <c r="V921" s="11"/>
      <c r="W921" s="10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2.75" customHeight="1">
      <c r="A922" s="10"/>
      <c r="B922" s="11"/>
      <c r="C922" s="10"/>
      <c r="D922" s="11"/>
      <c r="E922" s="10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0"/>
      <c r="V922" s="11"/>
      <c r="W922" s="10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2.75" customHeight="1">
      <c r="A923" s="10"/>
      <c r="B923" s="11"/>
      <c r="C923" s="10"/>
      <c r="D923" s="11"/>
      <c r="E923" s="10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0"/>
      <c r="V923" s="11"/>
      <c r="W923" s="10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2.75" customHeight="1">
      <c r="A924" s="10"/>
      <c r="B924" s="11"/>
      <c r="C924" s="10"/>
      <c r="D924" s="11"/>
      <c r="E924" s="10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0"/>
      <c r="V924" s="11"/>
      <c r="W924" s="10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2.75" customHeight="1">
      <c r="A925" s="10"/>
      <c r="B925" s="11"/>
      <c r="C925" s="10"/>
      <c r="D925" s="11"/>
      <c r="E925" s="10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0"/>
      <c r="V925" s="11"/>
      <c r="W925" s="10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2.75" customHeight="1">
      <c r="A926" s="10"/>
      <c r="B926" s="11"/>
      <c r="C926" s="10"/>
      <c r="D926" s="11"/>
      <c r="E926" s="10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0"/>
      <c r="V926" s="11"/>
      <c r="W926" s="10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2.75" customHeight="1">
      <c r="A927" s="10"/>
      <c r="B927" s="11"/>
      <c r="C927" s="10"/>
      <c r="D927" s="11"/>
      <c r="E927" s="10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0"/>
      <c r="V927" s="11"/>
      <c r="W927" s="10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2.75" customHeight="1">
      <c r="A928" s="10"/>
      <c r="B928" s="11"/>
      <c r="C928" s="10"/>
      <c r="D928" s="11"/>
      <c r="E928" s="10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0"/>
      <c r="V928" s="11"/>
      <c r="W928" s="10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2.75" customHeight="1">
      <c r="A929" s="10"/>
      <c r="B929" s="11"/>
      <c r="C929" s="10"/>
      <c r="D929" s="11"/>
      <c r="E929" s="10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0"/>
      <c r="V929" s="11"/>
      <c r="W929" s="10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2.75" customHeight="1">
      <c r="A930" s="10"/>
      <c r="B930" s="11"/>
      <c r="C930" s="10"/>
      <c r="D930" s="11"/>
      <c r="E930" s="10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0"/>
      <c r="V930" s="11"/>
      <c r="W930" s="10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2.75" customHeight="1">
      <c r="A931" s="10"/>
      <c r="B931" s="11"/>
      <c r="C931" s="10"/>
      <c r="D931" s="11"/>
      <c r="E931" s="10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0"/>
      <c r="V931" s="11"/>
      <c r="W931" s="10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2.75" customHeight="1">
      <c r="A932" s="10"/>
      <c r="B932" s="11"/>
      <c r="C932" s="10"/>
      <c r="D932" s="11"/>
      <c r="E932" s="10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0"/>
      <c r="V932" s="11"/>
      <c r="W932" s="10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2.75" customHeight="1">
      <c r="A933" s="10"/>
      <c r="B933" s="11"/>
      <c r="C933" s="10"/>
      <c r="D933" s="11"/>
      <c r="E933" s="10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0"/>
      <c r="V933" s="11"/>
      <c r="W933" s="10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2.75" customHeight="1">
      <c r="A934" s="10"/>
      <c r="B934" s="11"/>
      <c r="C934" s="10"/>
      <c r="D934" s="11"/>
      <c r="E934" s="10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0"/>
      <c r="V934" s="11"/>
      <c r="W934" s="10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2.75" customHeight="1">
      <c r="A935" s="10"/>
      <c r="B935" s="11"/>
      <c r="C935" s="10"/>
      <c r="D935" s="11"/>
      <c r="E935" s="10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0"/>
      <c r="V935" s="11"/>
      <c r="W935" s="10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2.75" customHeight="1">
      <c r="A936" s="10"/>
      <c r="B936" s="11"/>
      <c r="C936" s="10"/>
      <c r="D936" s="11"/>
      <c r="E936" s="10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0"/>
      <c r="V936" s="11"/>
      <c r="W936" s="10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2.75" customHeight="1">
      <c r="A937" s="10"/>
      <c r="B937" s="11"/>
      <c r="C937" s="10"/>
      <c r="D937" s="11"/>
      <c r="E937" s="10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0"/>
      <c r="V937" s="11"/>
      <c r="W937" s="10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2.75" customHeight="1">
      <c r="A938" s="10"/>
      <c r="B938" s="11"/>
      <c r="C938" s="10"/>
      <c r="D938" s="11"/>
      <c r="E938" s="10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0"/>
      <c r="V938" s="11"/>
      <c r="W938" s="10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2.75" customHeight="1">
      <c r="A939" s="10"/>
      <c r="B939" s="11"/>
      <c r="C939" s="10"/>
      <c r="D939" s="11"/>
      <c r="E939" s="10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0"/>
      <c r="V939" s="11"/>
      <c r="W939" s="10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2.75" customHeight="1">
      <c r="A940" s="10"/>
      <c r="B940" s="11"/>
      <c r="C940" s="10"/>
      <c r="D940" s="11"/>
      <c r="E940" s="10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0"/>
      <c r="V940" s="11"/>
      <c r="W940" s="10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2.75" customHeight="1">
      <c r="A941" s="10"/>
      <c r="B941" s="11"/>
      <c r="C941" s="10"/>
      <c r="D941" s="11"/>
      <c r="E941" s="10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0"/>
      <c r="V941" s="11"/>
      <c r="W941" s="10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2.75" customHeight="1">
      <c r="A942" s="10"/>
      <c r="B942" s="11"/>
      <c r="C942" s="10"/>
      <c r="D942" s="11"/>
      <c r="E942" s="10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0"/>
      <c r="V942" s="11"/>
      <c r="W942" s="10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2.75" customHeight="1">
      <c r="A943" s="10"/>
      <c r="B943" s="11"/>
      <c r="C943" s="10"/>
      <c r="D943" s="11"/>
      <c r="E943" s="10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0"/>
      <c r="V943" s="11"/>
      <c r="W943" s="10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2.75" customHeight="1">
      <c r="A944" s="10"/>
      <c r="B944" s="11"/>
      <c r="C944" s="10"/>
      <c r="D944" s="11"/>
      <c r="E944" s="10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0"/>
      <c r="V944" s="11"/>
      <c r="W944" s="10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2.75" customHeight="1">
      <c r="A945" s="10"/>
      <c r="B945" s="11"/>
      <c r="C945" s="10"/>
      <c r="D945" s="11"/>
      <c r="E945" s="10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0"/>
      <c r="V945" s="11"/>
      <c r="W945" s="10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2.75" customHeight="1">
      <c r="A946" s="10"/>
      <c r="B946" s="11"/>
      <c r="C946" s="10"/>
      <c r="D946" s="11"/>
      <c r="E946" s="10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0"/>
      <c r="V946" s="11"/>
      <c r="W946" s="10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2.75" customHeight="1">
      <c r="A947" s="10"/>
      <c r="B947" s="11"/>
      <c r="C947" s="10"/>
      <c r="D947" s="11"/>
      <c r="E947" s="10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0"/>
      <c r="V947" s="11"/>
      <c r="W947" s="10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2.75" customHeight="1">
      <c r="A948" s="10"/>
      <c r="B948" s="11"/>
      <c r="C948" s="10"/>
      <c r="D948" s="11"/>
      <c r="E948" s="10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0"/>
      <c r="V948" s="11"/>
      <c r="W948" s="10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2.75" customHeight="1">
      <c r="A949" s="10"/>
      <c r="B949" s="11"/>
      <c r="C949" s="10"/>
      <c r="D949" s="11"/>
      <c r="E949" s="10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0"/>
      <c r="V949" s="11"/>
      <c r="W949" s="10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2.75" customHeight="1">
      <c r="A950" s="10"/>
      <c r="B950" s="11"/>
      <c r="C950" s="10"/>
      <c r="D950" s="11"/>
      <c r="E950" s="10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0"/>
      <c r="V950" s="11"/>
      <c r="W950" s="10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2.75" customHeight="1">
      <c r="A951" s="10"/>
      <c r="B951" s="11"/>
      <c r="C951" s="10"/>
      <c r="D951" s="11"/>
      <c r="E951" s="10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0"/>
      <c r="V951" s="11"/>
      <c r="W951" s="10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2.75" customHeight="1">
      <c r="A952" s="10"/>
      <c r="B952" s="11"/>
      <c r="C952" s="10"/>
      <c r="D952" s="11"/>
      <c r="E952" s="10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0"/>
      <c r="V952" s="11"/>
      <c r="W952" s="10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2.75" customHeight="1">
      <c r="A953" s="10"/>
      <c r="B953" s="11"/>
      <c r="C953" s="10"/>
      <c r="D953" s="11"/>
      <c r="E953" s="10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0"/>
      <c r="V953" s="11"/>
      <c r="W953" s="10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2.75" customHeight="1">
      <c r="A954" s="10"/>
      <c r="B954" s="11"/>
      <c r="C954" s="10"/>
      <c r="D954" s="11"/>
      <c r="E954" s="10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0"/>
      <c r="V954" s="11"/>
      <c r="W954" s="10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2.75" customHeight="1">
      <c r="A955" s="10"/>
      <c r="B955" s="11"/>
      <c r="C955" s="10"/>
      <c r="D955" s="11"/>
      <c r="E955" s="10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0"/>
      <c r="V955" s="11"/>
      <c r="W955" s="10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2.75" customHeight="1">
      <c r="A956" s="10"/>
      <c r="B956" s="11"/>
      <c r="C956" s="10"/>
      <c r="D956" s="11"/>
      <c r="E956" s="10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0"/>
      <c r="V956" s="11"/>
      <c r="W956" s="10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2.75" customHeight="1">
      <c r="A957" s="10"/>
      <c r="B957" s="11"/>
      <c r="C957" s="10"/>
      <c r="D957" s="11"/>
      <c r="E957" s="10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0"/>
      <c r="V957" s="11"/>
      <c r="W957" s="10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2.75" customHeight="1">
      <c r="A958" s="10"/>
      <c r="B958" s="11"/>
      <c r="C958" s="10"/>
      <c r="D958" s="11"/>
      <c r="E958" s="10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0"/>
      <c r="V958" s="11"/>
      <c r="W958" s="10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2.75" customHeight="1">
      <c r="A959" s="10"/>
      <c r="B959" s="11"/>
      <c r="C959" s="10"/>
      <c r="D959" s="11"/>
      <c r="E959" s="10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0"/>
      <c r="V959" s="11"/>
      <c r="W959" s="10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2.75" customHeight="1">
      <c r="A960" s="10"/>
      <c r="B960" s="11"/>
      <c r="C960" s="10"/>
      <c r="D960" s="11"/>
      <c r="E960" s="10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0"/>
      <c r="V960" s="11"/>
      <c r="W960" s="10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2.75" customHeight="1">
      <c r="A961" s="10"/>
      <c r="B961" s="11"/>
      <c r="C961" s="10"/>
      <c r="D961" s="11"/>
      <c r="E961" s="10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0"/>
      <c r="V961" s="11"/>
      <c r="W961" s="10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2.75" customHeight="1">
      <c r="A962" s="10"/>
      <c r="B962" s="11"/>
      <c r="C962" s="10"/>
      <c r="D962" s="11"/>
      <c r="E962" s="10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0"/>
      <c r="V962" s="11"/>
      <c r="W962" s="10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2.75" customHeight="1">
      <c r="A963" s="10"/>
      <c r="B963" s="11"/>
      <c r="C963" s="10"/>
      <c r="D963" s="11"/>
      <c r="E963" s="10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0"/>
      <c r="V963" s="11"/>
      <c r="W963" s="10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2.75" customHeight="1">
      <c r="A964" s="10"/>
      <c r="B964" s="11"/>
      <c r="C964" s="10"/>
      <c r="D964" s="11"/>
      <c r="E964" s="10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0"/>
      <c r="V964" s="11"/>
      <c r="W964" s="10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2.75" customHeight="1">
      <c r="A965" s="10"/>
      <c r="B965" s="11"/>
      <c r="C965" s="10"/>
      <c r="D965" s="11"/>
      <c r="E965" s="10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0"/>
      <c r="V965" s="11"/>
      <c r="W965" s="10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2.75" customHeight="1">
      <c r="A966" s="10"/>
      <c r="B966" s="11"/>
      <c r="C966" s="10"/>
      <c r="D966" s="11"/>
      <c r="E966" s="10"/>
      <c r="F966" s="1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0"/>
      <c r="V966" s="11"/>
      <c r="W966" s="10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2.75" customHeight="1">
      <c r="A967" s="10"/>
      <c r="B967" s="11"/>
      <c r="C967" s="10"/>
      <c r="D967" s="11"/>
      <c r="E967" s="10"/>
      <c r="F967" s="1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0"/>
      <c r="V967" s="11"/>
      <c r="W967" s="10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2.75" customHeight="1">
      <c r="A968" s="10"/>
      <c r="B968" s="11"/>
      <c r="C968" s="10"/>
      <c r="D968" s="11"/>
      <c r="E968" s="10"/>
      <c r="F968" s="1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0"/>
      <c r="V968" s="11"/>
      <c r="W968" s="10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2.75" customHeight="1">
      <c r="A969" s="10"/>
      <c r="B969" s="11"/>
      <c r="C969" s="10"/>
      <c r="D969" s="11"/>
      <c r="E969" s="10"/>
      <c r="F969" s="1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0"/>
      <c r="V969" s="11"/>
      <c r="W969" s="10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2.75" customHeight="1">
      <c r="A970" s="10"/>
      <c r="B970" s="11"/>
      <c r="C970" s="10"/>
      <c r="D970" s="11"/>
      <c r="E970" s="10"/>
      <c r="F970" s="1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0"/>
      <c r="V970" s="11"/>
      <c r="W970" s="10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2.75" customHeight="1">
      <c r="A971" s="10"/>
      <c r="B971" s="11"/>
      <c r="C971" s="10"/>
      <c r="D971" s="11"/>
      <c r="E971" s="10"/>
      <c r="F971" s="1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0"/>
      <c r="V971" s="11"/>
      <c r="W971" s="10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2.75" customHeight="1">
      <c r="A972" s="10"/>
      <c r="B972" s="11"/>
      <c r="C972" s="10"/>
      <c r="D972" s="11"/>
      <c r="E972" s="10"/>
      <c r="F972" s="1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0"/>
      <c r="V972" s="11"/>
      <c r="W972" s="10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2.75" customHeight="1">
      <c r="A973" s="10"/>
      <c r="B973" s="11"/>
      <c r="C973" s="10"/>
      <c r="D973" s="11"/>
      <c r="E973" s="10"/>
      <c r="F973" s="1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0"/>
      <c r="V973" s="11"/>
      <c r="W973" s="10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2.75" customHeight="1">
      <c r="A974" s="10"/>
      <c r="B974" s="11"/>
      <c r="C974" s="10"/>
      <c r="D974" s="11"/>
      <c r="E974" s="10"/>
      <c r="F974" s="1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0"/>
      <c r="V974" s="11"/>
      <c r="W974" s="10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2.75" customHeight="1">
      <c r="A975" s="10"/>
      <c r="B975" s="11"/>
      <c r="C975" s="10"/>
      <c r="D975" s="11"/>
      <c r="E975" s="10"/>
      <c r="F975" s="1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0"/>
      <c r="V975" s="11"/>
      <c r="W975" s="10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2.75" customHeight="1">
      <c r="A976" s="10"/>
      <c r="B976" s="11"/>
      <c r="C976" s="10"/>
      <c r="D976" s="11"/>
      <c r="E976" s="10"/>
      <c r="F976" s="1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0"/>
      <c r="V976" s="11"/>
      <c r="W976" s="10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2.75" customHeight="1">
      <c r="A977" s="10"/>
      <c r="B977" s="11"/>
      <c r="C977" s="10"/>
      <c r="D977" s="11"/>
      <c r="E977" s="10"/>
      <c r="F977" s="1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0"/>
      <c r="V977" s="11"/>
      <c r="W977" s="10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2.75" customHeight="1">
      <c r="A978" s="10"/>
      <c r="B978" s="11"/>
      <c r="C978" s="10"/>
      <c r="D978" s="11"/>
      <c r="E978" s="10"/>
      <c r="F978" s="1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0"/>
      <c r="V978" s="11"/>
      <c r="W978" s="10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2.75" customHeight="1">
      <c r="A979" s="10"/>
      <c r="B979" s="11"/>
      <c r="C979" s="10"/>
      <c r="D979" s="11"/>
      <c r="E979" s="10"/>
      <c r="F979" s="1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0"/>
      <c r="V979" s="11"/>
      <c r="W979" s="10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2.75" customHeight="1">
      <c r="A980" s="10"/>
      <c r="B980" s="11"/>
      <c r="C980" s="10"/>
      <c r="D980" s="11"/>
      <c r="E980" s="10"/>
      <c r="F980" s="1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0"/>
      <c r="V980" s="11"/>
      <c r="W980" s="10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2.75" customHeight="1">
      <c r="A981" s="10"/>
      <c r="B981" s="11"/>
      <c r="C981" s="10"/>
      <c r="D981" s="11"/>
      <c r="E981" s="10"/>
      <c r="F981" s="1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0"/>
      <c r="V981" s="11"/>
      <c r="W981" s="10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2.75" customHeight="1">
      <c r="A982" s="10"/>
      <c r="B982" s="11"/>
      <c r="C982" s="10"/>
      <c r="D982" s="11"/>
      <c r="E982" s="10"/>
      <c r="F982" s="1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0"/>
      <c r="V982" s="11"/>
      <c r="W982" s="10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2.75" customHeight="1">
      <c r="A983" s="10"/>
      <c r="B983" s="11"/>
      <c r="C983" s="10"/>
      <c r="D983" s="11"/>
      <c r="E983" s="10"/>
      <c r="F983" s="1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0"/>
      <c r="V983" s="11"/>
      <c r="W983" s="10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2.75" customHeight="1">
      <c r="A984" s="10"/>
      <c r="B984" s="11"/>
      <c r="C984" s="10"/>
      <c r="D984" s="11"/>
      <c r="E984" s="10"/>
      <c r="F984" s="1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0"/>
      <c r="V984" s="11"/>
      <c r="W984" s="10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2.75" customHeight="1">
      <c r="A985" s="10"/>
      <c r="B985" s="11"/>
      <c r="C985" s="10"/>
      <c r="D985" s="11"/>
      <c r="E985" s="10"/>
      <c r="F985" s="1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0"/>
      <c r="V985" s="11"/>
      <c r="W985" s="10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2.75" customHeight="1">
      <c r="A986" s="10"/>
      <c r="B986" s="11"/>
      <c r="C986" s="10"/>
      <c r="D986" s="11"/>
      <c r="E986" s="10"/>
      <c r="F986" s="1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0"/>
      <c r="V986" s="11"/>
      <c r="W986" s="10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2.75" customHeight="1">
      <c r="A987" s="10"/>
      <c r="B987" s="11"/>
      <c r="C987" s="10"/>
      <c r="D987" s="11"/>
      <c r="E987" s="10"/>
      <c r="F987" s="1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0"/>
      <c r="V987" s="11"/>
      <c r="W987" s="10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2.75" customHeight="1">
      <c r="A988" s="10"/>
      <c r="B988" s="11"/>
      <c r="C988" s="10"/>
      <c r="D988" s="11"/>
      <c r="E988" s="10"/>
      <c r="F988" s="1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0"/>
      <c r="V988" s="11"/>
      <c r="W988" s="10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2.75" customHeight="1">
      <c r="A989" s="10"/>
      <c r="B989" s="11"/>
      <c r="C989" s="10"/>
      <c r="D989" s="11"/>
      <c r="E989" s="10"/>
      <c r="F989" s="1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0"/>
      <c r="V989" s="11"/>
      <c r="W989" s="10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2.75" customHeight="1">
      <c r="A990" s="10"/>
      <c r="B990" s="11"/>
      <c r="C990" s="10"/>
      <c r="D990" s="11"/>
      <c r="E990" s="10"/>
      <c r="F990" s="1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0"/>
      <c r="V990" s="11"/>
      <c r="W990" s="10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2.75" customHeight="1">
      <c r="A991" s="10"/>
      <c r="B991" s="11"/>
      <c r="C991" s="10"/>
      <c r="D991" s="11"/>
      <c r="E991" s="10"/>
      <c r="F991" s="1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0"/>
      <c r="V991" s="11"/>
      <c r="W991" s="10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2.75" customHeight="1">
      <c r="A992" s="10"/>
      <c r="B992" s="11"/>
      <c r="C992" s="10"/>
      <c r="D992" s="11"/>
      <c r="E992" s="10"/>
      <c r="F992" s="1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0"/>
      <c r="V992" s="11"/>
      <c r="W992" s="10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2.75" customHeight="1">
      <c r="A993" s="10"/>
      <c r="B993" s="11"/>
      <c r="C993" s="10"/>
      <c r="D993" s="11"/>
      <c r="E993" s="10"/>
      <c r="F993" s="1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0"/>
      <c r="V993" s="11"/>
      <c r="W993" s="10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2.75" customHeight="1">
      <c r="A994" s="10"/>
      <c r="B994" s="11"/>
      <c r="C994" s="10"/>
      <c r="D994" s="11"/>
      <c r="E994" s="10"/>
      <c r="F994" s="1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0"/>
      <c r="V994" s="11"/>
      <c r="W994" s="10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2.75" customHeight="1">
      <c r="A995" s="10"/>
      <c r="B995" s="11"/>
      <c r="C995" s="10"/>
      <c r="D995" s="11"/>
      <c r="E995" s="10"/>
      <c r="F995" s="1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0"/>
      <c r="V995" s="11"/>
      <c r="W995" s="10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2.75" customHeight="1">
      <c r="A996" s="10"/>
      <c r="B996" s="11"/>
      <c r="C996" s="10"/>
      <c r="D996" s="11"/>
      <c r="E996" s="10"/>
      <c r="F996" s="1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0"/>
      <c r="V996" s="11"/>
      <c r="W996" s="10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2.75" customHeight="1">
      <c r="A997" s="10"/>
      <c r="B997" s="11"/>
      <c r="C997" s="10"/>
      <c r="D997" s="11"/>
      <c r="E997" s="10"/>
      <c r="F997" s="1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0"/>
      <c r="V997" s="11"/>
      <c r="W997" s="10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2.75" customHeight="1">
      <c r="A998" s="10"/>
      <c r="B998" s="11"/>
      <c r="C998" s="10"/>
      <c r="D998" s="11"/>
      <c r="E998" s="10"/>
      <c r="F998" s="1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0"/>
      <c r="V998" s="11"/>
      <c r="W998" s="10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2.75" customHeight="1">
      <c r="A999" s="10"/>
      <c r="B999" s="11"/>
      <c r="C999" s="10"/>
      <c r="D999" s="11"/>
      <c r="E999" s="10"/>
      <c r="F999" s="1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0"/>
      <c r="V999" s="11"/>
      <c r="W999" s="10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2.75" customHeight="1">
      <c r="A1000" s="10"/>
      <c r="B1000" s="11"/>
      <c r="C1000" s="10"/>
      <c r="D1000" s="11"/>
      <c r="E1000" s="10"/>
      <c r="F1000" s="1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0"/>
      <c r="V1000" s="11"/>
      <c r="W1000" s="10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5.13" defaultRowHeight="15.0"/>
  <cols>
    <col customWidth="1" min="1" max="1" width="4.0"/>
    <col customWidth="1" min="2" max="2" width="7.75"/>
    <col customWidth="1" min="3" max="3" width="10.88"/>
    <col customWidth="1" min="4" max="4" width="3.0"/>
    <col customWidth="1" min="5" max="5" width="2.63"/>
    <col customWidth="1" min="6" max="6" width="6.63"/>
    <col customWidth="1" min="7" max="7" width="2.75"/>
    <col customWidth="1" min="8" max="9" width="3.5"/>
    <col customWidth="1" min="10" max="10" width="2.75"/>
    <col customWidth="1" min="11" max="11" width="3.25"/>
    <col customWidth="1" min="12" max="12" width="3.13"/>
    <col customWidth="1" min="13" max="13" width="4.63"/>
    <col customWidth="1" min="14" max="19" width="3.63"/>
    <col customWidth="1" min="20" max="20" width="5.38"/>
    <col customWidth="1" min="21" max="21" width="3.13"/>
    <col customWidth="1" min="22" max="22" width="9.0"/>
    <col customWidth="1" min="23" max="23" width="3.13"/>
    <col customWidth="1" min="24" max="24" width="9.75"/>
    <col customWidth="1" min="25" max="25" width="7.5"/>
    <col customWidth="1" min="26" max="26" width="7.88"/>
    <col customWidth="1" min="27" max="3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3">
        <v>1.0</v>
      </c>
      <c r="B2" s="4" t="s">
        <v>26</v>
      </c>
      <c r="C2" s="3"/>
      <c r="D2" s="4">
        <v>10.0</v>
      </c>
      <c r="E2" s="3">
        <v>6.0</v>
      </c>
      <c r="F2" s="3">
        <f t="shared" ref="F2:F49" si="1">D2-E2</f>
        <v>4</v>
      </c>
      <c r="G2" s="5">
        <v>2.0</v>
      </c>
      <c r="H2" s="5">
        <v>0.0</v>
      </c>
      <c r="I2" s="5">
        <v>2.0</v>
      </c>
      <c r="J2" s="5">
        <v>4.0</v>
      </c>
      <c r="K2" s="5">
        <v>4.0</v>
      </c>
      <c r="L2" s="5">
        <v>4.0</v>
      </c>
      <c r="M2" s="4" t="s">
        <v>36</v>
      </c>
      <c r="N2" s="5">
        <f>(E2-1)+VLOOKUP(M2,Size,2,0)</f>
        <v>6</v>
      </c>
      <c r="O2" s="5">
        <f>VLOOKUP(E2,LevelData,4)</f>
        <v>6</v>
      </c>
      <c r="P2" s="5">
        <f>O2+VLOOKUP(M2,Size,3,0)</f>
        <v>7</v>
      </c>
      <c r="Q2" s="5">
        <f t="shared" ref="Q2:Q49" si="2">R2</f>
        <v>5</v>
      </c>
      <c r="R2" s="5">
        <f>VLOOKUP(E2,LevelData,2)</f>
        <v>5</v>
      </c>
      <c r="S2" s="5">
        <f t="shared" ref="S2:S49" si="3">R2</f>
        <v>5</v>
      </c>
      <c r="T2" s="4" t="s">
        <v>129</v>
      </c>
      <c r="U2" s="3">
        <v>14.0</v>
      </c>
      <c r="V2" s="6"/>
      <c r="W2" s="3"/>
      <c r="X2" s="4" t="s">
        <v>196</v>
      </c>
      <c r="Y2" s="3" t="s">
        <v>94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3">
        <f t="shared" ref="A3:A49" si="4">A2+1</f>
        <v>2</v>
      </c>
      <c r="B3" s="4"/>
      <c r="C3" s="3"/>
      <c r="D3" s="4">
        <f t="shared" ref="D3:D49" si="5">D2+1</f>
        <v>11</v>
      </c>
      <c r="E3" s="3">
        <v>7.0</v>
      </c>
      <c r="F3" s="3">
        <f t="shared" si="1"/>
        <v>4</v>
      </c>
      <c r="G3" s="5">
        <v>0.0</v>
      </c>
      <c r="H3" s="5">
        <v>0.0</v>
      </c>
      <c r="I3" s="5">
        <v>1.0</v>
      </c>
      <c r="J3" s="5">
        <v>0.0</v>
      </c>
      <c r="K3" s="5">
        <v>0.0</v>
      </c>
      <c r="L3" s="5">
        <v>0.0</v>
      </c>
      <c r="M3" s="4" t="s">
        <v>36</v>
      </c>
      <c r="N3" s="5">
        <f>(E3-1)+VLOOKUP(M3,Size,2,0)</f>
        <v>7</v>
      </c>
      <c r="O3" s="5">
        <f>VLOOKUP(E3,LevelData,4)</f>
        <v>7</v>
      </c>
      <c r="P3" s="5">
        <f>O3+VLOOKUP(M3,Size,3,0)</f>
        <v>8</v>
      </c>
      <c r="Q3" s="5">
        <f t="shared" si="2"/>
        <v>5</v>
      </c>
      <c r="R3" s="5">
        <f>VLOOKUP(E3,LevelData,2)</f>
        <v>5</v>
      </c>
      <c r="S3" s="5">
        <f t="shared" si="3"/>
        <v>5</v>
      </c>
      <c r="T3" s="4" t="s">
        <v>131</v>
      </c>
      <c r="U3" s="3">
        <v>15.0</v>
      </c>
      <c r="V3" s="4"/>
      <c r="W3" s="3"/>
      <c r="X3" s="4" t="s">
        <v>96</v>
      </c>
      <c r="Y3" s="3" t="s">
        <v>132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7">
        <f t="shared" si="4"/>
        <v>3</v>
      </c>
      <c r="B4" s="8"/>
      <c r="C4" s="7"/>
      <c r="D4" s="8">
        <f t="shared" si="5"/>
        <v>12</v>
      </c>
      <c r="E4" s="7">
        <v>8.0</v>
      </c>
      <c r="F4" s="7">
        <f t="shared" si="1"/>
        <v>4</v>
      </c>
      <c r="G4" s="9">
        <v>1.0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8" t="s">
        <v>36</v>
      </c>
      <c r="N4" s="9">
        <f>(E4-1)+VLOOKUP(M4,Size,2,0)</f>
        <v>8</v>
      </c>
      <c r="O4" s="9">
        <f>VLOOKUP(E4,LevelData,4)</f>
        <v>8</v>
      </c>
      <c r="P4" s="9">
        <f>O4+VLOOKUP(M4,Size,3,0)</f>
        <v>9</v>
      </c>
      <c r="Q4" s="9">
        <f t="shared" si="2"/>
        <v>6</v>
      </c>
      <c r="R4" s="9">
        <f>VLOOKUP(E4,LevelData,2)</f>
        <v>6</v>
      </c>
      <c r="S4" s="9">
        <f t="shared" si="3"/>
        <v>6</v>
      </c>
      <c r="T4" s="8" t="s">
        <v>131</v>
      </c>
      <c r="U4" s="7">
        <v>15.0</v>
      </c>
      <c r="V4" s="8"/>
      <c r="W4" s="7"/>
      <c r="X4" s="8" t="s">
        <v>197</v>
      </c>
      <c r="Y4" s="7" t="s">
        <v>198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12.75" customHeight="1">
      <c r="A5" s="10">
        <f t="shared" si="4"/>
        <v>4</v>
      </c>
      <c r="B5" s="11" t="s">
        <v>35</v>
      </c>
      <c r="C5" s="10"/>
      <c r="D5" s="11">
        <f t="shared" si="5"/>
        <v>13</v>
      </c>
      <c r="E5" s="10">
        <v>9.0</v>
      </c>
      <c r="F5" s="10">
        <f t="shared" si="1"/>
        <v>4</v>
      </c>
      <c r="G5" s="12">
        <v>1.0</v>
      </c>
      <c r="H5" s="12">
        <v>0.0</v>
      </c>
      <c r="I5" s="12">
        <v>1.0</v>
      </c>
      <c r="J5" s="12">
        <v>0.0</v>
      </c>
      <c r="K5" s="12">
        <v>0.0</v>
      </c>
      <c r="L5" s="12">
        <v>1.0</v>
      </c>
      <c r="M5" s="11" t="s">
        <v>40</v>
      </c>
      <c r="N5" s="12">
        <f>(E5-1)+VLOOKUP(M5,Size,2,0)</f>
        <v>8</v>
      </c>
      <c r="O5" s="12">
        <f>VLOOKUP(E5,LevelData,4)</f>
        <v>9</v>
      </c>
      <c r="P5" s="12">
        <f>O5+VLOOKUP(M5,Size,3,0)</f>
        <v>9</v>
      </c>
      <c r="Q5" s="12">
        <f t="shared" si="2"/>
        <v>6</v>
      </c>
      <c r="R5" s="12">
        <f>VLOOKUP(E5,LevelData,2)</f>
        <v>6</v>
      </c>
      <c r="S5" s="12">
        <f t="shared" si="3"/>
        <v>6</v>
      </c>
      <c r="T5" s="11" t="s">
        <v>133</v>
      </c>
      <c r="U5" s="10">
        <v>16.0</v>
      </c>
      <c r="V5" s="11"/>
      <c r="W5" s="10"/>
      <c r="X5" s="11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ht="12.75" customHeight="1">
      <c r="A6" s="10">
        <f t="shared" si="4"/>
        <v>5</v>
      </c>
      <c r="B6" s="11"/>
      <c r="C6" s="10"/>
      <c r="D6" s="11">
        <f t="shared" si="5"/>
        <v>14</v>
      </c>
      <c r="E6" s="10">
        <v>9.0</v>
      </c>
      <c r="F6" s="10">
        <f t="shared" si="1"/>
        <v>5</v>
      </c>
      <c r="G6" s="12">
        <v>0.0</v>
      </c>
      <c r="H6" s="12">
        <v>0.0</v>
      </c>
      <c r="I6" s="12">
        <v>0.0</v>
      </c>
      <c r="J6" s="12">
        <v>1.0</v>
      </c>
      <c r="K6" s="12">
        <v>0.0</v>
      </c>
      <c r="L6" s="12">
        <v>0.0</v>
      </c>
      <c r="M6" s="11" t="s">
        <v>40</v>
      </c>
      <c r="N6" s="12">
        <f>(E6-1)+VLOOKUP(M6,Size,2,0)</f>
        <v>8</v>
      </c>
      <c r="O6" s="12">
        <f>VLOOKUP(E6,LevelData,4)</f>
        <v>9</v>
      </c>
      <c r="P6" s="12">
        <f>O6+VLOOKUP(M6,Size,3,0)</f>
        <v>9</v>
      </c>
      <c r="Q6" s="12">
        <f t="shared" si="2"/>
        <v>6</v>
      </c>
      <c r="R6" s="12">
        <f>VLOOKUP(E6,LevelData,2)</f>
        <v>6</v>
      </c>
      <c r="S6" s="12">
        <f t="shared" si="3"/>
        <v>6</v>
      </c>
      <c r="T6" s="11" t="s">
        <v>133</v>
      </c>
      <c r="U6" s="10">
        <v>16.0</v>
      </c>
      <c r="V6" s="11"/>
      <c r="W6" s="10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2.75" customHeight="1">
      <c r="A7" s="10">
        <f t="shared" si="4"/>
        <v>6</v>
      </c>
      <c r="B7" s="11"/>
      <c r="C7" s="10"/>
      <c r="D7" s="11">
        <f t="shared" si="5"/>
        <v>15</v>
      </c>
      <c r="E7" s="10">
        <v>10.0</v>
      </c>
      <c r="F7" s="10">
        <f t="shared" si="1"/>
        <v>5</v>
      </c>
      <c r="G7" s="12">
        <v>1.0</v>
      </c>
      <c r="H7" s="12">
        <v>0.0</v>
      </c>
      <c r="I7" s="12">
        <v>0.0</v>
      </c>
      <c r="J7" s="12">
        <v>0.0</v>
      </c>
      <c r="K7" s="12">
        <v>1.0</v>
      </c>
      <c r="L7" s="12">
        <v>0.0</v>
      </c>
      <c r="M7" s="11" t="s">
        <v>40</v>
      </c>
      <c r="N7" s="12">
        <f>(E7-1)+VLOOKUP(M7,Size,2,0)</f>
        <v>9</v>
      </c>
      <c r="O7" s="12">
        <f>VLOOKUP(E7,LevelData,4)</f>
        <v>10</v>
      </c>
      <c r="P7" s="12">
        <f>O7+VLOOKUP(M7,Size,3,0)</f>
        <v>10</v>
      </c>
      <c r="Q7" s="12">
        <f t="shared" si="2"/>
        <v>7</v>
      </c>
      <c r="R7" s="12">
        <f>VLOOKUP(E7,LevelData,2)</f>
        <v>7</v>
      </c>
      <c r="S7" s="12">
        <f t="shared" si="3"/>
        <v>7</v>
      </c>
      <c r="T7" s="11" t="s">
        <v>134</v>
      </c>
      <c r="U7" s="10">
        <v>17.0</v>
      </c>
      <c r="V7" s="11"/>
      <c r="W7" s="10"/>
      <c r="X7" s="11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2.75" customHeight="1">
      <c r="A8" s="10">
        <f t="shared" si="4"/>
        <v>7</v>
      </c>
      <c r="B8" s="11"/>
      <c r="C8" s="10"/>
      <c r="D8" s="11">
        <f t="shared" si="5"/>
        <v>16</v>
      </c>
      <c r="E8" s="10">
        <v>11.0</v>
      </c>
      <c r="F8" s="10">
        <f t="shared" si="1"/>
        <v>5</v>
      </c>
      <c r="G8" s="12">
        <v>0.0</v>
      </c>
      <c r="H8" s="12">
        <v>0.0</v>
      </c>
      <c r="I8" s="12">
        <v>0.0</v>
      </c>
      <c r="J8" s="12">
        <v>0.0</v>
      </c>
      <c r="K8" s="12">
        <v>0.0</v>
      </c>
      <c r="L8" s="12">
        <v>0.0</v>
      </c>
      <c r="M8" s="11" t="s">
        <v>40</v>
      </c>
      <c r="N8" s="12">
        <f>(E8-1)+VLOOKUP(M8,Size,2,0)</f>
        <v>10</v>
      </c>
      <c r="O8" s="12">
        <f>VLOOKUP(E8,LevelData,4)</f>
        <v>11</v>
      </c>
      <c r="P8" s="12">
        <f>O8+VLOOKUP(M8,Size,3,0)</f>
        <v>11</v>
      </c>
      <c r="Q8" s="12">
        <f t="shared" si="2"/>
        <v>7</v>
      </c>
      <c r="R8" s="12">
        <f>VLOOKUP(E8,LevelData,2)</f>
        <v>7</v>
      </c>
      <c r="S8" s="12">
        <f t="shared" si="3"/>
        <v>7</v>
      </c>
      <c r="T8" s="11" t="s">
        <v>134</v>
      </c>
      <c r="U8" s="10">
        <v>17.0</v>
      </c>
      <c r="V8" s="11"/>
      <c r="W8" s="10"/>
      <c r="X8" s="11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12.75" customHeight="1">
      <c r="A9" s="1">
        <f t="shared" si="4"/>
        <v>8</v>
      </c>
      <c r="B9" s="2"/>
      <c r="C9" s="1"/>
      <c r="D9" s="2">
        <f t="shared" si="5"/>
        <v>17</v>
      </c>
      <c r="E9" s="1">
        <v>11.0</v>
      </c>
      <c r="F9" s="1">
        <f t="shared" si="1"/>
        <v>6</v>
      </c>
      <c r="G9" s="13">
        <v>1.0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2" t="s">
        <v>40</v>
      </c>
      <c r="N9" s="13">
        <f>(E9-1)+VLOOKUP(M9,Size,2,0)</f>
        <v>10</v>
      </c>
      <c r="O9" s="13">
        <f>VLOOKUP(E9,LevelData,4)</f>
        <v>11</v>
      </c>
      <c r="P9" s="13">
        <f>O9+VLOOKUP(M9,Size,3,0)</f>
        <v>11</v>
      </c>
      <c r="Q9" s="13">
        <f t="shared" si="2"/>
        <v>7</v>
      </c>
      <c r="R9" s="13">
        <f>VLOOKUP(E9,LevelData,2)</f>
        <v>7</v>
      </c>
      <c r="S9" s="13">
        <f t="shared" si="3"/>
        <v>7</v>
      </c>
      <c r="T9" s="2" t="s">
        <v>134</v>
      </c>
      <c r="U9" s="1">
        <v>17.0</v>
      </c>
      <c r="V9" s="2"/>
      <c r="W9" s="1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2.75" customHeight="1">
      <c r="A10" s="3">
        <f t="shared" si="4"/>
        <v>9</v>
      </c>
      <c r="B10" s="4" t="s">
        <v>39</v>
      </c>
      <c r="C10" s="3"/>
      <c r="D10" s="4">
        <f t="shared" si="5"/>
        <v>18</v>
      </c>
      <c r="E10" s="3">
        <v>12.0</v>
      </c>
      <c r="F10" s="3">
        <f t="shared" si="1"/>
        <v>6</v>
      </c>
      <c r="G10" s="5">
        <v>1.0</v>
      </c>
      <c r="H10" s="5">
        <v>0.0</v>
      </c>
      <c r="I10" s="5">
        <v>0.0</v>
      </c>
      <c r="J10" s="5">
        <v>1.0</v>
      </c>
      <c r="K10" s="5">
        <v>0.0</v>
      </c>
      <c r="L10" s="5">
        <v>1.0</v>
      </c>
      <c r="M10" s="4" t="s">
        <v>40</v>
      </c>
      <c r="N10" s="5">
        <f>(E10-1)+VLOOKUP(M10,Size,2,0)</f>
        <v>11</v>
      </c>
      <c r="O10" s="5">
        <f>VLOOKUP(E10,LevelData,4)</f>
        <v>12</v>
      </c>
      <c r="P10" s="5">
        <f>O10+VLOOKUP(M10,Size,3,0)</f>
        <v>12</v>
      </c>
      <c r="Q10" s="5">
        <f t="shared" si="2"/>
        <v>8</v>
      </c>
      <c r="R10" s="5">
        <f>VLOOKUP(E10,LevelData,2)</f>
        <v>8</v>
      </c>
      <c r="S10" s="5">
        <f t="shared" si="3"/>
        <v>8</v>
      </c>
      <c r="T10" s="4" t="s">
        <v>135</v>
      </c>
      <c r="U10" s="3">
        <v>18.0</v>
      </c>
      <c r="V10" s="4"/>
      <c r="W10" s="3"/>
      <c r="X10" s="4" t="s">
        <v>199</v>
      </c>
      <c r="Y10" s="3">
        <v>1.0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3">
        <f t="shared" si="4"/>
        <v>10</v>
      </c>
      <c r="B11" s="4"/>
      <c r="C11" s="3"/>
      <c r="D11" s="4">
        <f t="shared" si="5"/>
        <v>19</v>
      </c>
      <c r="E11" s="3">
        <v>13.0</v>
      </c>
      <c r="F11" s="3">
        <f t="shared" si="1"/>
        <v>6</v>
      </c>
      <c r="G11" s="5">
        <v>0.0</v>
      </c>
      <c r="H11" s="5">
        <v>0.0</v>
      </c>
      <c r="I11" s="5">
        <v>1.0</v>
      </c>
      <c r="J11" s="5">
        <v>0.0</v>
      </c>
      <c r="K11" s="5">
        <v>1.0</v>
      </c>
      <c r="L11" s="5">
        <v>0.0</v>
      </c>
      <c r="M11" s="4" t="s">
        <v>40</v>
      </c>
      <c r="N11" s="5">
        <f>(E11-1)+VLOOKUP(M11,Size,2,0)</f>
        <v>12</v>
      </c>
      <c r="O11" s="5">
        <f>VLOOKUP(E11,LevelData,4)</f>
        <v>13</v>
      </c>
      <c r="P11" s="5">
        <f>O11+VLOOKUP(M11,Size,3,0)</f>
        <v>13</v>
      </c>
      <c r="Q11" s="5">
        <f t="shared" si="2"/>
        <v>8</v>
      </c>
      <c r="R11" s="5">
        <f>VLOOKUP(E11,LevelData,2)</f>
        <v>8</v>
      </c>
      <c r="S11" s="5">
        <f t="shared" si="3"/>
        <v>8</v>
      </c>
      <c r="T11" s="4" t="s">
        <v>135</v>
      </c>
      <c r="U11" s="3">
        <v>19.0</v>
      </c>
      <c r="V11" s="4"/>
      <c r="W11" s="3"/>
      <c r="X11" s="4"/>
      <c r="Y11" s="3">
        <v>1.0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2.75" customHeight="1">
      <c r="A12" s="7">
        <f t="shared" si="4"/>
        <v>11</v>
      </c>
      <c r="B12" s="8"/>
      <c r="C12" s="7"/>
      <c r="D12" s="8">
        <f t="shared" si="5"/>
        <v>20</v>
      </c>
      <c r="E12" s="7">
        <v>14.0</v>
      </c>
      <c r="F12" s="7">
        <f t="shared" si="1"/>
        <v>6</v>
      </c>
      <c r="G12" s="9">
        <v>1.0</v>
      </c>
      <c r="H12" s="9">
        <v>0.0</v>
      </c>
      <c r="I12" s="9">
        <v>0.0</v>
      </c>
      <c r="J12" s="9">
        <v>1.0</v>
      </c>
      <c r="K12" s="9">
        <v>1.0</v>
      </c>
      <c r="L12" s="9">
        <v>1.0</v>
      </c>
      <c r="M12" s="8" t="s">
        <v>40</v>
      </c>
      <c r="N12" s="9">
        <f>(E12-1)+VLOOKUP(M12,Size,2,0)</f>
        <v>13</v>
      </c>
      <c r="O12" s="9">
        <f>VLOOKUP(E12,LevelData,4)</f>
        <v>14</v>
      </c>
      <c r="P12" s="9">
        <f>O12+VLOOKUP(M12,Size,3,0)</f>
        <v>14</v>
      </c>
      <c r="Q12" s="9">
        <f t="shared" si="2"/>
        <v>9</v>
      </c>
      <c r="R12" s="9">
        <f>VLOOKUP(E12,LevelData,2)</f>
        <v>9</v>
      </c>
      <c r="S12" s="9">
        <f t="shared" si="3"/>
        <v>9</v>
      </c>
      <c r="T12" s="8" t="s">
        <v>136</v>
      </c>
      <c r="U12" s="7">
        <v>19.0</v>
      </c>
      <c r="V12" s="8"/>
      <c r="W12" s="7"/>
      <c r="X12" s="8"/>
      <c r="Y12" s="7">
        <v>2.0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ht="12.75" customHeight="1">
      <c r="A13" s="10">
        <f t="shared" si="4"/>
        <v>12</v>
      </c>
      <c r="B13" s="11" t="s">
        <v>44</v>
      </c>
      <c r="C13" s="10"/>
      <c r="D13" s="11">
        <f t="shared" si="5"/>
        <v>21</v>
      </c>
      <c r="E13" s="10">
        <v>14.0</v>
      </c>
      <c r="F13" s="10">
        <f t="shared" si="1"/>
        <v>7</v>
      </c>
      <c r="G13" s="12">
        <v>1.0</v>
      </c>
      <c r="H13" s="12">
        <v>0.0</v>
      </c>
      <c r="I13" s="12">
        <v>1.0</v>
      </c>
      <c r="J13" s="12">
        <v>1.0</v>
      </c>
      <c r="K13" s="12">
        <v>0.0</v>
      </c>
      <c r="L13" s="12">
        <v>1.0</v>
      </c>
      <c r="M13" s="11" t="s">
        <v>40</v>
      </c>
      <c r="N13" s="12">
        <f>(E13-1)+VLOOKUP(M13,Size,2,0)</f>
        <v>13</v>
      </c>
      <c r="O13" s="12">
        <f>VLOOKUP(E13,LevelData,4)</f>
        <v>14</v>
      </c>
      <c r="P13" s="12">
        <f>O13+VLOOKUP(M13,Size,3,0)</f>
        <v>14</v>
      </c>
      <c r="Q13" s="12">
        <f t="shared" si="2"/>
        <v>9</v>
      </c>
      <c r="R13" s="12">
        <f>VLOOKUP(E13,LevelData,2)</f>
        <v>9</v>
      </c>
      <c r="S13" s="12">
        <f t="shared" si="3"/>
        <v>9</v>
      </c>
      <c r="T13" s="11" t="s">
        <v>137</v>
      </c>
      <c r="U13" s="10">
        <v>20.0</v>
      </c>
      <c r="V13" s="11"/>
      <c r="W13" s="10"/>
      <c r="X13" s="11"/>
      <c r="Y13" s="10">
        <v>3.0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12.75" customHeight="1">
      <c r="A14" s="10">
        <f t="shared" si="4"/>
        <v>13</v>
      </c>
      <c r="B14" s="11"/>
      <c r="C14" s="10">
        <v>26.0</v>
      </c>
      <c r="D14" s="11">
        <f t="shared" si="5"/>
        <v>22</v>
      </c>
      <c r="E14" s="10">
        <v>15.0</v>
      </c>
      <c r="F14" s="10">
        <f t="shared" si="1"/>
        <v>7</v>
      </c>
      <c r="G14" s="12">
        <v>1.0</v>
      </c>
      <c r="H14" s="12">
        <v>0.0</v>
      </c>
      <c r="I14" s="12">
        <v>0.0</v>
      </c>
      <c r="J14" s="12">
        <v>0.0</v>
      </c>
      <c r="K14" s="12">
        <v>1.0</v>
      </c>
      <c r="L14" s="12">
        <v>0.0</v>
      </c>
      <c r="M14" s="11" t="s">
        <v>49</v>
      </c>
      <c r="N14" s="12">
        <f>(E14-1)+VLOOKUP(M14,Size,2,0)</f>
        <v>13</v>
      </c>
      <c r="O14" s="12">
        <f>VLOOKUP(E14,LevelData,4)</f>
        <v>15</v>
      </c>
      <c r="P14" s="12">
        <f>O14+VLOOKUP(M14,Size,3,0)</f>
        <v>14</v>
      </c>
      <c r="Q14" s="12">
        <f t="shared" si="2"/>
        <v>9</v>
      </c>
      <c r="R14" s="12">
        <f>VLOOKUP(E14,LevelData,2)</f>
        <v>9</v>
      </c>
      <c r="S14" s="12">
        <f t="shared" si="3"/>
        <v>9</v>
      </c>
      <c r="T14" s="11" t="s">
        <v>137</v>
      </c>
      <c r="U14" s="10">
        <v>20.0</v>
      </c>
      <c r="V14" s="11"/>
      <c r="W14" s="10"/>
      <c r="X14" s="11"/>
      <c r="Y14" s="10">
        <v>3.0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2.75" customHeight="1">
      <c r="A15" s="10">
        <f t="shared" si="4"/>
        <v>14</v>
      </c>
      <c r="B15" s="11"/>
      <c r="C15" s="10">
        <v>32.0</v>
      </c>
      <c r="D15" s="11">
        <f t="shared" si="5"/>
        <v>23</v>
      </c>
      <c r="E15" s="10">
        <v>16.0</v>
      </c>
      <c r="F15" s="10">
        <f t="shared" si="1"/>
        <v>7</v>
      </c>
      <c r="G15" s="12">
        <v>1.0</v>
      </c>
      <c r="H15" s="12">
        <v>0.0</v>
      </c>
      <c r="I15" s="12">
        <v>1.0</v>
      </c>
      <c r="J15" s="12">
        <v>0.0</v>
      </c>
      <c r="K15" s="12">
        <v>0.0</v>
      </c>
      <c r="L15" s="12">
        <v>0.0</v>
      </c>
      <c r="M15" s="11" t="s">
        <v>49</v>
      </c>
      <c r="N15" s="12">
        <f>(E15-1)+VLOOKUP(M15,Size,2,0)</f>
        <v>14</v>
      </c>
      <c r="O15" s="12">
        <f>VLOOKUP(E15,LevelData,4)</f>
        <v>16</v>
      </c>
      <c r="P15" s="12">
        <f>O15+VLOOKUP(M15,Size,3,0)</f>
        <v>15</v>
      </c>
      <c r="Q15" s="12">
        <f t="shared" si="2"/>
        <v>10</v>
      </c>
      <c r="R15" s="12">
        <f>VLOOKUP(E15,LevelData,2)</f>
        <v>10</v>
      </c>
      <c r="S15" s="12">
        <f t="shared" si="3"/>
        <v>10</v>
      </c>
      <c r="T15" s="11" t="s">
        <v>138</v>
      </c>
      <c r="U15" s="10">
        <v>21.0</v>
      </c>
      <c r="V15" s="11"/>
      <c r="W15" s="10"/>
      <c r="X15" s="11"/>
      <c r="Y15" s="10">
        <v>4.0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2.75" customHeight="1">
      <c r="A16" s="1">
        <f t="shared" si="4"/>
        <v>15</v>
      </c>
      <c r="B16" s="2"/>
      <c r="C16" s="1">
        <v>39.0</v>
      </c>
      <c r="D16" s="2">
        <f t="shared" si="5"/>
        <v>24</v>
      </c>
      <c r="E16" s="1">
        <v>17.0</v>
      </c>
      <c r="F16" s="1">
        <f t="shared" si="1"/>
        <v>7</v>
      </c>
      <c r="G16" s="13">
        <v>1.0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2" t="s">
        <v>49</v>
      </c>
      <c r="N16" s="13">
        <f>(E16-1)+VLOOKUP(M16,Size,2,0)</f>
        <v>15</v>
      </c>
      <c r="O16" s="13">
        <f>VLOOKUP(E16,LevelData,4)</f>
        <v>17</v>
      </c>
      <c r="P16" s="13">
        <f>O16+VLOOKUP(M16,Size,3,0)</f>
        <v>16</v>
      </c>
      <c r="Q16" s="13">
        <f t="shared" si="2"/>
        <v>10</v>
      </c>
      <c r="R16" s="13">
        <f>VLOOKUP(E16,LevelData,2)</f>
        <v>10</v>
      </c>
      <c r="S16" s="13">
        <f t="shared" si="3"/>
        <v>10</v>
      </c>
      <c r="T16" s="2" t="s">
        <v>138</v>
      </c>
      <c r="U16" s="1">
        <v>22.0</v>
      </c>
      <c r="V16" s="2"/>
      <c r="W16" s="1"/>
      <c r="X16" s="2"/>
      <c r="Y16" s="1">
        <v>4.0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12.75" customHeight="1">
      <c r="A17" s="3">
        <f t="shared" si="4"/>
        <v>16</v>
      </c>
      <c r="B17" s="4" t="s">
        <v>48</v>
      </c>
      <c r="C17" s="3">
        <v>45.0</v>
      </c>
      <c r="D17" s="4">
        <f t="shared" si="5"/>
        <v>25</v>
      </c>
      <c r="E17" s="3">
        <v>17.0</v>
      </c>
      <c r="F17" s="3">
        <f t="shared" si="1"/>
        <v>8</v>
      </c>
      <c r="G17" s="5">
        <v>1.0</v>
      </c>
      <c r="H17" s="5">
        <v>0.0</v>
      </c>
      <c r="I17" s="5">
        <v>1.0</v>
      </c>
      <c r="J17" s="5">
        <v>0.0</v>
      </c>
      <c r="K17" s="5">
        <v>0.0</v>
      </c>
      <c r="L17" s="5">
        <v>0.0</v>
      </c>
      <c r="M17" s="4" t="s">
        <v>49</v>
      </c>
      <c r="N17" s="5">
        <f>(E17-1)+VLOOKUP(M17,Size,2,0)</f>
        <v>15</v>
      </c>
      <c r="O17" s="5">
        <f>VLOOKUP(E17,LevelData,4)</f>
        <v>17</v>
      </c>
      <c r="P17" s="5">
        <f>O17+VLOOKUP(M17,Size,3,0)</f>
        <v>16</v>
      </c>
      <c r="Q17" s="5">
        <f t="shared" si="2"/>
        <v>10</v>
      </c>
      <c r="R17" s="5">
        <f>VLOOKUP(E17,LevelData,2)</f>
        <v>10</v>
      </c>
      <c r="S17" s="5">
        <f t="shared" si="3"/>
        <v>10</v>
      </c>
      <c r="T17" s="4" t="s">
        <v>139</v>
      </c>
      <c r="U17" s="3">
        <v>23.0</v>
      </c>
      <c r="V17" s="4">
        <f>INT(14+(E17/2))-VLOOKUP(M17,Size,2,0)</f>
        <v>23</v>
      </c>
      <c r="W17" s="3">
        <f t="shared" ref="W17:W49" si="6">INT((E17/2)+12)</f>
        <v>20</v>
      </c>
      <c r="X17" s="4" t="s">
        <v>51</v>
      </c>
      <c r="Y17" s="3">
        <v>5.0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2.75" customHeight="1">
      <c r="A18" s="3">
        <f t="shared" si="4"/>
        <v>17</v>
      </c>
      <c r="B18" s="4"/>
      <c r="C18" s="3">
        <v>51.0</v>
      </c>
      <c r="D18" s="4">
        <f t="shared" si="5"/>
        <v>26</v>
      </c>
      <c r="E18" s="3">
        <v>18.0</v>
      </c>
      <c r="F18" s="3">
        <f t="shared" si="1"/>
        <v>8</v>
      </c>
      <c r="G18" s="5">
        <v>1.0</v>
      </c>
      <c r="H18" s="5">
        <v>0.0</v>
      </c>
      <c r="I18" s="5">
        <v>0.0</v>
      </c>
      <c r="J18" s="5">
        <v>1.0</v>
      </c>
      <c r="K18" s="5">
        <v>1.0</v>
      </c>
      <c r="L18" s="5">
        <v>1.0</v>
      </c>
      <c r="M18" s="4" t="s">
        <v>49</v>
      </c>
      <c r="N18" s="5">
        <f>(E18-1)+VLOOKUP(M18,Size,2,0)</f>
        <v>16</v>
      </c>
      <c r="O18" s="5">
        <f>VLOOKUP(E18,LevelData,4)</f>
        <v>18</v>
      </c>
      <c r="P18" s="5">
        <f>O18+VLOOKUP(M18,Size,3,0)</f>
        <v>17</v>
      </c>
      <c r="Q18" s="5">
        <f t="shared" si="2"/>
        <v>11</v>
      </c>
      <c r="R18" s="5">
        <f>VLOOKUP(E18,LevelData,2)</f>
        <v>11</v>
      </c>
      <c r="S18" s="5">
        <f t="shared" si="3"/>
        <v>11</v>
      </c>
      <c r="T18" s="4" t="s">
        <v>139</v>
      </c>
      <c r="U18" s="3">
        <v>23.0</v>
      </c>
      <c r="V18" s="4">
        <f>INT(14+(E18/2))-VLOOKUP(M18,Size,2,0)</f>
        <v>24</v>
      </c>
      <c r="W18" s="3">
        <f t="shared" si="6"/>
        <v>21</v>
      </c>
      <c r="X18" s="4"/>
      <c r="Y18" s="3">
        <v>5.0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3">
        <f t="shared" si="4"/>
        <v>18</v>
      </c>
      <c r="B19" s="4"/>
      <c r="C19" s="3">
        <v>63.0</v>
      </c>
      <c r="D19" s="4">
        <f t="shared" si="5"/>
        <v>27</v>
      </c>
      <c r="E19" s="3">
        <v>19.0</v>
      </c>
      <c r="F19" s="3">
        <f t="shared" si="1"/>
        <v>8</v>
      </c>
      <c r="G19" s="5">
        <v>1.0</v>
      </c>
      <c r="H19" s="5">
        <v>0.0</v>
      </c>
      <c r="I19" s="5">
        <v>1.0</v>
      </c>
      <c r="J19" s="5">
        <v>0.0</v>
      </c>
      <c r="K19" s="5">
        <v>0.0</v>
      </c>
      <c r="L19" s="5">
        <v>0.0</v>
      </c>
      <c r="M19" s="4" t="s">
        <v>49</v>
      </c>
      <c r="N19" s="5">
        <f>(E19-1)+VLOOKUP(M19,Size,2,0)</f>
        <v>17</v>
      </c>
      <c r="O19" s="5">
        <f>VLOOKUP(E19,LevelData,4)</f>
        <v>19</v>
      </c>
      <c r="P19" s="5">
        <f>O19+VLOOKUP(M19,Size,3,0)</f>
        <v>18</v>
      </c>
      <c r="Q19" s="5">
        <f t="shared" si="2"/>
        <v>11</v>
      </c>
      <c r="R19" s="5">
        <f>VLOOKUP(E19,LevelData,2)</f>
        <v>11</v>
      </c>
      <c r="S19" s="5">
        <f t="shared" si="3"/>
        <v>11</v>
      </c>
      <c r="T19" s="4" t="s">
        <v>140</v>
      </c>
      <c r="U19" s="3">
        <v>24.0</v>
      </c>
      <c r="V19" s="4">
        <f>INT(14+(E19/2))-VLOOKUP(M19,Size,2,0)</f>
        <v>24</v>
      </c>
      <c r="W19" s="3">
        <f t="shared" si="6"/>
        <v>21</v>
      </c>
      <c r="X19" s="4"/>
      <c r="Y19" s="3">
        <v>6.0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7">
        <f t="shared" si="4"/>
        <v>19</v>
      </c>
      <c r="B20" s="8"/>
      <c r="C20" s="7">
        <v>75.0</v>
      </c>
      <c r="D20" s="8">
        <f t="shared" si="5"/>
        <v>28</v>
      </c>
      <c r="E20" s="7">
        <v>20.0</v>
      </c>
      <c r="F20" s="7">
        <f t="shared" si="1"/>
        <v>8</v>
      </c>
      <c r="G20" s="9">
        <v>1.0</v>
      </c>
      <c r="H20" s="9">
        <v>0.0</v>
      </c>
      <c r="I20" s="9">
        <v>0.0</v>
      </c>
      <c r="J20" s="9">
        <v>0.0</v>
      </c>
      <c r="K20" s="9">
        <v>0.0</v>
      </c>
      <c r="L20" s="9">
        <v>0.0</v>
      </c>
      <c r="M20" s="8" t="s">
        <v>49</v>
      </c>
      <c r="N20" s="9">
        <f>(E20-1)+VLOOKUP(M20,Size,2,0)</f>
        <v>18</v>
      </c>
      <c r="O20" s="9">
        <f>VLOOKUP(E20,LevelData,4)</f>
        <v>20</v>
      </c>
      <c r="P20" s="9">
        <f>O20+VLOOKUP(M20,Size,3,0)</f>
        <v>19</v>
      </c>
      <c r="Q20" s="9">
        <f t="shared" si="2"/>
        <v>12</v>
      </c>
      <c r="R20" s="9">
        <f>VLOOKUP(E20,LevelData,2)</f>
        <v>12</v>
      </c>
      <c r="S20" s="9">
        <f t="shared" si="3"/>
        <v>12</v>
      </c>
      <c r="T20" s="8" t="s">
        <v>140</v>
      </c>
      <c r="U20" s="7">
        <v>24.0</v>
      </c>
      <c r="V20" s="8">
        <f>INT(14+(E20/2))-VLOOKUP(M20,Size,2,0)</f>
        <v>25</v>
      </c>
      <c r="W20" s="7">
        <f t="shared" si="6"/>
        <v>22</v>
      </c>
      <c r="X20" s="8"/>
      <c r="Y20" s="7">
        <v>6.0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ht="12.75" customHeight="1">
      <c r="A21" s="10">
        <f t="shared" si="4"/>
        <v>20</v>
      </c>
      <c r="B21" s="11" t="s">
        <v>53</v>
      </c>
      <c r="C21" s="10">
        <v>87.0</v>
      </c>
      <c r="D21" s="11">
        <f t="shared" si="5"/>
        <v>29</v>
      </c>
      <c r="E21" s="10">
        <v>20.0</v>
      </c>
      <c r="F21" s="10">
        <f t="shared" si="1"/>
        <v>9</v>
      </c>
      <c r="G21" s="12">
        <v>1.0</v>
      </c>
      <c r="H21" s="12">
        <v>0.0</v>
      </c>
      <c r="I21" s="12">
        <v>1.0</v>
      </c>
      <c r="J21" s="12">
        <v>1.0</v>
      </c>
      <c r="K21" s="12">
        <v>1.0</v>
      </c>
      <c r="L21" s="12">
        <v>1.0</v>
      </c>
      <c r="M21" s="11" t="s">
        <v>49</v>
      </c>
      <c r="N21" s="12">
        <f>(E21-1)+VLOOKUP(M21,Size,2,0)</f>
        <v>18</v>
      </c>
      <c r="O21" s="12">
        <f>VLOOKUP(E21,LevelData,4)</f>
        <v>20</v>
      </c>
      <c r="P21" s="12">
        <f>O21+VLOOKUP(M21,Size,3,0)</f>
        <v>19</v>
      </c>
      <c r="Q21" s="12">
        <f t="shared" si="2"/>
        <v>12</v>
      </c>
      <c r="R21" s="12">
        <f>VLOOKUP(E21,LevelData,2)</f>
        <v>12</v>
      </c>
      <c r="S21" s="12">
        <f t="shared" si="3"/>
        <v>12</v>
      </c>
      <c r="T21" s="11" t="s">
        <v>141</v>
      </c>
      <c r="U21" s="10">
        <v>25.0</v>
      </c>
      <c r="V21" s="11">
        <f>INT(14+(E21/2))-VLOOKUP(M21,Size,2,0)</f>
        <v>25</v>
      </c>
      <c r="W21" s="10">
        <f t="shared" si="6"/>
        <v>22</v>
      </c>
      <c r="X21" s="11" t="s">
        <v>200</v>
      </c>
      <c r="Y21" s="10">
        <v>7.0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12.75" customHeight="1">
      <c r="A22" s="10">
        <f t="shared" si="4"/>
        <v>21</v>
      </c>
      <c r="B22" s="11"/>
      <c r="C22" s="10">
        <v>101.0</v>
      </c>
      <c r="D22" s="11">
        <f t="shared" si="5"/>
        <v>30</v>
      </c>
      <c r="E22" s="10">
        <v>21.0</v>
      </c>
      <c r="F22" s="10">
        <f t="shared" si="1"/>
        <v>9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1" t="s">
        <v>58</v>
      </c>
      <c r="N22" s="12">
        <f>(E22-1)+VLOOKUP(M22,Size,2,0)</f>
        <v>18</v>
      </c>
      <c r="O22" s="12">
        <f>VLOOKUP(E22,LevelData,4)</f>
        <v>21</v>
      </c>
      <c r="P22" s="12">
        <f>O22+VLOOKUP(M22,Size,3,0)</f>
        <v>19</v>
      </c>
      <c r="Q22" s="12">
        <f t="shared" si="2"/>
        <v>12</v>
      </c>
      <c r="R22" s="12">
        <f>VLOOKUP(E22,LevelData,2)</f>
        <v>12</v>
      </c>
      <c r="S22" s="12">
        <f t="shared" si="3"/>
        <v>12</v>
      </c>
      <c r="T22" s="11" t="s">
        <v>141</v>
      </c>
      <c r="U22" s="10">
        <v>25.0</v>
      </c>
      <c r="V22" s="11">
        <f>INT(14+(E22/2))-VLOOKUP(M22,Size,2,0)</f>
        <v>26</v>
      </c>
      <c r="W22" s="10">
        <f t="shared" si="6"/>
        <v>22</v>
      </c>
      <c r="X22" s="11" t="s">
        <v>201</v>
      </c>
      <c r="Y22" s="10">
        <v>7.0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2.75" customHeight="1">
      <c r="A23" s="10">
        <f t="shared" si="4"/>
        <v>22</v>
      </c>
      <c r="B23" s="11"/>
      <c r="C23" s="10">
        <v>126.0</v>
      </c>
      <c r="D23" s="11">
        <f t="shared" si="5"/>
        <v>31</v>
      </c>
      <c r="E23" s="10">
        <v>22.0</v>
      </c>
      <c r="F23" s="10">
        <f t="shared" si="1"/>
        <v>9</v>
      </c>
      <c r="G23" s="12">
        <v>1.0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1" t="s">
        <v>58</v>
      </c>
      <c r="N23" s="12">
        <f>(E23-1)+VLOOKUP(M23,Size,2,0)</f>
        <v>19</v>
      </c>
      <c r="O23" s="12">
        <f>VLOOKUP(E23,LevelData,4)</f>
        <v>22</v>
      </c>
      <c r="P23" s="12">
        <f>O23+VLOOKUP(M23,Size,3,0)</f>
        <v>20</v>
      </c>
      <c r="Q23" s="12">
        <f t="shared" si="2"/>
        <v>13</v>
      </c>
      <c r="R23" s="12">
        <f>VLOOKUP(E23,LevelData,2)</f>
        <v>13</v>
      </c>
      <c r="S23" s="12">
        <f t="shared" si="3"/>
        <v>13</v>
      </c>
      <c r="T23" s="11" t="s">
        <v>143</v>
      </c>
      <c r="U23" s="10">
        <v>26.0</v>
      </c>
      <c r="V23" s="11">
        <f>INT(14+(E23/2))-VLOOKUP(M23,Size,2,0)</f>
        <v>27</v>
      </c>
      <c r="W23" s="10">
        <f t="shared" si="6"/>
        <v>23</v>
      </c>
      <c r="X23" s="11" t="s">
        <v>202</v>
      </c>
      <c r="Y23" s="10">
        <v>8.0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12.75" customHeight="1">
      <c r="A24" s="1">
        <f t="shared" si="4"/>
        <v>23</v>
      </c>
      <c r="B24" s="2"/>
      <c r="C24" s="1">
        <v>151.0</v>
      </c>
      <c r="D24" s="2">
        <f t="shared" si="5"/>
        <v>32</v>
      </c>
      <c r="E24" s="1">
        <v>23.0</v>
      </c>
      <c r="F24" s="1">
        <f t="shared" si="1"/>
        <v>9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2" t="s">
        <v>58</v>
      </c>
      <c r="N24" s="13">
        <f>(E24-1)+VLOOKUP(M24,Size,2,0)</f>
        <v>20</v>
      </c>
      <c r="O24" s="13">
        <f>VLOOKUP(E24,LevelData,4)</f>
        <v>23</v>
      </c>
      <c r="P24" s="13">
        <f>O24+VLOOKUP(M24,Size,3,0)</f>
        <v>21</v>
      </c>
      <c r="Q24" s="13">
        <f t="shared" si="2"/>
        <v>13</v>
      </c>
      <c r="R24" s="13">
        <f>VLOOKUP(E24,LevelData,2)</f>
        <v>13</v>
      </c>
      <c r="S24" s="13">
        <f t="shared" si="3"/>
        <v>13</v>
      </c>
      <c r="T24" s="2" t="s">
        <v>143</v>
      </c>
      <c r="U24" s="1">
        <v>26.0</v>
      </c>
      <c r="V24" s="2">
        <f>INT(14+(E24/2))-VLOOKUP(M24,Size,2,0)</f>
        <v>27</v>
      </c>
      <c r="W24" s="1">
        <f t="shared" si="6"/>
        <v>23</v>
      </c>
      <c r="X24" s="2"/>
      <c r="Y24" s="1">
        <v>8.0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2.75" customHeight="1">
      <c r="A25" s="3">
        <f t="shared" si="4"/>
        <v>24</v>
      </c>
      <c r="B25" s="4" t="s">
        <v>57</v>
      </c>
      <c r="C25" s="3">
        <v>176.0</v>
      </c>
      <c r="D25" s="4">
        <f t="shared" si="5"/>
        <v>33</v>
      </c>
      <c r="E25" s="3">
        <v>23.0</v>
      </c>
      <c r="F25" s="3">
        <f t="shared" si="1"/>
        <v>10</v>
      </c>
      <c r="G25" s="5">
        <v>1.0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4" t="s">
        <v>58</v>
      </c>
      <c r="N25" s="5">
        <f>(E25-1)+VLOOKUP(M25,Size,2,0)</f>
        <v>20</v>
      </c>
      <c r="O25" s="5">
        <f>VLOOKUP(E25,LevelData,4)</f>
        <v>23</v>
      </c>
      <c r="P25" s="5">
        <f>O25+VLOOKUP(M25,Size,3,0)</f>
        <v>21</v>
      </c>
      <c r="Q25" s="5">
        <f t="shared" si="2"/>
        <v>13</v>
      </c>
      <c r="R25" s="5">
        <f>VLOOKUP(E25,LevelData,2)</f>
        <v>13</v>
      </c>
      <c r="S25" s="5">
        <f t="shared" si="3"/>
        <v>13</v>
      </c>
      <c r="T25" s="4" t="s">
        <v>144</v>
      </c>
      <c r="U25" s="3">
        <v>27.0</v>
      </c>
      <c r="V25" s="4">
        <f>INT(14+(E25/2))-VLOOKUP(M25,Size,2,0)</f>
        <v>27</v>
      </c>
      <c r="W25" s="3">
        <f t="shared" si="6"/>
        <v>23</v>
      </c>
      <c r="X25" s="4" t="s">
        <v>60</v>
      </c>
      <c r="Y25" s="3">
        <v>9.0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2.75" customHeight="1">
      <c r="A26" s="3">
        <f t="shared" si="4"/>
        <v>25</v>
      </c>
      <c r="B26" s="4"/>
      <c r="C26" s="3">
        <v>201.0</v>
      </c>
      <c r="D26" s="4">
        <f t="shared" si="5"/>
        <v>34</v>
      </c>
      <c r="E26" s="3">
        <v>24.0</v>
      </c>
      <c r="F26" s="3">
        <f t="shared" si="1"/>
        <v>10</v>
      </c>
      <c r="G26" s="5">
        <v>0.0</v>
      </c>
      <c r="H26" s="5">
        <v>0.0</v>
      </c>
      <c r="I26" s="5">
        <v>1.0</v>
      </c>
      <c r="J26" s="5">
        <v>1.0</v>
      </c>
      <c r="K26" s="5">
        <v>1.0</v>
      </c>
      <c r="L26" s="5">
        <v>1.0</v>
      </c>
      <c r="M26" s="4" t="s">
        <v>58</v>
      </c>
      <c r="N26" s="5">
        <f>(E26-1)+VLOOKUP(M26,Size,2,0)</f>
        <v>21</v>
      </c>
      <c r="O26" s="5">
        <f>VLOOKUP(E26,LevelData,4)</f>
        <v>24</v>
      </c>
      <c r="P26" s="5">
        <f>O26+VLOOKUP(M26,Size,3,0)</f>
        <v>22</v>
      </c>
      <c r="Q26" s="5">
        <f t="shared" si="2"/>
        <v>14</v>
      </c>
      <c r="R26" s="5">
        <f>VLOOKUP(E26,LevelData,2)</f>
        <v>14</v>
      </c>
      <c r="S26" s="5">
        <f t="shared" si="3"/>
        <v>14</v>
      </c>
      <c r="T26" s="4" t="s">
        <v>144</v>
      </c>
      <c r="U26" s="3">
        <v>27.0</v>
      </c>
      <c r="V26" s="4">
        <f>INT(14+(E26/2))-VLOOKUP(M26,Size,2,0)</f>
        <v>28</v>
      </c>
      <c r="W26" s="3">
        <f t="shared" si="6"/>
        <v>24</v>
      </c>
      <c r="X26" s="4"/>
      <c r="Y26" s="3">
        <v>9.0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3">
        <f t="shared" si="4"/>
        <v>26</v>
      </c>
      <c r="B27" s="4"/>
      <c r="C27" s="3">
        <v>251.0</v>
      </c>
      <c r="D27" s="4">
        <f t="shared" si="5"/>
        <v>35</v>
      </c>
      <c r="E27" s="3">
        <v>25.0</v>
      </c>
      <c r="F27" s="3">
        <f t="shared" si="1"/>
        <v>10</v>
      </c>
      <c r="G27" s="5">
        <v>1.0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4" t="s">
        <v>58</v>
      </c>
      <c r="N27" s="5">
        <f>(E27-1)+VLOOKUP(M27,Size,2,0)</f>
        <v>22</v>
      </c>
      <c r="O27" s="5">
        <f>VLOOKUP(E27,LevelData,4)</f>
        <v>25</v>
      </c>
      <c r="P27" s="5">
        <f>O27+VLOOKUP(M27,Size,3,0)</f>
        <v>23</v>
      </c>
      <c r="Q27" s="5">
        <f t="shared" si="2"/>
        <v>14</v>
      </c>
      <c r="R27" s="5">
        <f>VLOOKUP(E27,LevelData,2)</f>
        <v>14</v>
      </c>
      <c r="S27" s="5">
        <f t="shared" si="3"/>
        <v>14</v>
      </c>
      <c r="T27" s="4" t="s">
        <v>145</v>
      </c>
      <c r="U27" s="3">
        <v>28.0</v>
      </c>
      <c r="V27" s="4">
        <f>INT(14+(E27/2))-VLOOKUP(M27,Size,2,0)</f>
        <v>28</v>
      </c>
      <c r="W27" s="3">
        <f t="shared" si="6"/>
        <v>24</v>
      </c>
      <c r="X27" s="4"/>
      <c r="Y27" s="3">
        <v>10.0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7">
        <f t="shared" si="4"/>
        <v>27</v>
      </c>
      <c r="B28" s="8"/>
      <c r="C28" s="7">
        <v>301.0</v>
      </c>
      <c r="D28" s="8">
        <f t="shared" si="5"/>
        <v>36</v>
      </c>
      <c r="E28" s="7">
        <v>26.0</v>
      </c>
      <c r="F28" s="7">
        <f t="shared" si="1"/>
        <v>10</v>
      </c>
      <c r="G28" s="9">
        <v>0.0</v>
      </c>
      <c r="H28" s="9">
        <v>0.0</v>
      </c>
      <c r="I28" s="9">
        <v>0.0</v>
      </c>
      <c r="J28" s="9">
        <v>0.0</v>
      </c>
      <c r="K28" s="9">
        <v>0.0</v>
      </c>
      <c r="L28" s="9">
        <v>0.0</v>
      </c>
      <c r="M28" s="8" t="s">
        <v>58</v>
      </c>
      <c r="N28" s="9">
        <f>(E28-1)+VLOOKUP(M28,Size,2,0)</f>
        <v>23</v>
      </c>
      <c r="O28" s="9">
        <f>VLOOKUP(E28,LevelData,4)</f>
        <v>26</v>
      </c>
      <c r="P28" s="9">
        <f>O28+VLOOKUP(M28,Size,3,0)</f>
        <v>24</v>
      </c>
      <c r="Q28" s="9">
        <f t="shared" si="2"/>
        <v>15</v>
      </c>
      <c r="R28" s="9">
        <f>VLOOKUP(E28,LevelData,2)</f>
        <v>15</v>
      </c>
      <c r="S28" s="9">
        <f t="shared" si="3"/>
        <v>15</v>
      </c>
      <c r="T28" s="8" t="s">
        <v>145</v>
      </c>
      <c r="U28" s="7">
        <v>28.0</v>
      </c>
      <c r="V28" s="8">
        <f>INT(14+(E28/2))-VLOOKUP(M28,Size,2,0)</f>
        <v>29</v>
      </c>
      <c r="W28" s="7">
        <f t="shared" si="6"/>
        <v>25</v>
      </c>
      <c r="X28" s="8"/>
      <c r="Y28" s="7">
        <v>10.0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ht="12.75" customHeight="1">
      <c r="A29" s="10">
        <f t="shared" si="4"/>
        <v>28</v>
      </c>
      <c r="B29" s="11" t="s">
        <v>62</v>
      </c>
      <c r="C29" s="10">
        <v>351.0</v>
      </c>
      <c r="D29" s="11">
        <f t="shared" si="5"/>
        <v>37</v>
      </c>
      <c r="E29" s="10">
        <v>26.0</v>
      </c>
      <c r="F29" s="10">
        <f t="shared" si="1"/>
        <v>11</v>
      </c>
      <c r="G29" s="12">
        <v>1.0</v>
      </c>
      <c r="H29" s="12">
        <v>0.0</v>
      </c>
      <c r="I29" s="12">
        <v>1.0</v>
      </c>
      <c r="J29" s="12">
        <v>1.0</v>
      </c>
      <c r="K29" s="12">
        <v>1.0</v>
      </c>
      <c r="L29" s="12">
        <v>1.0</v>
      </c>
      <c r="M29" s="11" t="s">
        <v>58</v>
      </c>
      <c r="N29" s="12">
        <f>(E29-1)+VLOOKUP(M29,Size,2,0)</f>
        <v>23</v>
      </c>
      <c r="O29" s="12">
        <f>VLOOKUP(E29,LevelData,4)</f>
        <v>26</v>
      </c>
      <c r="P29" s="12">
        <f>O29+VLOOKUP(M29,Size,3,0)</f>
        <v>24</v>
      </c>
      <c r="Q29" s="12">
        <f t="shared" si="2"/>
        <v>15</v>
      </c>
      <c r="R29" s="12">
        <f>VLOOKUP(E29,LevelData,2)</f>
        <v>15</v>
      </c>
      <c r="S29" s="12">
        <f t="shared" si="3"/>
        <v>15</v>
      </c>
      <c r="T29" s="11" t="s">
        <v>146</v>
      </c>
      <c r="U29" s="10">
        <v>29.0</v>
      </c>
      <c r="V29" s="11">
        <f>INT(14+(E29/2))-VLOOKUP(M29,Size,2,0)</f>
        <v>29</v>
      </c>
      <c r="W29" s="10">
        <f t="shared" si="6"/>
        <v>25</v>
      </c>
      <c r="X29" s="11" t="s">
        <v>203</v>
      </c>
      <c r="Y29" s="10">
        <v>11.0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12.75" customHeight="1">
      <c r="A30" s="10">
        <f t="shared" si="4"/>
        <v>29</v>
      </c>
      <c r="B30" s="11"/>
      <c r="C30" s="10">
        <v>401.0</v>
      </c>
      <c r="D30" s="11">
        <f t="shared" si="5"/>
        <v>38</v>
      </c>
      <c r="E30" s="10">
        <v>27.0</v>
      </c>
      <c r="F30" s="10">
        <f t="shared" si="1"/>
        <v>11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1" t="s">
        <v>58</v>
      </c>
      <c r="N30" s="12">
        <f>(E30-1)+VLOOKUP(M30,Size,2,0)</f>
        <v>24</v>
      </c>
      <c r="O30" s="12">
        <f>VLOOKUP(E30,LevelData,4)</f>
        <v>27</v>
      </c>
      <c r="P30" s="12">
        <f>O30+VLOOKUP(M30,Size,3,0)</f>
        <v>25</v>
      </c>
      <c r="Q30" s="12">
        <f t="shared" si="2"/>
        <v>15</v>
      </c>
      <c r="R30" s="12">
        <f>VLOOKUP(E30,LevelData,2)</f>
        <v>15</v>
      </c>
      <c r="S30" s="12">
        <f t="shared" si="3"/>
        <v>15</v>
      </c>
      <c r="T30" s="11" t="s">
        <v>146</v>
      </c>
      <c r="U30" s="10">
        <v>29.0</v>
      </c>
      <c r="V30" s="11">
        <f>INT(14+(E30/2))-VLOOKUP(M30,Size,2,0)</f>
        <v>29</v>
      </c>
      <c r="W30" s="10">
        <f t="shared" si="6"/>
        <v>25</v>
      </c>
      <c r="X30" s="11" t="s">
        <v>204</v>
      </c>
      <c r="Y30" s="10">
        <v>11.0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2.75" customHeight="1">
      <c r="A31" s="10">
        <f t="shared" si="4"/>
        <v>30</v>
      </c>
      <c r="B31" s="11"/>
      <c r="C31" s="10">
        <v>451.0</v>
      </c>
      <c r="D31" s="11">
        <f t="shared" si="5"/>
        <v>39</v>
      </c>
      <c r="E31" s="10">
        <v>28.0</v>
      </c>
      <c r="F31" s="10">
        <f t="shared" si="1"/>
        <v>11</v>
      </c>
      <c r="G31" s="12">
        <v>1.0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1" t="s">
        <v>58</v>
      </c>
      <c r="N31" s="12">
        <f>(E31-1)+VLOOKUP(M31,Size,2,0)</f>
        <v>25</v>
      </c>
      <c r="O31" s="12">
        <f>VLOOKUP(E31,LevelData,4)</f>
        <v>28</v>
      </c>
      <c r="P31" s="12">
        <f>O31+VLOOKUP(M31,Size,3,0)</f>
        <v>26</v>
      </c>
      <c r="Q31" s="12">
        <f t="shared" si="2"/>
        <v>16</v>
      </c>
      <c r="R31" s="12">
        <f>VLOOKUP(E31,LevelData,2)</f>
        <v>16</v>
      </c>
      <c r="S31" s="12">
        <f t="shared" si="3"/>
        <v>16</v>
      </c>
      <c r="T31" s="11" t="s">
        <v>148</v>
      </c>
      <c r="U31" s="10">
        <v>30.0</v>
      </c>
      <c r="V31" s="11">
        <f>INT(14+(E31/2))-VLOOKUP(M31,Size,2,0)</f>
        <v>30</v>
      </c>
      <c r="W31" s="10">
        <f t="shared" si="6"/>
        <v>26</v>
      </c>
      <c r="X31" s="11"/>
      <c r="Y31" s="10">
        <v>12.0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12.75" customHeight="1">
      <c r="A32" s="1">
        <f t="shared" si="4"/>
        <v>31</v>
      </c>
      <c r="B32" s="2"/>
      <c r="C32" s="1">
        <v>501.0</v>
      </c>
      <c r="D32" s="2">
        <f t="shared" si="5"/>
        <v>40</v>
      </c>
      <c r="E32" s="1">
        <v>29.0</v>
      </c>
      <c r="F32" s="1">
        <f t="shared" si="1"/>
        <v>11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2" t="s">
        <v>58</v>
      </c>
      <c r="N32" s="13">
        <f>(E32-1)+VLOOKUP(M32,Size,2,0)</f>
        <v>26</v>
      </c>
      <c r="O32" s="13">
        <f>VLOOKUP(E32,LevelData,4)</f>
        <v>29</v>
      </c>
      <c r="P32" s="13">
        <f>O32+VLOOKUP(M32,Size,3,0)</f>
        <v>27</v>
      </c>
      <c r="Q32" s="13">
        <f t="shared" si="2"/>
        <v>16</v>
      </c>
      <c r="R32" s="13">
        <f>VLOOKUP(E32,LevelData,2)</f>
        <v>16</v>
      </c>
      <c r="S32" s="13">
        <f t="shared" si="3"/>
        <v>16</v>
      </c>
      <c r="T32" s="2" t="s">
        <v>148</v>
      </c>
      <c r="U32" s="1">
        <v>30.0</v>
      </c>
      <c r="V32" s="2">
        <f>INT(14+(E32/2))-VLOOKUP(M32,Size,2,0)</f>
        <v>30</v>
      </c>
      <c r="W32" s="1">
        <f t="shared" si="6"/>
        <v>26</v>
      </c>
      <c r="X32" s="2"/>
      <c r="Y32" s="1">
        <v>12.0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2.75" customHeight="1">
      <c r="A33" s="3">
        <f t="shared" si="4"/>
        <v>32</v>
      </c>
      <c r="B33" s="4" t="s">
        <v>67</v>
      </c>
      <c r="C33" s="3">
        <v>551.0</v>
      </c>
      <c r="D33" s="4">
        <f t="shared" si="5"/>
        <v>41</v>
      </c>
      <c r="E33" s="3">
        <v>29.0</v>
      </c>
      <c r="F33" s="3">
        <f t="shared" si="1"/>
        <v>12</v>
      </c>
      <c r="G33" s="5">
        <v>1.0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4" t="s">
        <v>58</v>
      </c>
      <c r="N33" s="5">
        <f>(E33-1)+VLOOKUP(M33,Size,2,0)</f>
        <v>26</v>
      </c>
      <c r="O33" s="5">
        <f>VLOOKUP(E33,LevelData,4)</f>
        <v>29</v>
      </c>
      <c r="P33" s="5">
        <f>O33+VLOOKUP(M33,Size,3,0)</f>
        <v>27</v>
      </c>
      <c r="Q33" s="5">
        <f t="shared" si="2"/>
        <v>16</v>
      </c>
      <c r="R33" s="5">
        <f>VLOOKUP(E33,LevelData,2)</f>
        <v>16</v>
      </c>
      <c r="S33" s="5">
        <f t="shared" si="3"/>
        <v>16</v>
      </c>
      <c r="T33" s="4" t="s">
        <v>149</v>
      </c>
      <c r="U33" s="3">
        <v>31.0</v>
      </c>
      <c r="V33" s="4">
        <f>INT(14+(E33/2))-VLOOKUP(M33,Size,2,0)</f>
        <v>30</v>
      </c>
      <c r="W33" s="3">
        <f t="shared" si="6"/>
        <v>26</v>
      </c>
      <c r="X33" s="4" t="s">
        <v>69</v>
      </c>
      <c r="Y33" s="3">
        <v>13.0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2.75" customHeight="1">
      <c r="A34" s="3">
        <f t="shared" si="4"/>
        <v>33</v>
      </c>
      <c r="B34" s="4"/>
      <c r="C34" s="3">
        <v>601.0</v>
      </c>
      <c r="D34" s="4">
        <f t="shared" si="5"/>
        <v>42</v>
      </c>
      <c r="E34" s="3">
        <v>30.0</v>
      </c>
      <c r="F34" s="3">
        <f t="shared" si="1"/>
        <v>12</v>
      </c>
      <c r="G34" s="5">
        <v>0.0</v>
      </c>
      <c r="H34" s="5">
        <v>0.0</v>
      </c>
      <c r="I34" s="5">
        <v>1.0</v>
      </c>
      <c r="J34" s="5">
        <v>1.0</v>
      </c>
      <c r="K34" s="5">
        <v>1.0</v>
      </c>
      <c r="L34" s="5">
        <v>1.0</v>
      </c>
      <c r="M34" s="4" t="s">
        <v>58</v>
      </c>
      <c r="N34" s="5">
        <f>(E34-1)+VLOOKUP(M34,Size,2,0)</f>
        <v>27</v>
      </c>
      <c r="O34" s="5">
        <f>VLOOKUP(E34,LevelData,4)</f>
        <v>30</v>
      </c>
      <c r="P34" s="5">
        <f>O34+VLOOKUP(M34,Size,3,0)</f>
        <v>28</v>
      </c>
      <c r="Q34" s="5">
        <f t="shared" si="2"/>
        <v>17</v>
      </c>
      <c r="R34" s="5">
        <f>VLOOKUP(E34,LevelData,2)</f>
        <v>17</v>
      </c>
      <c r="S34" s="5">
        <f t="shared" si="3"/>
        <v>17</v>
      </c>
      <c r="T34" s="4" t="s">
        <v>149</v>
      </c>
      <c r="U34" s="3">
        <v>31.0</v>
      </c>
      <c r="V34" s="4">
        <f>INT(14+(E34/2))-VLOOKUP(M34,Size,2,0)</f>
        <v>31</v>
      </c>
      <c r="W34" s="3">
        <f t="shared" si="6"/>
        <v>27</v>
      </c>
      <c r="X34" s="4"/>
      <c r="Y34" s="3">
        <v>13.0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3">
        <f t="shared" si="4"/>
        <v>34</v>
      </c>
      <c r="B35" s="4"/>
      <c r="C35" s="3">
        <v>651.0</v>
      </c>
      <c r="D35" s="4">
        <f t="shared" si="5"/>
        <v>43</v>
      </c>
      <c r="E35" s="3">
        <v>31.0</v>
      </c>
      <c r="F35" s="3">
        <f t="shared" si="1"/>
        <v>12</v>
      </c>
      <c r="G35" s="5">
        <v>1.0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4" t="s">
        <v>58</v>
      </c>
      <c r="N35" s="5">
        <f>(E35-1)+VLOOKUP(M35,Size,2,0)</f>
        <v>28</v>
      </c>
      <c r="O35" s="5">
        <f>VLOOKUP(E35,LevelData,4)</f>
        <v>31</v>
      </c>
      <c r="P35" s="5">
        <f>O35+VLOOKUP(M35,Size,3,0)</f>
        <v>29</v>
      </c>
      <c r="Q35" s="5">
        <f t="shared" si="2"/>
        <v>17</v>
      </c>
      <c r="R35" s="5">
        <f>VLOOKUP(E35,LevelData,2)</f>
        <v>17</v>
      </c>
      <c r="S35" s="5">
        <f t="shared" si="3"/>
        <v>17</v>
      </c>
      <c r="T35" s="4" t="s">
        <v>150</v>
      </c>
      <c r="U35" s="3">
        <v>32.0</v>
      </c>
      <c r="V35" s="4">
        <f>INT(14+(E35/2))-VLOOKUP(M35,Size,2,0)</f>
        <v>31</v>
      </c>
      <c r="W35" s="3">
        <f t="shared" si="6"/>
        <v>27</v>
      </c>
      <c r="X35" s="4"/>
      <c r="Y35" s="3">
        <v>14.0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7">
        <f t="shared" si="4"/>
        <v>35</v>
      </c>
      <c r="B36" s="8"/>
      <c r="C36" s="7">
        <v>701.0</v>
      </c>
      <c r="D36" s="8">
        <f t="shared" si="5"/>
        <v>44</v>
      </c>
      <c r="E36" s="7">
        <v>32.0</v>
      </c>
      <c r="F36" s="7">
        <f t="shared" si="1"/>
        <v>12</v>
      </c>
      <c r="G36" s="9">
        <v>0.0</v>
      </c>
      <c r="H36" s="9">
        <v>0.0</v>
      </c>
      <c r="I36" s="9">
        <v>0.0</v>
      </c>
      <c r="J36" s="9">
        <v>0.0</v>
      </c>
      <c r="K36" s="9">
        <v>0.0</v>
      </c>
      <c r="L36" s="9">
        <v>0.0</v>
      </c>
      <c r="M36" s="8" t="s">
        <v>58</v>
      </c>
      <c r="N36" s="9">
        <f>(E36-1)+VLOOKUP(M36,Size,2,0)</f>
        <v>29</v>
      </c>
      <c r="O36" s="9">
        <f>VLOOKUP(E36,LevelData,4)</f>
        <v>32</v>
      </c>
      <c r="P36" s="9">
        <f>O36+VLOOKUP(M36,Size,3,0)</f>
        <v>30</v>
      </c>
      <c r="Q36" s="9">
        <f t="shared" si="2"/>
        <v>18</v>
      </c>
      <c r="R36" s="9">
        <f>VLOOKUP(E36,LevelData,2)</f>
        <v>18</v>
      </c>
      <c r="S36" s="9">
        <f t="shared" si="3"/>
        <v>18</v>
      </c>
      <c r="T36" s="8" t="s">
        <v>150</v>
      </c>
      <c r="U36" s="7">
        <v>32.0</v>
      </c>
      <c r="V36" s="8">
        <f>INT(14+(E36/2))-VLOOKUP(M36,Size,2,0)</f>
        <v>32</v>
      </c>
      <c r="W36" s="7">
        <f t="shared" si="6"/>
        <v>28</v>
      </c>
      <c r="X36" s="8"/>
      <c r="Y36" s="7">
        <v>14.0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12.75" customHeight="1">
      <c r="A37" s="10">
        <f t="shared" si="4"/>
        <v>36</v>
      </c>
      <c r="B37" s="11" t="s">
        <v>71</v>
      </c>
      <c r="C37" s="10">
        <v>751.0</v>
      </c>
      <c r="D37" s="11">
        <f t="shared" si="5"/>
        <v>45</v>
      </c>
      <c r="E37" s="10">
        <v>32.0</v>
      </c>
      <c r="F37" s="10">
        <f t="shared" si="1"/>
        <v>13</v>
      </c>
      <c r="G37" s="12">
        <v>1.0</v>
      </c>
      <c r="H37" s="12">
        <v>0.0</v>
      </c>
      <c r="I37" s="12">
        <v>1.0</v>
      </c>
      <c r="J37" s="12">
        <v>1.0</v>
      </c>
      <c r="K37" s="12">
        <v>1.0</v>
      </c>
      <c r="L37" s="12">
        <v>1.0</v>
      </c>
      <c r="M37" s="11" t="s">
        <v>77</v>
      </c>
      <c r="N37" s="12">
        <f>(E37-1)+VLOOKUP(M37,Size,2,0)</f>
        <v>27</v>
      </c>
      <c r="O37" s="12">
        <f>VLOOKUP(E37,LevelData,4)</f>
        <v>32</v>
      </c>
      <c r="P37" s="12">
        <f>O37+VLOOKUP(M37,Size,3,0)</f>
        <v>28</v>
      </c>
      <c r="Q37" s="12">
        <f t="shared" si="2"/>
        <v>18</v>
      </c>
      <c r="R37" s="12">
        <f>VLOOKUP(E37,LevelData,2)</f>
        <v>18</v>
      </c>
      <c r="S37" s="12">
        <f t="shared" si="3"/>
        <v>18</v>
      </c>
      <c r="T37" s="11" t="s">
        <v>151</v>
      </c>
      <c r="U37" s="10">
        <v>33.0</v>
      </c>
      <c r="V37" s="11">
        <f>INT(13+(E37/2))-VLOOKUP(M37,Size,2,0)</f>
        <v>33</v>
      </c>
      <c r="W37" s="10">
        <f t="shared" si="6"/>
        <v>28</v>
      </c>
      <c r="X37" s="11" t="s">
        <v>205</v>
      </c>
      <c r="Y37" s="10">
        <v>15.0</v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12.75" customHeight="1">
      <c r="A38" s="10">
        <f t="shared" si="4"/>
        <v>37</v>
      </c>
      <c r="B38" s="11"/>
      <c r="C38" s="10">
        <v>801.0</v>
      </c>
      <c r="D38" s="11">
        <f t="shared" si="5"/>
        <v>46</v>
      </c>
      <c r="E38" s="10">
        <v>33.0</v>
      </c>
      <c r="F38" s="10">
        <f t="shared" si="1"/>
        <v>13</v>
      </c>
      <c r="G38" s="12">
        <v>0.0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1" t="s">
        <v>77</v>
      </c>
      <c r="N38" s="12">
        <f>(E38-1)+VLOOKUP(M38,Size,2,0)</f>
        <v>28</v>
      </c>
      <c r="O38" s="12">
        <f>VLOOKUP(E38,LevelData,4)</f>
        <v>33</v>
      </c>
      <c r="P38" s="12">
        <f>O38+VLOOKUP(M38,Size,3,0)</f>
        <v>29</v>
      </c>
      <c r="Q38" s="12">
        <f t="shared" si="2"/>
        <v>18</v>
      </c>
      <c r="R38" s="12">
        <f>VLOOKUP(E38,LevelData,2)</f>
        <v>18</v>
      </c>
      <c r="S38" s="12">
        <f t="shared" si="3"/>
        <v>18</v>
      </c>
      <c r="T38" s="11" t="s">
        <v>151</v>
      </c>
      <c r="U38" s="10">
        <v>33.0</v>
      </c>
      <c r="V38" s="11">
        <f>INT(13+(E38/2))-VLOOKUP(M38,Size,2,0)</f>
        <v>33</v>
      </c>
      <c r="W38" s="10">
        <f t="shared" si="6"/>
        <v>28</v>
      </c>
      <c r="X38" s="11" t="s">
        <v>96</v>
      </c>
      <c r="Y38" s="10">
        <v>15.0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2.75" customHeight="1">
      <c r="A39" s="10">
        <f t="shared" si="4"/>
        <v>38</v>
      </c>
      <c r="B39" s="11"/>
      <c r="C39" s="10">
        <v>851.0</v>
      </c>
      <c r="D39" s="11">
        <f t="shared" si="5"/>
        <v>47</v>
      </c>
      <c r="E39" s="10">
        <v>34.0</v>
      </c>
      <c r="F39" s="10">
        <f t="shared" si="1"/>
        <v>13</v>
      </c>
      <c r="G39" s="12">
        <v>1.0</v>
      </c>
      <c r="H39" s="12">
        <v>0.0</v>
      </c>
      <c r="I39" s="12">
        <v>1.0</v>
      </c>
      <c r="J39" s="12">
        <v>0.0</v>
      </c>
      <c r="K39" s="12">
        <v>1.0</v>
      </c>
      <c r="L39" s="12">
        <v>0.0</v>
      </c>
      <c r="M39" s="11" t="s">
        <v>77</v>
      </c>
      <c r="N39" s="12">
        <f>(E39-1)+VLOOKUP(M39,Size,2,0)</f>
        <v>29</v>
      </c>
      <c r="O39" s="12">
        <f>VLOOKUP(E39,LevelData,4)</f>
        <v>34</v>
      </c>
      <c r="P39" s="12">
        <f>O39+VLOOKUP(M39,Size,3,0)</f>
        <v>30</v>
      </c>
      <c r="Q39" s="12">
        <f t="shared" si="2"/>
        <v>19</v>
      </c>
      <c r="R39" s="12">
        <f>VLOOKUP(E39,LevelData,2)</f>
        <v>19</v>
      </c>
      <c r="S39" s="12">
        <f t="shared" si="3"/>
        <v>19</v>
      </c>
      <c r="T39" s="11" t="s">
        <v>154</v>
      </c>
      <c r="U39" s="10">
        <v>34.0</v>
      </c>
      <c r="V39" s="11">
        <f>INT(13+(E39/2))-VLOOKUP(M39,Size,2,0)</f>
        <v>34</v>
      </c>
      <c r="W39" s="10">
        <f t="shared" si="6"/>
        <v>29</v>
      </c>
      <c r="X39" s="11"/>
      <c r="Y39" s="10">
        <v>16.0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12.75" customHeight="1">
      <c r="A40" s="1">
        <f t="shared" si="4"/>
        <v>39</v>
      </c>
      <c r="B40" s="2"/>
      <c r="C40" s="1">
        <v>901.0</v>
      </c>
      <c r="D40" s="2">
        <f t="shared" si="5"/>
        <v>48</v>
      </c>
      <c r="E40" s="1">
        <v>35.0</v>
      </c>
      <c r="F40" s="1">
        <f t="shared" si="1"/>
        <v>13</v>
      </c>
      <c r="G40" s="13">
        <v>0.0</v>
      </c>
      <c r="H40" s="13">
        <v>0.0</v>
      </c>
      <c r="I40" s="13">
        <v>0.0</v>
      </c>
      <c r="J40" s="13">
        <v>1.0</v>
      </c>
      <c r="K40" s="13">
        <v>0.0</v>
      </c>
      <c r="L40" s="13">
        <v>1.0</v>
      </c>
      <c r="M40" s="2" t="s">
        <v>77</v>
      </c>
      <c r="N40" s="13">
        <f>(E40-1)+VLOOKUP(M40,Size,2,0)</f>
        <v>30</v>
      </c>
      <c r="O40" s="13">
        <f>VLOOKUP(E40,LevelData,4)</f>
        <v>35</v>
      </c>
      <c r="P40" s="13">
        <f>O40+VLOOKUP(M40,Size,3,0)</f>
        <v>31</v>
      </c>
      <c r="Q40" s="13">
        <f t="shared" si="2"/>
        <v>19</v>
      </c>
      <c r="R40" s="13">
        <f>VLOOKUP(E40,LevelData,2)</f>
        <v>19</v>
      </c>
      <c r="S40" s="13">
        <f t="shared" si="3"/>
        <v>19</v>
      </c>
      <c r="T40" s="2" t="s">
        <v>154</v>
      </c>
      <c r="U40" s="1">
        <v>35.0</v>
      </c>
      <c r="V40" s="2">
        <f>INT(13+(E40/2))-VLOOKUP(M40,Size,2,0)</f>
        <v>34</v>
      </c>
      <c r="W40" s="1">
        <f t="shared" si="6"/>
        <v>29</v>
      </c>
      <c r="X40" s="2"/>
      <c r="Y40" s="1">
        <v>16.0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2.75" customHeight="1">
      <c r="A41" s="3">
        <f t="shared" si="4"/>
        <v>40</v>
      </c>
      <c r="B41" s="4" t="s">
        <v>76</v>
      </c>
      <c r="C41" s="3">
        <v>851.0</v>
      </c>
      <c r="D41" s="4">
        <f t="shared" si="5"/>
        <v>49</v>
      </c>
      <c r="E41" s="3">
        <v>35.0</v>
      </c>
      <c r="F41" s="3">
        <f t="shared" si="1"/>
        <v>14</v>
      </c>
      <c r="G41" s="5">
        <v>1.0</v>
      </c>
      <c r="H41" s="5">
        <v>0.0</v>
      </c>
      <c r="I41" s="5">
        <v>1.0</v>
      </c>
      <c r="J41" s="5">
        <v>1.0</v>
      </c>
      <c r="K41" s="5">
        <v>1.0</v>
      </c>
      <c r="L41" s="5">
        <v>1.0</v>
      </c>
      <c r="M41" s="4" t="s">
        <v>77</v>
      </c>
      <c r="N41" s="5">
        <f>(E41-1)+VLOOKUP(M41,Size,2,0)</f>
        <v>30</v>
      </c>
      <c r="O41" s="5">
        <f>VLOOKUP(E41,LevelData,4)</f>
        <v>35</v>
      </c>
      <c r="P41" s="5">
        <f>O41+VLOOKUP(M41,Size,3,0)</f>
        <v>31</v>
      </c>
      <c r="Q41" s="5">
        <f t="shared" si="2"/>
        <v>19</v>
      </c>
      <c r="R41" s="5">
        <f>VLOOKUP(E41,LevelData,2)</f>
        <v>19</v>
      </c>
      <c r="S41" s="5">
        <f t="shared" si="3"/>
        <v>19</v>
      </c>
      <c r="T41" s="4" t="s">
        <v>155</v>
      </c>
      <c r="U41" s="3">
        <v>36.0</v>
      </c>
      <c r="V41" s="4">
        <f>INT(13+(E41/2))-VLOOKUP(M41,Size,2,0)</f>
        <v>34</v>
      </c>
      <c r="W41" s="3">
        <f t="shared" si="6"/>
        <v>29</v>
      </c>
      <c r="X41" s="4" t="s">
        <v>79</v>
      </c>
      <c r="Y41" s="3">
        <v>17.0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2.75" customHeight="1">
      <c r="A42" s="3">
        <f t="shared" si="4"/>
        <v>41</v>
      </c>
      <c r="B42" s="4"/>
      <c r="C42" s="3">
        <v>1001.0</v>
      </c>
      <c r="D42" s="4">
        <f t="shared" si="5"/>
        <v>50</v>
      </c>
      <c r="E42" s="3">
        <v>36.0</v>
      </c>
      <c r="F42" s="3">
        <f t="shared" si="1"/>
        <v>14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4" t="s">
        <v>77</v>
      </c>
      <c r="N42" s="5">
        <f>(E42-1)+VLOOKUP(M42,Size,2,0)</f>
        <v>31</v>
      </c>
      <c r="O42" s="5">
        <f>VLOOKUP(E42,LevelData,4)</f>
        <v>36</v>
      </c>
      <c r="P42" s="5">
        <f>O42+VLOOKUP(M42,Size,3,0)</f>
        <v>32</v>
      </c>
      <c r="Q42" s="5">
        <f t="shared" si="2"/>
        <v>20</v>
      </c>
      <c r="R42" s="5">
        <f>VLOOKUP(E42,LevelData,2)</f>
        <v>20</v>
      </c>
      <c r="S42" s="5">
        <f t="shared" si="3"/>
        <v>20</v>
      </c>
      <c r="T42" s="4" t="s">
        <v>155</v>
      </c>
      <c r="U42" s="3">
        <v>36.0</v>
      </c>
      <c r="V42" s="4">
        <f>INT(13+(E42/2))-VLOOKUP(M42,Size,2,0)</f>
        <v>35</v>
      </c>
      <c r="W42" s="3">
        <f t="shared" si="6"/>
        <v>30</v>
      </c>
      <c r="X42" s="4"/>
      <c r="Y42" s="3">
        <v>17.0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3">
        <f t="shared" si="4"/>
        <v>42</v>
      </c>
      <c r="B43" s="4"/>
      <c r="C43" s="3">
        <v>1051.0</v>
      </c>
      <c r="D43" s="4">
        <f t="shared" si="5"/>
        <v>51</v>
      </c>
      <c r="E43" s="3">
        <v>37.0</v>
      </c>
      <c r="F43" s="3">
        <f t="shared" si="1"/>
        <v>14</v>
      </c>
      <c r="G43" s="5">
        <v>1.0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4" t="s">
        <v>77</v>
      </c>
      <c r="N43" s="5">
        <f>(E43-1)+VLOOKUP(M43,Size,2,0)</f>
        <v>32</v>
      </c>
      <c r="O43" s="5">
        <f>VLOOKUP(E43,LevelData,4)</f>
        <v>37</v>
      </c>
      <c r="P43" s="5">
        <f>O43+VLOOKUP(M43,Size,3,0)</f>
        <v>33</v>
      </c>
      <c r="Q43" s="5">
        <f t="shared" si="2"/>
        <v>20</v>
      </c>
      <c r="R43" s="5">
        <f>VLOOKUP(E43,LevelData,2)</f>
        <v>20</v>
      </c>
      <c r="S43" s="5">
        <f t="shared" si="3"/>
        <v>20</v>
      </c>
      <c r="T43" s="4" t="s">
        <v>157</v>
      </c>
      <c r="U43" s="3">
        <v>36.0</v>
      </c>
      <c r="V43" s="4">
        <f>INT(13+(E43/2))-VLOOKUP(M43,Size,2,0)</f>
        <v>35</v>
      </c>
      <c r="W43" s="3">
        <f t="shared" si="6"/>
        <v>30</v>
      </c>
      <c r="X43" s="4"/>
      <c r="Y43" s="3">
        <v>18.0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7">
        <f t="shared" si="4"/>
        <v>43</v>
      </c>
      <c r="B44" s="8"/>
      <c r="C44" s="7">
        <v>1101.0</v>
      </c>
      <c r="D44" s="8">
        <f t="shared" si="5"/>
        <v>52</v>
      </c>
      <c r="E44" s="7">
        <v>38.0</v>
      </c>
      <c r="F44" s="7">
        <f t="shared" si="1"/>
        <v>14</v>
      </c>
      <c r="G44" s="9">
        <v>0.0</v>
      </c>
      <c r="H44" s="9">
        <v>0.0</v>
      </c>
      <c r="I44" s="9">
        <v>0.0</v>
      </c>
      <c r="J44" s="9">
        <v>0.0</v>
      </c>
      <c r="K44" s="9">
        <v>0.0</v>
      </c>
      <c r="L44" s="9">
        <v>0.0</v>
      </c>
      <c r="M44" s="8" t="s">
        <v>77</v>
      </c>
      <c r="N44" s="9">
        <f>(E44-1)+VLOOKUP(M44,Size,2,0)</f>
        <v>33</v>
      </c>
      <c r="O44" s="9">
        <f>VLOOKUP(E44,LevelData,4)</f>
        <v>38</v>
      </c>
      <c r="P44" s="9">
        <f>O44+VLOOKUP(M44,Size,3,0)</f>
        <v>34</v>
      </c>
      <c r="Q44" s="9">
        <f t="shared" si="2"/>
        <v>21</v>
      </c>
      <c r="R44" s="9">
        <f>VLOOKUP(E44,LevelData,2)</f>
        <v>21</v>
      </c>
      <c r="S44" s="9">
        <f t="shared" si="3"/>
        <v>21</v>
      </c>
      <c r="T44" s="8" t="s">
        <v>157</v>
      </c>
      <c r="U44" s="7">
        <v>36.0</v>
      </c>
      <c r="V44" s="8">
        <f>INT(13+(E44/2))-VLOOKUP(M44,Size,2,0)</f>
        <v>36</v>
      </c>
      <c r="W44" s="7">
        <f t="shared" si="6"/>
        <v>31</v>
      </c>
      <c r="X44" s="8"/>
      <c r="Y44" s="7">
        <v>18.0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ht="12.75" customHeight="1">
      <c r="A45" s="10">
        <f t="shared" si="4"/>
        <v>44</v>
      </c>
      <c r="B45" s="11" t="s">
        <v>81</v>
      </c>
      <c r="C45" s="10">
        <v>1151.0</v>
      </c>
      <c r="D45" s="11">
        <f t="shared" si="5"/>
        <v>53</v>
      </c>
      <c r="E45" s="10">
        <v>38.0</v>
      </c>
      <c r="F45" s="10">
        <f t="shared" si="1"/>
        <v>15</v>
      </c>
      <c r="G45" s="12">
        <v>1.0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  <c r="M45" s="11" t="s">
        <v>77</v>
      </c>
      <c r="N45" s="12">
        <f>(E45-1)+VLOOKUP(M45,Size,2,0)</f>
        <v>33</v>
      </c>
      <c r="O45" s="12">
        <f>VLOOKUP(E45,LevelData,4)</f>
        <v>38</v>
      </c>
      <c r="P45" s="12">
        <f>O45+VLOOKUP(M45,Size,3,0)</f>
        <v>34</v>
      </c>
      <c r="Q45" s="12">
        <f t="shared" si="2"/>
        <v>21</v>
      </c>
      <c r="R45" s="12">
        <f>VLOOKUP(E45,LevelData,2)</f>
        <v>21</v>
      </c>
      <c r="S45" s="12">
        <f t="shared" si="3"/>
        <v>21</v>
      </c>
      <c r="T45" s="11" t="s">
        <v>158</v>
      </c>
      <c r="U45" s="10">
        <v>37.0</v>
      </c>
      <c r="V45" s="11">
        <f>INT(13+(E45/2))-VLOOKUP(M45,Size,2,0)</f>
        <v>36</v>
      </c>
      <c r="W45" s="10">
        <f t="shared" si="6"/>
        <v>31</v>
      </c>
      <c r="X45" s="11" t="s">
        <v>205</v>
      </c>
      <c r="Y45" s="10">
        <v>19.0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12.75" customHeight="1">
      <c r="A46" s="10">
        <f t="shared" si="4"/>
        <v>45</v>
      </c>
      <c r="B46" s="11"/>
      <c r="C46" s="10">
        <v>1201.0</v>
      </c>
      <c r="D46" s="11">
        <f t="shared" si="5"/>
        <v>54</v>
      </c>
      <c r="E46" s="10">
        <v>39.0</v>
      </c>
      <c r="F46" s="10">
        <f t="shared" si="1"/>
        <v>15</v>
      </c>
      <c r="G46" s="12">
        <v>0.0</v>
      </c>
      <c r="H46" s="12">
        <v>0.0</v>
      </c>
      <c r="I46" s="12">
        <v>1.0</v>
      </c>
      <c r="J46" s="12">
        <v>0.0</v>
      </c>
      <c r="K46" s="12">
        <v>0.0</v>
      </c>
      <c r="L46" s="12">
        <v>1.0</v>
      </c>
      <c r="M46" s="11" t="s">
        <v>77</v>
      </c>
      <c r="N46" s="12">
        <f>(E46-1)+VLOOKUP(M46,Size,2,0)</f>
        <v>34</v>
      </c>
      <c r="O46" s="12">
        <f>VLOOKUP(E46,LevelData,4)</f>
        <v>39</v>
      </c>
      <c r="P46" s="12">
        <f>O46+VLOOKUP(M46,Size,3,0)</f>
        <v>35</v>
      </c>
      <c r="Q46" s="12">
        <f t="shared" si="2"/>
        <v>21</v>
      </c>
      <c r="R46" s="12">
        <f>VLOOKUP(E46,LevelData,2)</f>
        <v>21</v>
      </c>
      <c r="S46" s="12">
        <f t="shared" si="3"/>
        <v>21</v>
      </c>
      <c r="T46" s="11" t="s">
        <v>158</v>
      </c>
      <c r="U46" s="10">
        <v>37.0</v>
      </c>
      <c r="V46" s="11">
        <f>INT(13+(E46/2))-VLOOKUP(M46,Size,2,0)</f>
        <v>36</v>
      </c>
      <c r="W46" s="10">
        <f t="shared" si="6"/>
        <v>31</v>
      </c>
      <c r="X46" s="11" t="s">
        <v>206</v>
      </c>
      <c r="Y46" s="10">
        <v>19.0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2.75" customHeight="1">
      <c r="A47" s="10">
        <f t="shared" si="4"/>
        <v>46</v>
      </c>
      <c r="B47" s="11"/>
      <c r="C47" s="10" t="s">
        <v>84</v>
      </c>
      <c r="D47" s="11">
        <f t="shared" si="5"/>
        <v>55</v>
      </c>
      <c r="E47" s="10">
        <v>40.0</v>
      </c>
      <c r="F47" s="10">
        <f t="shared" si="1"/>
        <v>15</v>
      </c>
      <c r="G47" s="12">
        <v>1.0</v>
      </c>
      <c r="H47" s="12">
        <v>0.0</v>
      </c>
      <c r="I47" s="12">
        <v>0.0</v>
      </c>
      <c r="J47" s="12">
        <v>1.0</v>
      </c>
      <c r="K47" s="12">
        <v>0.0</v>
      </c>
      <c r="L47" s="12">
        <v>0.0</v>
      </c>
      <c r="M47" s="11" t="s">
        <v>77</v>
      </c>
      <c r="N47" s="12">
        <f>(E47-1)+VLOOKUP(M47,Size,2,0)</f>
        <v>35</v>
      </c>
      <c r="O47" s="12">
        <f>VLOOKUP(E47,LevelData,4)</f>
        <v>40</v>
      </c>
      <c r="P47" s="12">
        <f>O47+VLOOKUP(M47,Size,3,0)</f>
        <v>36</v>
      </c>
      <c r="Q47" s="12">
        <f t="shared" si="2"/>
        <v>22</v>
      </c>
      <c r="R47" s="12">
        <f>VLOOKUP(E47,LevelData,2)</f>
        <v>22</v>
      </c>
      <c r="S47" s="12">
        <f t="shared" si="3"/>
        <v>22</v>
      </c>
      <c r="T47" s="11" t="s">
        <v>161</v>
      </c>
      <c r="U47" s="10">
        <v>38.0</v>
      </c>
      <c r="V47" s="11">
        <f>INT(13+(E47/2))-VLOOKUP(M47,Size,2,0)</f>
        <v>37</v>
      </c>
      <c r="W47" s="10">
        <f t="shared" si="6"/>
        <v>32</v>
      </c>
      <c r="X47" s="11"/>
      <c r="Y47" s="10">
        <v>20.0</v>
      </c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12.75" customHeight="1">
      <c r="A48" s="1">
        <f t="shared" si="4"/>
        <v>47</v>
      </c>
      <c r="B48" s="2"/>
      <c r="C48" s="1" t="s">
        <v>86</v>
      </c>
      <c r="D48" s="2">
        <f t="shared" si="5"/>
        <v>56</v>
      </c>
      <c r="E48" s="1">
        <v>41.0</v>
      </c>
      <c r="F48" s="1">
        <f t="shared" si="1"/>
        <v>15</v>
      </c>
      <c r="G48" s="13">
        <v>0.0</v>
      </c>
      <c r="H48" s="13">
        <v>0.0</v>
      </c>
      <c r="I48" s="13">
        <v>0.0</v>
      </c>
      <c r="J48" s="13">
        <v>0.0</v>
      </c>
      <c r="K48" s="13">
        <v>1.0</v>
      </c>
      <c r="L48" s="13">
        <v>0.0</v>
      </c>
      <c r="M48" s="2" t="s">
        <v>77</v>
      </c>
      <c r="N48" s="13">
        <f>(E48-1)+VLOOKUP(M48,Size,2,0)</f>
        <v>36</v>
      </c>
      <c r="O48" s="13">
        <f>VLOOKUP(E48,LevelData,4)</f>
        <v>41</v>
      </c>
      <c r="P48" s="13">
        <f>O48+VLOOKUP(M48,Size,3,0)</f>
        <v>37</v>
      </c>
      <c r="Q48" s="13">
        <f t="shared" si="2"/>
        <v>22</v>
      </c>
      <c r="R48" s="13">
        <f>VLOOKUP(E48,LevelData,2)</f>
        <v>22</v>
      </c>
      <c r="S48" s="13">
        <f t="shared" si="3"/>
        <v>22</v>
      </c>
      <c r="T48" s="2" t="s">
        <v>161</v>
      </c>
      <c r="U48" s="1">
        <v>38.0</v>
      </c>
      <c r="V48" s="2">
        <f>INT(13+(E48/2))-VLOOKUP(M48,Size,2,0)</f>
        <v>37</v>
      </c>
      <c r="W48" s="1">
        <f t="shared" si="6"/>
        <v>32</v>
      </c>
      <c r="X48" s="2"/>
      <c r="Y48" s="1">
        <v>20.0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2.75" customHeight="1">
      <c r="A49" s="3">
        <f t="shared" si="4"/>
        <v>48</v>
      </c>
      <c r="B49" s="4" t="s">
        <v>89</v>
      </c>
      <c r="C49" s="3" t="s">
        <v>88</v>
      </c>
      <c r="D49" s="4">
        <f t="shared" si="5"/>
        <v>57</v>
      </c>
      <c r="E49" s="3">
        <v>41.0</v>
      </c>
      <c r="F49" s="3">
        <f t="shared" si="1"/>
        <v>16</v>
      </c>
      <c r="G49" s="5">
        <v>1.0</v>
      </c>
      <c r="H49" s="5">
        <v>0.0</v>
      </c>
      <c r="I49" s="5">
        <v>1.0</v>
      </c>
      <c r="J49" s="5">
        <v>1.0</v>
      </c>
      <c r="K49" s="5">
        <v>1.0</v>
      </c>
      <c r="L49" s="5">
        <v>1.0</v>
      </c>
      <c r="M49" s="4" t="s">
        <v>77</v>
      </c>
      <c r="N49" s="5">
        <f>(E49-1)+VLOOKUP(M49,Size,2,0)</f>
        <v>36</v>
      </c>
      <c r="O49" s="5">
        <f>VLOOKUP(E49,LevelData,4)</f>
        <v>41</v>
      </c>
      <c r="P49" s="5">
        <f>O49+VLOOKUP(M49,Size,3,0)</f>
        <v>37</v>
      </c>
      <c r="Q49" s="5">
        <f t="shared" si="2"/>
        <v>22</v>
      </c>
      <c r="R49" s="5">
        <f>VLOOKUP(E49,LevelData,2)</f>
        <v>22</v>
      </c>
      <c r="S49" s="5">
        <f t="shared" si="3"/>
        <v>22</v>
      </c>
      <c r="T49" s="4" t="s">
        <v>163</v>
      </c>
      <c r="U49" s="3">
        <v>39.0</v>
      </c>
      <c r="V49" s="4">
        <f>INT(13+(E49/2))-VLOOKUP(M49,Size,2,0)</f>
        <v>37</v>
      </c>
      <c r="W49" s="3">
        <f t="shared" si="6"/>
        <v>32</v>
      </c>
      <c r="X49" s="4"/>
      <c r="Y49" s="3">
        <v>21.0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12.75" customHeight="1">
      <c r="A50" s="10"/>
      <c r="B50" s="11"/>
      <c r="C50" s="10"/>
      <c r="D50" s="11"/>
      <c r="E50" s="10"/>
      <c r="F50" s="10"/>
      <c r="G50" s="11"/>
      <c r="H50" s="11"/>
      <c r="I50" s="11"/>
      <c r="J50" s="11"/>
      <c r="K50" s="11"/>
      <c r="L50" s="11"/>
      <c r="M50" s="14" t="str">
        <f>HYPERLINK("http://www.geocities.com/galliard6/dragons_sheet.html","Back")</f>
        <v>Back</v>
      </c>
      <c r="N50" s="11"/>
      <c r="O50" s="11"/>
      <c r="P50" s="11"/>
      <c r="Q50" s="11"/>
      <c r="R50" s="11"/>
      <c r="S50" s="11"/>
      <c r="T50" s="11"/>
      <c r="U50" s="10"/>
      <c r="V50" s="11"/>
      <c r="W50" s="10"/>
      <c r="X50" s="11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12.75" customHeight="1">
      <c r="A51" s="10"/>
      <c r="B51" s="11"/>
      <c r="C51" s="10"/>
      <c r="D51" s="11"/>
      <c r="E51" s="10"/>
      <c r="F51" s="1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0"/>
      <c r="V51" s="11"/>
      <c r="W51" s="10"/>
      <c r="X51" s="1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2.75" customHeight="1">
      <c r="A52" s="10"/>
      <c r="B52" s="11"/>
      <c r="C52" s="10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/>
      <c r="V52" s="11"/>
      <c r="W52" s="10"/>
      <c r="X52" s="1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2.75" customHeight="1">
      <c r="A53" s="10"/>
      <c r="B53" s="11"/>
      <c r="C53" s="10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/>
      <c r="V53" s="11"/>
      <c r="W53" s="10"/>
      <c r="X53" s="11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2.75" customHeight="1">
      <c r="A54" s="10"/>
      <c r="B54" s="11"/>
      <c r="C54" s="10"/>
      <c r="D54" s="11"/>
      <c r="E54" s="10"/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1"/>
      <c r="W54" s="10"/>
      <c r="X54" s="11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2.75" customHeight="1">
      <c r="A55" s="10"/>
      <c r="B55" s="11"/>
      <c r="C55" s="10"/>
      <c r="D55" s="11"/>
      <c r="E55" s="10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/>
      <c r="V55" s="11"/>
      <c r="W55" s="10"/>
      <c r="X55" s="11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2.75" customHeight="1">
      <c r="A56" s="10"/>
      <c r="B56" s="11"/>
      <c r="C56" s="10"/>
      <c r="D56" s="11"/>
      <c r="E56" s="10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/>
      <c r="V56" s="11"/>
      <c r="W56" s="10"/>
      <c r="X56" s="11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2.75" customHeight="1">
      <c r="A57" s="10"/>
      <c r="B57" s="11"/>
      <c r="C57" s="10"/>
      <c r="D57" s="11"/>
      <c r="E57" s="10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/>
      <c r="V57" s="11"/>
      <c r="W57" s="10"/>
      <c r="X57" s="11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2.75" customHeight="1">
      <c r="A58" s="10"/>
      <c r="B58" s="11"/>
      <c r="C58" s="10"/>
      <c r="D58" s="11"/>
      <c r="E58" s="10"/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/>
      <c r="V58" s="11"/>
      <c r="W58" s="10"/>
      <c r="X58" s="11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2.75" customHeight="1">
      <c r="A59" s="10"/>
      <c r="B59" s="11"/>
      <c r="C59" s="10"/>
      <c r="D59" s="11"/>
      <c r="E59" s="10"/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/>
      <c r="V59" s="11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2.75" customHeight="1">
      <c r="A60" s="10"/>
      <c r="B60" s="11"/>
      <c r="C60" s="10"/>
      <c r="D60" s="11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/>
      <c r="V60" s="11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2.75" customHeight="1">
      <c r="A61" s="10"/>
      <c r="B61" s="11"/>
      <c r="C61" s="10"/>
      <c r="D61" s="11"/>
      <c r="E61" s="10"/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/>
      <c r="V61" s="11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2.75" customHeight="1">
      <c r="A62" s="10"/>
      <c r="B62" s="11"/>
      <c r="C62" s="10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/>
      <c r="V62" s="11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2.75" customHeight="1">
      <c r="A63" s="10"/>
      <c r="B63" s="11"/>
      <c r="C63" s="10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2.75" customHeight="1">
      <c r="A64" s="10"/>
      <c r="B64" s="11"/>
      <c r="C64" s="10"/>
      <c r="D64" s="11"/>
      <c r="E64" s="10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2.75" customHeight="1">
      <c r="A65" s="10"/>
      <c r="B65" s="11"/>
      <c r="C65" s="10"/>
      <c r="D65" s="11"/>
      <c r="E65" s="10"/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2.75" customHeight="1">
      <c r="A66" s="10"/>
      <c r="B66" s="11"/>
      <c r="C66" s="10"/>
      <c r="D66" s="11"/>
      <c r="E66" s="10"/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2.75" customHeight="1">
      <c r="A67" s="10"/>
      <c r="B67" s="11"/>
      <c r="C67" s="10"/>
      <c r="D67" s="11"/>
      <c r="E67" s="10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2.75" customHeight="1">
      <c r="A68" s="10"/>
      <c r="B68" s="11"/>
      <c r="C68" s="10"/>
      <c r="D68" s="11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2.75" customHeight="1">
      <c r="A69" s="10"/>
      <c r="B69" s="11"/>
      <c r="C69" s="10"/>
      <c r="D69" s="11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2.75" customHeight="1">
      <c r="A70" s="10"/>
      <c r="B70" s="11"/>
      <c r="C70" s="10"/>
      <c r="D70" s="11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2.75" customHeight="1">
      <c r="A71" s="10"/>
      <c r="B71" s="11"/>
      <c r="C71" s="10"/>
      <c r="D71" s="11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2.75" customHeight="1">
      <c r="A72" s="10"/>
      <c r="B72" s="11"/>
      <c r="C72" s="10"/>
      <c r="D72" s="11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2.75" customHeight="1">
      <c r="A73" s="10"/>
      <c r="B73" s="11"/>
      <c r="C73" s="10"/>
      <c r="D73" s="11"/>
      <c r="E73" s="10"/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2.75" customHeight="1">
      <c r="A74" s="10"/>
      <c r="B74" s="11"/>
      <c r="C74" s="10"/>
      <c r="D74" s="11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2.75" customHeight="1">
      <c r="A75" s="10"/>
      <c r="B75" s="11"/>
      <c r="C75" s="10"/>
      <c r="D75" s="11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2.75" customHeight="1">
      <c r="A76" s="10"/>
      <c r="B76" s="11"/>
      <c r="C76" s="10"/>
      <c r="D76" s="11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2.75" customHeight="1">
      <c r="A77" s="10"/>
      <c r="B77" s="11"/>
      <c r="C77" s="10"/>
      <c r="D77" s="11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2.75" customHeight="1">
      <c r="A78" s="10"/>
      <c r="B78" s="11"/>
      <c r="C78" s="10"/>
      <c r="D78" s="11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2.75" customHeight="1">
      <c r="A79" s="10"/>
      <c r="B79" s="11"/>
      <c r="C79" s="10"/>
      <c r="D79" s="11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2.75" customHeight="1">
      <c r="A80" s="10"/>
      <c r="B80" s="11"/>
      <c r="C80" s="10"/>
      <c r="D80" s="11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2.75" customHeight="1">
      <c r="A81" s="10"/>
      <c r="B81" s="11"/>
      <c r="C81" s="10"/>
      <c r="D81" s="11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2.75" customHeight="1">
      <c r="A82" s="10"/>
      <c r="B82" s="11"/>
      <c r="C82" s="10"/>
      <c r="D82" s="11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2.75" customHeight="1">
      <c r="A83" s="10"/>
      <c r="B83" s="11"/>
      <c r="C83" s="10"/>
      <c r="D83" s="11"/>
      <c r="E83" s="10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2.75" customHeight="1">
      <c r="A84" s="10"/>
      <c r="B84" s="11"/>
      <c r="C84" s="10"/>
      <c r="D84" s="11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2.75" customHeight="1">
      <c r="A85" s="10"/>
      <c r="B85" s="11"/>
      <c r="C85" s="10"/>
      <c r="D85" s="11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2.75" customHeight="1">
      <c r="A86" s="10"/>
      <c r="B86" s="11"/>
      <c r="C86" s="10"/>
      <c r="D86" s="11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2.75" customHeight="1">
      <c r="A87" s="10"/>
      <c r="B87" s="11"/>
      <c r="C87" s="10"/>
      <c r="D87" s="11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2.75" customHeight="1">
      <c r="A88" s="10"/>
      <c r="B88" s="11"/>
      <c r="C88" s="10"/>
      <c r="D88" s="11"/>
      <c r="E88" s="10"/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2.75" customHeight="1">
      <c r="A89" s="10"/>
      <c r="B89" s="11"/>
      <c r="C89" s="10"/>
      <c r="D89" s="11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2.75" customHeight="1">
      <c r="A90" s="10"/>
      <c r="B90" s="11"/>
      <c r="C90" s="10"/>
      <c r="D90" s="11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2.75" customHeight="1">
      <c r="A91" s="10"/>
      <c r="B91" s="11"/>
      <c r="C91" s="10"/>
      <c r="D91" s="11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2.75" customHeight="1">
      <c r="A92" s="10"/>
      <c r="B92" s="11"/>
      <c r="C92" s="10"/>
      <c r="D92" s="11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2.75" customHeight="1">
      <c r="A93" s="10"/>
      <c r="B93" s="11"/>
      <c r="C93" s="10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2.75" customHeight="1">
      <c r="A94" s="10"/>
      <c r="B94" s="11"/>
      <c r="C94" s="10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2.75" customHeight="1">
      <c r="A95" s="10"/>
      <c r="B95" s="11"/>
      <c r="C95" s="10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2.75" customHeight="1">
      <c r="A96" s="10"/>
      <c r="B96" s="11"/>
      <c r="C96" s="10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2.75" customHeight="1">
      <c r="A97" s="10"/>
      <c r="B97" s="11"/>
      <c r="C97" s="10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2.75" customHeight="1">
      <c r="A98" s="10"/>
      <c r="B98" s="11"/>
      <c r="C98" s="10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2.75" customHeight="1">
      <c r="A99" s="10"/>
      <c r="B99" s="11"/>
      <c r="C99" s="10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2.75" customHeight="1">
      <c r="A100" s="10"/>
      <c r="B100" s="11"/>
      <c r="C100" s="10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2.75" customHeight="1">
      <c r="A101" s="10"/>
      <c r="B101" s="11"/>
      <c r="C101" s="10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2.75" customHeight="1">
      <c r="A102" s="10"/>
      <c r="B102" s="11"/>
      <c r="C102" s="10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2.75" customHeight="1">
      <c r="A103" s="10"/>
      <c r="B103" s="11"/>
      <c r="C103" s="10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2.75" customHeight="1">
      <c r="A104" s="10"/>
      <c r="B104" s="11"/>
      <c r="C104" s="10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2.75" customHeight="1">
      <c r="A105" s="10"/>
      <c r="B105" s="11"/>
      <c r="C105" s="10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2.75" customHeight="1">
      <c r="A106" s="10"/>
      <c r="B106" s="11"/>
      <c r="C106" s="10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2.75" customHeight="1">
      <c r="A107" s="10"/>
      <c r="B107" s="11"/>
      <c r="C107" s="10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2.75" customHeight="1">
      <c r="A108" s="10"/>
      <c r="B108" s="11"/>
      <c r="C108" s="10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2.75" customHeight="1">
      <c r="A109" s="10"/>
      <c r="B109" s="11"/>
      <c r="C109" s="10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2.75" customHeight="1">
      <c r="A110" s="10"/>
      <c r="B110" s="11"/>
      <c r="C110" s="10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2.75" customHeight="1">
      <c r="A111" s="10"/>
      <c r="B111" s="11"/>
      <c r="C111" s="10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2.75" customHeight="1">
      <c r="A112" s="10"/>
      <c r="B112" s="11"/>
      <c r="C112" s="10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2.75" customHeight="1">
      <c r="A113" s="10"/>
      <c r="B113" s="11"/>
      <c r="C113" s="10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2.75" customHeight="1">
      <c r="A114" s="10"/>
      <c r="B114" s="11"/>
      <c r="C114" s="10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2.75" customHeight="1">
      <c r="A115" s="10"/>
      <c r="B115" s="11"/>
      <c r="C115" s="10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2.75" customHeight="1">
      <c r="A116" s="10"/>
      <c r="B116" s="11"/>
      <c r="C116" s="10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2.75" customHeight="1">
      <c r="A117" s="10"/>
      <c r="B117" s="11"/>
      <c r="C117" s="10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2.75" customHeight="1">
      <c r="A118" s="10"/>
      <c r="B118" s="11"/>
      <c r="C118" s="10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2.75" customHeight="1">
      <c r="A119" s="10"/>
      <c r="B119" s="11"/>
      <c r="C119" s="10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2.75" customHeight="1">
      <c r="A120" s="10"/>
      <c r="B120" s="11"/>
      <c r="C120" s="10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2.75" customHeight="1">
      <c r="A121" s="10"/>
      <c r="B121" s="11"/>
      <c r="C121" s="10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2.75" customHeight="1">
      <c r="A122" s="10"/>
      <c r="B122" s="11"/>
      <c r="C122" s="10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2.75" customHeight="1">
      <c r="A123" s="10"/>
      <c r="B123" s="11"/>
      <c r="C123" s="10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2.75" customHeight="1">
      <c r="A124" s="10"/>
      <c r="B124" s="11"/>
      <c r="C124" s="10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2.75" customHeight="1">
      <c r="A125" s="10"/>
      <c r="B125" s="11"/>
      <c r="C125" s="10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2.75" customHeight="1">
      <c r="A126" s="10"/>
      <c r="B126" s="11"/>
      <c r="C126" s="10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2.75" customHeight="1">
      <c r="A127" s="10"/>
      <c r="B127" s="11"/>
      <c r="C127" s="10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2.75" customHeight="1">
      <c r="A128" s="10"/>
      <c r="B128" s="11"/>
      <c r="C128" s="10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2.75" customHeight="1">
      <c r="A129" s="10"/>
      <c r="B129" s="11"/>
      <c r="C129" s="10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2.75" customHeight="1">
      <c r="A130" s="10"/>
      <c r="B130" s="11"/>
      <c r="C130" s="10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2.75" customHeight="1">
      <c r="A131" s="10"/>
      <c r="B131" s="11"/>
      <c r="C131" s="10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2.75" customHeight="1">
      <c r="A132" s="10"/>
      <c r="B132" s="11"/>
      <c r="C132" s="10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2.75" customHeight="1">
      <c r="A133" s="10"/>
      <c r="B133" s="11"/>
      <c r="C133" s="10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2.75" customHeight="1">
      <c r="A134" s="10"/>
      <c r="B134" s="11"/>
      <c r="C134" s="10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2.75" customHeight="1">
      <c r="A135" s="10"/>
      <c r="B135" s="11"/>
      <c r="C135" s="10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2.75" customHeight="1">
      <c r="A136" s="10"/>
      <c r="B136" s="11"/>
      <c r="C136" s="10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2.75" customHeight="1">
      <c r="A137" s="10"/>
      <c r="B137" s="11"/>
      <c r="C137" s="10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2.75" customHeight="1">
      <c r="A138" s="10"/>
      <c r="B138" s="11"/>
      <c r="C138" s="10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2.75" customHeight="1">
      <c r="A139" s="10"/>
      <c r="B139" s="11"/>
      <c r="C139" s="10"/>
      <c r="D139" s="11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2.75" customHeight="1">
      <c r="A140" s="10"/>
      <c r="B140" s="11"/>
      <c r="C140" s="10"/>
      <c r="D140" s="11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2.75" customHeight="1">
      <c r="A141" s="10"/>
      <c r="B141" s="11"/>
      <c r="C141" s="10"/>
      <c r="D141" s="11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2.75" customHeight="1">
      <c r="A142" s="10"/>
      <c r="B142" s="11"/>
      <c r="C142" s="10"/>
      <c r="D142" s="11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2.75" customHeight="1">
      <c r="A143" s="10"/>
      <c r="B143" s="11"/>
      <c r="C143" s="10"/>
      <c r="D143" s="11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2.75" customHeight="1">
      <c r="A144" s="10"/>
      <c r="B144" s="11"/>
      <c r="C144" s="10"/>
      <c r="D144" s="11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2.75" customHeight="1">
      <c r="A145" s="10"/>
      <c r="B145" s="11"/>
      <c r="C145" s="10"/>
      <c r="D145" s="11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/>
      <c r="V145" s="11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2.75" customHeight="1">
      <c r="A146" s="10"/>
      <c r="B146" s="11"/>
      <c r="C146" s="10"/>
      <c r="D146" s="11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/>
      <c r="V146" s="11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2.75" customHeight="1">
      <c r="A147" s="10"/>
      <c r="B147" s="11"/>
      <c r="C147" s="10"/>
      <c r="D147" s="11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/>
      <c r="V147" s="11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2.75" customHeight="1">
      <c r="A148" s="10"/>
      <c r="B148" s="11"/>
      <c r="C148" s="10"/>
      <c r="D148" s="11"/>
      <c r="E148" s="10"/>
      <c r="F148" s="1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/>
      <c r="V148" s="11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2.75" customHeight="1">
      <c r="A149" s="10"/>
      <c r="B149" s="11"/>
      <c r="C149" s="10"/>
      <c r="D149" s="11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2.75" customHeight="1">
      <c r="A150" s="10"/>
      <c r="B150" s="11"/>
      <c r="C150" s="10"/>
      <c r="D150" s="11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2.75" customHeight="1">
      <c r="A151" s="10"/>
      <c r="B151" s="11"/>
      <c r="C151" s="10"/>
      <c r="D151" s="11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2.75" customHeight="1">
      <c r="A152" s="10"/>
      <c r="B152" s="11"/>
      <c r="C152" s="10"/>
      <c r="D152" s="11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2.75" customHeight="1">
      <c r="A153" s="10"/>
      <c r="B153" s="11"/>
      <c r="C153" s="10"/>
      <c r="D153" s="11"/>
      <c r="E153" s="10"/>
      <c r="F153" s="1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2.75" customHeight="1">
      <c r="A154" s="10"/>
      <c r="B154" s="11"/>
      <c r="C154" s="10"/>
      <c r="D154" s="11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2.75" customHeight="1">
      <c r="A155" s="10"/>
      <c r="B155" s="11"/>
      <c r="C155" s="10"/>
      <c r="D155" s="11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  <c r="W155" s="10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2.75" customHeight="1">
      <c r="A156" s="10"/>
      <c r="B156" s="11"/>
      <c r="C156" s="10"/>
      <c r="D156" s="11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  <c r="W156" s="10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2.75" customHeight="1">
      <c r="A157" s="10"/>
      <c r="B157" s="11"/>
      <c r="C157" s="10"/>
      <c r="D157" s="11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  <c r="W157" s="10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2.75" customHeight="1">
      <c r="A158" s="10"/>
      <c r="B158" s="11"/>
      <c r="C158" s="10"/>
      <c r="D158" s="11"/>
      <c r="E158" s="10"/>
      <c r="F158" s="1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  <c r="W158" s="10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2.75" customHeight="1">
      <c r="A159" s="10"/>
      <c r="B159" s="11"/>
      <c r="C159" s="10"/>
      <c r="D159" s="11"/>
      <c r="E159" s="10"/>
      <c r="F159" s="1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2.75" customHeight="1">
      <c r="A160" s="10"/>
      <c r="B160" s="11"/>
      <c r="C160" s="10"/>
      <c r="D160" s="11"/>
      <c r="E160" s="10"/>
      <c r="F160" s="1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  <c r="W160" s="10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2.75" customHeight="1">
      <c r="A161" s="10"/>
      <c r="B161" s="11"/>
      <c r="C161" s="10"/>
      <c r="D161" s="11"/>
      <c r="E161" s="10"/>
      <c r="F161" s="1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/>
      <c r="V161" s="11"/>
      <c r="W161" s="10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2.75" customHeight="1">
      <c r="A162" s="10"/>
      <c r="B162" s="11"/>
      <c r="C162" s="10"/>
      <c r="D162" s="11"/>
      <c r="E162" s="10"/>
      <c r="F162" s="1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/>
      <c r="V162" s="11"/>
      <c r="W162" s="10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2.75" customHeight="1">
      <c r="A163" s="10"/>
      <c r="B163" s="11"/>
      <c r="C163" s="10"/>
      <c r="D163" s="11"/>
      <c r="E163" s="10"/>
      <c r="F163" s="1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/>
      <c r="V163" s="11"/>
      <c r="W163" s="10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2.75" customHeight="1">
      <c r="A164" s="10"/>
      <c r="B164" s="11"/>
      <c r="C164" s="10"/>
      <c r="D164" s="11"/>
      <c r="E164" s="10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  <c r="W164" s="10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2.75" customHeight="1">
      <c r="A165" s="10"/>
      <c r="B165" s="11"/>
      <c r="C165" s="10"/>
      <c r="D165" s="11"/>
      <c r="E165" s="10"/>
      <c r="F165" s="1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  <c r="W165" s="10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2.75" customHeight="1">
      <c r="A166" s="10"/>
      <c r="B166" s="11"/>
      <c r="C166" s="10"/>
      <c r="D166" s="11"/>
      <c r="E166" s="10"/>
      <c r="F166" s="1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/>
      <c r="V166" s="11"/>
      <c r="W166" s="10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2.75" customHeight="1">
      <c r="A167" s="10"/>
      <c r="B167" s="11"/>
      <c r="C167" s="10"/>
      <c r="D167" s="11"/>
      <c r="E167" s="10"/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/>
      <c r="V167" s="11"/>
      <c r="W167" s="10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2.75" customHeight="1">
      <c r="A168" s="10"/>
      <c r="B168" s="11"/>
      <c r="C168" s="10"/>
      <c r="D168" s="11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/>
      <c r="V168" s="11"/>
      <c r="W168" s="10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2.75" customHeight="1">
      <c r="A169" s="10"/>
      <c r="B169" s="11"/>
      <c r="C169" s="10"/>
      <c r="D169" s="11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/>
      <c r="V169" s="11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2.75" customHeight="1">
      <c r="A170" s="10"/>
      <c r="B170" s="11"/>
      <c r="C170" s="10"/>
      <c r="D170" s="11"/>
      <c r="E170" s="10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/>
      <c r="V170" s="11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2.75" customHeight="1">
      <c r="A171" s="10"/>
      <c r="B171" s="11"/>
      <c r="C171" s="10"/>
      <c r="D171" s="11"/>
      <c r="E171" s="10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/>
      <c r="V171" s="11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2.75" customHeight="1">
      <c r="A172" s="10"/>
      <c r="B172" s="11"/>
      <c r="C172" s="10"/>
      <c r="D172" s="11"/>
      <c r="E172" s="10"/>
      <c r="F172" s="1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/>
      <c r="V172" s="11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2.75" customHeight="1">
      <c r="A173" s="10"/>
      <c r="B173" s="11"/>
      <c r="C173" s="10"/>
      <c r="D173" s="11"/>
      <c r="E173" s="10"/>
      <c r="F173" s="1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/>
      <c r="V173" s="11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2.75" customHeight="1">
      <c r="A174" s="10"/>
      <c r="B174" s="11"/>
      <c r="C174" s="10"/>
      <c r="D174" s="11"/>
      <c r="E174" s="10"/>
      <c r="F174" s="1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/>
      <c r="V174" s="11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2.75" customHeight="1">
      <c r="A175" s="10"/>
      <c r="B175" s="11"/>
      <c r="C175" s="10"/>
      <c r="D175" s="11"/>
      <c r="E175" s="10"/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/>
      <c r="V175" s="11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2.75" customHeight="1">
      <c r="A176" s="10"/>
      <c r="B176" s="11"/>
      <c r="C176" s="10"/>
      <c r="D176" s="11"/>
      <c r="E176" s="10"/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/>
      <c r="V176" s="11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2.75" customHeight="1">
      <c r="A177" s="10"/>
      <c r="B177" s="11"/>
      <c r="C177" s="10"/>
      <c r="D177" s="11"/>
      <c r="E177" s="10"/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/>
      <c r="V177" s="11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2.75" customHeight="1">
      <c r="A178" s="10"/>
      <c r="B178" s="11"/>
      <c r="C178" s="10"/>
      <c r="D178" s="11"/>
      <c r="E178" s="10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/>
      <c r="V178" s="11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2.75" customHeight="1">
      <c r="A179" s="10"/>
      <c r="B179" s="11"/>
      <c r="C179" s="10"/>
      <c r="D179" s="11"/>
      <c r="E179" s="10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/>
      <c r="V179" s="11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2.75" customHeight="1">
      <c r="A180" s="10"/>
      <c r="B180" s="11"/>
      <c r="C180" s="10"/>
      <c r="D180" s="11"/>
      <c r="E180" s="10"/>
      <c r="F180" s="1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/>
      <c r="V180" s="11"/>
      <c r="W180" s="10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2.75" customHeight="1">
      <c r="A181" s="10"/>
      <c r="B181" s="11"/>
      <c r="C181" s="10"/>
      <c r="D181" s="11"/>
      <c r="E181" s="10"/>
      <c r="F181" s="1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/>
      <c r="V181" s="11"/>
      <c r="W181" s="10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2.75" customHeight="1">
      <c r="A182" s="10"/>
      <c r="B182" s="11"/>
      <c r="C182" s="10"/>
      <c r="D182" s="11"/>
      <c r="E182" s="10"/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/>
      <c r="V182" s="11"/>
      <c r="W182" s="10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2.75" customHeight="1">
      <c r="A183" s="10"/>
      <c r="B183" s="11"/>
      <c r="C183" s="10"/>
      <c r="D183" s="11"/>
      <c r="E183" s="10"/>
      <c r="F183" s="1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/>
      <c r="V183" s="11"/>
      <c r="W183" s="10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2.75" customHeight="1">
      <c r="A184" s="10"/>
      <c r="B184" s="11"/>
      <c r="C184" s="10"/>
      <c r="D184" s="11"/>
      <c r="E184" s="10"/>
      <c r="F184" s="1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/>
      <c r="V184" s="11"/>
      <c r="W184" s="10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2.75" customHeight="1">
      <c r="A185" s="10"/>
      <c r="B185" s="11"/>
      <c r="C185" s="10"/>
      <c r="D185" s="11"/>
      <c r="E185" s="10"/>
      <c r="F185" s="1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/>
      <c r="V185" s="11"/>
      <c r="W185" s="10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2.75" customHeight="1">
      <c r="A186" s="10"/>
      <c r="B186" s="11"/>
      <c r="C186" s="10"/>
      <c r="D186" s="11"/>
      <c r="E186" s="10"/>
      <c r="F186" s="1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/>
      <c r="V186" s="11"/>
      <c r="W186" s="10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2.75" customHeight="1">
      <c r="A187" s="10"/>
      <c r="B187" s="11"/>
      <c r="C187" s="10"/>
      <c r="D187" s="11"/>
      <c r="E187" s="10"/>
      <c r="F187" s="1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/>
      <c r="V187" s="11"/>
      <c r="W187" s="10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2.75" customHeight="1">
      <c r="A188" s="10"/>
      <c r="B188" s="11"/>
      <c r="C188" s="10"/>
      <c r="D188" s="11"/>
      <c r="E188" s="10"/>
      <c r="F188" s="1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/>
      <c r="V188" s="11"/>
      <c r="W188" s="10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2.75" customHeight="1">
      <c r="A189" s="10"/>
      <c r="B189" s="11"/>
      <c r="C189" s="10"/>
      <c r="D189" s="11"/>
      <c r="E189" s="10"/>
      <c r="F189" s="1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/>
      <c r="V189" s="11"/>
      <c r="W189" s="10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2.75" customHeight="1">
      <c r="A190" s="10"/>
      <c r="B190" s="11"/>
      <c r="C190" s="10"/>
      <c r="D190" s="11"/>
      <c r="E190" s="10"/>
      <c r="F190" s="1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/>
      <c r="V190" s="11"/>
      <c r="W190" s="10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2.75" customHeight="1">
      <c r="A191" s="10"/>
      <c r="B191" s="11"/>
      <c r="C191" s="10"/>
      <c r="D191" s="11"/>
      <c r="E191" s="10"/>
      <c r="F191" s="1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/>
      <c r="V191" s="11"/>
      <c r="W191" s="10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2.75" customHeight="1">
      <c r="A192" s="10"/>
      <c r="B192" s="11"/>
      <c r="C192" s="10"/>
      <c r="D192" s="11"/>
      <c r="E192" s="10"/>
      <c r="F192" s="1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/>
      <c r="V192" s="11"/>
      <c r="W192" s="10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2.75" customHeight="1">
      <c r="A193" s="10"/>
      <c r="B193" s="11"/>
      <c r="C193" s="10"/>
      <c r="D193" s="11"/>
      <c r="E193" s="10"/>
      <c r="F193" s="1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/>
      <c r="V193" s="11"/>
      <c r="W193" s="10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2.75" customHeight="1">
      <c r="A194" s="10"/>
      <c r="B194" s="11"/>
      <c r="C194" s="10"/>
      <c r="D194" s="11"/>
      <c r="E194" s="10"/>
      <c r="F194" s="1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/>
      <c r="V194" s="11"/>
      <c r="W194" s="10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2.75" customHeight="1">
      <c r="A195" s="10"/>
      <c r="B195" s="11"/>
      <c r="C195" s="10"/>
      <c r="D195" s="11"/>
      <c r="E195" s="10"/>
      <c r="F195" s="1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/>
      <c r="V195" s="11"/>
      <c r="W195" s="10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2.75" customHeight="1">
      <c r="A196" s="10"/>
      <c r="B196" s="11"/>
      <c r="C196" s="10"/>
      <c r="D196" s="11"/>
      <c r="E196" s="10"/>
      <c r="F196" s="1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/>
      <c r="V196" s="11"/>
      <c r="W196" s="10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2.75" customHeight="1">
      <c r="A197" s="10"/>
      <c r="B197" s="11"/>
      <c r="C197" s="10"/>
      <c r="D197" s="11"/>
      <c r="E197" s="10"/>
      <c r="F197" s="1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/>
      <c r="V197" s="11"/>
      <c r="W197" s="10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2.75" customHeight="1">
      <c r="A198" s="10"/>
      <c r="B198" s="11"/>
      <c r="C198" s="10"/>
      <c r="D198" s="11"/>
      <c r="E198" s="10"/>
      <c r="F198" s="1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/>
      <c r="V198" s="11"/>
      <c r="W198" s="10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2.75" customHeight="1">
      <c r="A199" s="10"/>
      <c r="B199" s="11"/>
      <c r="C199" s="10"/>
      <c r="D199" s="11"/>
      <c r="E199" s="10"/>
      <c r="F199" s="1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/>
      <c r="V199" s="11"/>
      <c r="W199" s="10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2.75" customHeight="1">
      <c r="A200" s="10"/>
      <c r="B200" s="11"/>
      <c r="C200" s="10"/>
      <c r="D200" s="11"/>
      <c r="E200" s="10"/>
      <c r="F200" s="1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/>
      <c r="V200" s="11"/>
      <c r="W200" s="10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2.75" customHeight="1">
      <c r="A201" s="10"/>
      <c r="B201" s="11"/>
      <c r="C201" s="10"/>
      <c r="D201" s="11"/>
      <c r="E201" s="10"/>
      <c r="F201" s="1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/>
      <c r="V201" s="11"/>
      <c r="W201" s="10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2.75" customHeight="1">
      <c r="A202" s="10"/>
      <c r="B202" s="11"/>
      <c r="C202" s="10"/>
      <c r="D202" s="11"/>
      <c r="E202" s="10"/>
      <c r="F202" s="1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/>
      <c r="V202" s="11"/>
      <c r="W202" s="10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2.75" customHeight="1">
      <c r="A203" s="10"/>
      <c r="B203" s="11"/>
      <c r="C203" s="10"/>
      <c r="D203" s="11"/>
      <c r="E203" s="10"/>
      <c r="F203" s="1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0"/>
      <c r="V203" s="11"/>
      <c r="W203" s="10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2.75" customHeight="1">
      <c r="A204" s="10"/>
      <c r="B204" s="11"/>
      <c r="C204" s="10"/>
      <c r="D204" s="11"/>
      <c r="E204" s="10"/>
      <c r="F204" s="1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0"/>
      <c r="V204" s="11"/>
      <c r="W204" s="10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2.75" customHeight="1">
      <c r="A205" s="10"/>
      <c r="B205" s="11"/>
      <c r="C205" s="10"/>
      <c r="D205" s="11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0"/>
      <c r="V205" s="11"/>
      <c r="W205" s="10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2.75" customHeight="1">
      <c r="A206" s="10"/>
      <c r="B206" s="11"/>
      <c r="C206" s="10"/>
      <c r="D206" s="11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0"/>
      <c r="V206" s="11"/>
      <c r="W206" s="10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2.75" customHeight="1">
      <c r="A207" s="10"/>
      <c r="B207" s="11"/>
      <c r="C207" s="10"/>
      <c r="D207" s="11"/>
      <c r="E207" s="10"/>
      <c r="F207" s="1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0"/>
      <c r="V207" s="11"/>
      <c r="W207" s="10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2.75" customHeight="1">
      <c r="A208" s="10"/>
      <c r="B208" s="11"/>
      <c r="C208" s="10"/>
      <c r="D208" s="11"/>
      <c r="E208" s="10"/>
      <c r="F208" s="1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0"/>
      <c r="V208" s="11"/>
      <c r="W208" s="10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2.75" customHeight="1">
      <c r="A209" s="10"/>
      <c r="B209" s="11"/>
      <c r="C209" s="10"/>
      <c r="D209" s="11"/>
      <c r="E209" s="10"/>
      <c r="F209" s="1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0"/>
      <c r="V209" s="11"/>
      <c r="W209" s="10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2.75" customHeight="1">
      <c r="A210" s="10"/>
      <c r="B210" s="11"/>
      <c r="C210" s="10"/>
      <c r="D210" s="11"/>
      <c r="E210" s="10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0"/>
      <c r="V210" s="11"/>
      <c r="W210" s="10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2.75" customHeight="1">
      <c r="A211" s="10"/>
      <c r="B211" s="11"/>
      <c r="C211" s="10"/>
      <c r="D211" s="11"/>
      <c r="E211" s="10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0"/>
      <c r="V211" s="11"/>
      <c r="W211" s="10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2.75" customHeight="1">
      <c r="A212" s="10"/>
      <c r="B212" s="11"/>
      <c r="C212" s="10"/>
      <c r="D212" s="11"/>
      <c r="E212" s="10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0"/>
      <c r="V212" s="11"/>
      <c r="W212" s="10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2.75" customHeight="1">
      <c r="A213" s="10"/>
      <c r="B213" s="11"/>
      <c r="C213" s="10"/>
      <c r="D213" s="11"/>
      <c r="E213" s="10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0"/>
      <c r="V213" s="11"/>
      <c r="W213" s="10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2.75" customHeight="1">
      <c r="A214" s="10"/>
      <c r="B214" s="11"/>
      <c r="C214" s="10"/>
      <c r="D214" s="11"/>
      <c r="E214" s="10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0"/>
      <c r="V214" s="11"/>
      <c r="W214" s="10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2.75" customHeight="1">
      <c r="A215" s="10"/>
      <c r="B215" s="11"/>
      <c r="C215" s="10"/>
      <c r="D215" s="11"/>
      <c r="E215" s="10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0"/>
      <c r="V215" s="11"/>
      <c r="W215" s="10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2.75" customHeight="1">
      <c r="A216" s="10"/>
      <c r="B216" s="11"/>
      <c r="C216" s="10"/>
      <c r="D216" s="11"/>
      <c r="E216" s="10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0"/>
      <c r="V216" s="11"/>
      <c r="W216" s="10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2.75" customHeight="1">
      <c r="A217" s="10"/>
      <c r="B217" s="11"/>
      <c r="C217" s="10"/>
      <c r="D217" s="11"/>
      <c r="E217" s="10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0"/>
      <c r="V217" s="11"/>
      <c r="W217" s="10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2.75" customHeight="1">
      <c r="A218" s="10"/>
      <c r="B218" s="11"/>
      <c r="C218" s="10"/>
      <c r="D218" s="11"/>
      <c r="E218" s="10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0"/>
      <c r="V218" s="11"/>
      <c r="W218" s="10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2.75" customHeight="1">
      <c r="A219" s="10"/>
      <c r="B219" s="11"/>
      <c r="C219" s="10"/>
      <c r="D219" s="11"/>
      <c r="E219" s="10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0"/>
      <c r="V219" s="11"/>
      <c r="W219" s="10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2.75" customHeight="1">
      <c r="A220" s="10"/>
      <c r="B220" s="11"/>
      <c r="C220" s="10"/>
      <c r="D220" s="11"/>
      <c r="E220" s="10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0"/>
      <c r="V220" s="11"/>
      <c r="W220" s="10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2.75" customHeight="1">
      <c r="A221" s="10"/>
      <c r="B221" s="11"/>
      <c r="C221" s="10"/>
      <c r="D221" s="11"/>
      <c r="E221" s="10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0"/>
      <c r="V221" s="11"/>
      <c r="W221" s="10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2.75" customHeight="1">
      <c r="A222" s="10"/>
      <c r="B222" s="11"/>
      <c r="C222" s="10"/>
      <c r="D222" s="11"/>
      <c r="E222" s="10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0"/>
      <c r="V222" s="11"/>
      <c r="W222" s="10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2.75" customHeight="1">
      <c r="A223" s="10"/>
      <c r="B223" s="11"/>
      <c r="C223" s="10"/>
      <c r="D223" s="11"/>
      <c r="E223" s="10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0"/>
      <c r="V223" s="11"/>
      <c r="W223" s="10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2.75" customHeight="1">
      <c r="A224" s="10"/>
      <c r="B224" s="11"/>
      <c r="C224" s="10"/>
      <c r="D224" s="11"/>
      <c r="E224" s="10"/>
      <c r="F224" s="1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0"/>
      <c r="V224" s="11"/>
      <c r="W224" s="10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2.75" customHeight="1">
      <c r="A225" s="10"/>
      <c r="B225" s="11"/>
      <c r="C225" s="10"/>
      <c r="D225" s="11"/>
      <c r="E225" s="10"/>
      <c r="F225" s="1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0"/>
      <c r="V225" s="11"/>
      <c r="W225" s="10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2.75" customHeight="1">
      <c r="A226" s="10"/>
      <c r="B226" s="11"/>
      <c r="C226" s="10"/>
      <c r="D226" s="11"/>
      <c r="E226" s="10"/>
      <c r="F226" s="1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0"/>
      <c r="V226" s="11"/>
      <c r="W226" s="10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2.75" customHeight="1">
      <c r="A227" s="10"/>
      <c r="B227" s="11"/>
      <c r="C227" s="10"/>
      <c r="D227" s="11"/>
      <c r="E227" s="10"/>
      <c r="F227" s="1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0"/>
      <c r="V227" s="11"/>
      <c r="W227" s="10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2.75" customHeight="1">
      <c r="A228" s="10"/>
      <c r="B228" s="11"/>
      <c r="C228" s="10"/>
      <c r="D228" s="11"/>
      <c r="E228" s="10"/>
      <c r="F228" s="1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0"/>
      <c r="V228" s="11"/>
      <c r="W228" s="10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2.75" customHeight="1">
      <c r="A229" s="10"/>
      <c r="B229" s="11"/>
      <c r="C229" s="10"/>
      <c r="D229" s="11"/>
      <c r="E229" s="10"/>
      <c r="F229" s="1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0"/>
      <c r="V229" s="11"/>
      <c r="W229" s="10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2.75" customHeight="1">
      <c r="A230" s="10"/>
      <c r="B230" s="11"/>
      <c r="C230" s="10"/>
      <c r="D230" s="11"/>
      <c r="E230" s="10"/>
      <c r="F230" s="1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0"/>
      <c r="V230" s="11"/>
      <c r="W230" s="10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2.75" customHeight="1">
      <c r="A231" s="10"/>
      <c r="B231" s="11"/>
      <c r="C231" s="10"/>
      <c r="D231" s="11"/>
      <c r="E231" s="10"/>
      <c r="F231" s="1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0"/>
      <c r="V231" s="11"/>
      <c r="W231" s="10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2.75" customHeight="1">
      <c r="A232" s="10"/>
      <c r="B232" s="11"/>
      <c r="C232" s="10"/>
      <c r="D232" s="11"/>
      <c r="E232" s="10"/>
      <c r="F232" s="1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0"/>
      <c r="V232" s="11"/>
      <c r="W232" s="10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2.75" customHeight="1">
      <c r="A233" s="10"/>
      <c r="B233" s="11"/>
      <c r="C233" s="10"/>
      <c r="D233" s="11"/>
      <c r="E233" s="10"/>
      <c r="F233" s="1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0"/>
      <c r="V233" s="11"/>
      <c r="W233" s="10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2.75" customHeight="1">
      <c r="A234" s="10"/>
      <c r="B234" s="11"/>
      <c r="C234" s="10"/>
      <c r="D234" s="11"/>
      <c r="E234" s="10"/>
      <c r="F234" s="1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0"/>
      <c r="V234" s="11"/>
      <c r="W234" s="10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2.75" customHeight="1">
      <c r="A235" s="10"/>
      <c r="B235" s="11"/>
      <c r="C235" s="10"/>
      <c r="D235" s="11"/>
      <c r="E235" s="10"/>
      <c r="F235" s="1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0"/>
      <c r="V235" s="11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2.75" customHeight="1">
      <c r="A236" s="10"/>
      <c r="B236" s="11"/>
      <c r="C236" s="10"/>
      <c r="D236" s="11"/>
      <c r="E236" s="10"/>
      <c r="F236" s="1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0"/>
      <c r="V236" s="11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2.75" customHeight="1">
      <c r="A237" s="10"/>
      <c r="B237" s="11"/>
      <c r="C237" s="10"/>
      <c r="D237" s="11"/>
      <c r="E237" s="10"/>
      <c r="F237" s="1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0"/>
      <c r="V237" s="11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2.75" customHeight="1">
      <c r="A238" s="10"/>
      <c r="B238" s="11"/>
      <c r="C238" s="10"/>
      <c r="D238" s="11"/>
      <c r="E238" s="10"/>
      <c r="F238" s="1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0"/>
      <c r="V238" s="11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2.75" customHeight="1">
      <c r="A239" s="10"/>
      <c r="B239" s="11"/>
      <c r="C239" s="10"/>
      <c r="D239" s="11"/>
      <c r="E239" s="10"/>
      <c r="F239" s="1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0"/>
      <c r="V239" s="11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2.75" customHeight="1">
      <c r="A240" s="10"/>
      <c r="B240" s="11"/>
      <c r="C240" s="10"/>
      <c r="D240" s="11"/>
      <c r="E240" s="10"/>
      <c r="F240" s="1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0"/>
      <c r="V240" s="11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2.75" customHeight="1">
      <c r="A241" s="10"/>
      <c r="B241" s="11"/>
      <c r="C241" s="10"/>
      <c r="D241" s="11"/>
      <c r="E241" s="10"/>
      <c r="F241" s="1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0"/>
      <c r="V241" s="11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2.75" customHeight="1">
      <c r="A242" s="10"/>
      <c r="B242" s="11"/>
      <c r="C242" s="10"/>
      <c r="D242" s="11"/>
      <c r="E242" s="10"/>
      <c r="F242" s="1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0"/>
      <c r="V242" s="11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2.75" customHeight="1">
      <c r="A243" s="10"/>
      <c r="B243" s="11"/>
      <c r="C243" s="10"/>
      <c r="D243" s="11"/>
      <c r="E243" s="10"/>
      <c r="F243" s="1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0"/>
      <c r="V243" s="11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2.75" customHeight="1">
      <c r="A244" s="10"/>
      <c r="B244" s="11"/>
      <c r="C244" s="10"/>
      <c r="D244" s="11"/>
      <c r="E244" s="10"/>
      <c r="F244" s="1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0"/>
      <c r="V244" s="11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2.75" customHeight="1">
      <c r="A245" s="10"/>
      <c r="B245" s="11"/>
      <c r="C245" s="10"/>
      <c r="D245" s="11"/>
      <c r="E245" s="10"/>
      <c r="F245" s="1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0"/>
      <c r="V245" s="11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2.75" customHeight="1">
      <c r="A246" s="10"/>
      <c r="B246" s="11"/>
      <c r="C246" s="10"/>
      <c r="D246" s="11"/>
      <c r="E246" s="10"/>
      <c r="F246" s="1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0"/>
      <c r="V246" s="11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2.75" customHeight="1">
      <c r="A247" s="10"/>
      <c r="B247" s="11"/>
      <c r="C247" s="10"/>
      <c r="D247" s="11"/>
      <c r="E247" s="10"/>
      <c r="F247" s="1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0"/>
      <c r="V247" s="11"/>
      <c r="W247" s="10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2.75" customHeight="1">
      <c r="A248" s="10"/>
      <c r="B248" s="11"/>
      <c r="C248" s="10"/>
      <c r="D248" s="11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0"/>
      <c r="V248" s="11"/>
      <c r="W248" s="10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2.75" customHeight="1">
      <c r="A249" s="10"/>
      <c r="B249" s="11"/>
      <c r="C249" s="10"/>
      <c r="D249" s="11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0"/>
      <c r="V249" s="11"/>
      <c r="W249" s="10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2.75" customHeight="1">
      <c r="A250" s="10"/>
      <c r="B250" s="11"/>
      <c r="C250" s="10"/>
      <c r="D250" s="11"/>
      <c r="E250" s="10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0"/>
      <c r="V250" s="11"/>
      <c r="W250" s="10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2.75" customHeight="1">
      <c r="A251" s="10"/>
      <c r="B251" s="11"/>
      <c r="C251" s="10"/>
      <c r="D251" s="11"/>
      <c r="E251" s="10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0"/>
      <c r="V251" s="11"/>
      <c r="W251" s="10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2.75" customHeight="1">
      <c r="A252" s="10"/>
      <c r="B252" s="11"/>
      <c r="C252" s="10"/>
      <c r="D252" s="11"/>
      <c r="E252" s="10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0"/>
      <c r="V252" s="11"/>
      <c r="W252" s="10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2.75" customHeight="1">
      <c r="A253" s="10"/>
      <c r="B253" s="11"/>
      <c r="C253" s="10"/>
      <c r="D253" s="11"/>
      <c r="E253" s="10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0"/>
      <c r="V253" s="11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2.75" customHeight="1">
      <c r="A254" s="10"/>
      <c r="B254" s="11"/>
      <c r="C254" s="10"/>
      <c r="D254" s="11"/>
      <c r="E254" s="10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0"/>
      <c r="V254" s="11"/>
      <c r="W254" s="10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2.75" customHeight="1">
      <c r="A255" s="10"/>
      <c r="B255" s="11"/>
      <c r="C255" s="10"/>
      <c r="D255" s="11"/>
      <c r="E255" s="10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0"/>
      <c r="V255" s="11"/>
      <c r="W255" s="10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2.75" customHeight="1">
      <c r="A256" s="10"/>
      <c r="B256" s="11"/>
      <c r="C256" s="10"/>
      <c r="D256" s="11"/>
      <c r="E256" s="10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0"/>
      <c r="V256" s="11"/>
      <c r="W256" s="10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2.75" customHeight="1">
      <c r="A257" s="10"/>
      <c r="B257" s="11"/>
      <c r="C257" s="10"/>
      <c r="D257" s="11"/>
      <c r="E257" s="10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0"/>
      <c r="V257" s="11"/>
      <c r="W257" s="10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2.75" customHeight="1">
      <c r="A258" s="10"/>
      <c r="B258" s="11"/>
      <c r="C258" s="10"/>
      <c r="D258" s="11"/>
      <c r="E258" s="10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0"/>
      <c r="V258" s="11"/>
      <c r="W258" s="10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2.75" customHeight="1">
      <c r="A259" s="10"/>
      <c r="B259" s="11"/>
      <c r="C259" s="10"/>
      <c r="D259" s="11"/>
      <c r="E259" s="10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0"/>
      <c r="V259" s="11"/>
      <c r="W259" s="10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2.75" customHeight="1">
      <c r="A260" s="10"/>
      <c r="B260" s="11"/>
      <c r="C260" s="10"/>
      <c r="D260" s="11"/>
      <c r="E260" s="10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0"/>
      <c r="V260" s="11"/>
      <c r="W260" s="10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2.75" customHeight="1">
      <c r="A261" s="10"/>
      <c r="B261" s="11"/>
      <c r="C261" s="10"/>
      <c r="D261" s="11"/>
      <c r="E261" s="10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0"/>
      <c r="V261" s="11"/>
      <c r="W261" s="10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2.75" customHeight="1">
      <c r="A262" s="10"/>
      <c r="B262" s="11"/>
      <c r="C262" s="10"/>
      <c r="D262" s="11"/>
      <c r="E262" s="10"/>
      <c r="F262" s="1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0"/>
      <c r="V262" s="11"/>
      <c r="W262" s="10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2.75" customHeight="1">
      <c r="A263" s="10"/>
      <c r="B263" s="11"/>
      <c r="C263" s="10"/>
      <c r="D263" s="11"/>
      <c r="E263" s="10"/>
      <c r="F263" s="1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0"/>
      <c r="V263" s="11"/>
      <c r="W263" s="10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2.75" customHeight="1">
      <c r="A264" s="10"/>
      <c r="B264" s="11"/>
      <c r="C264" s="10"/>
      <c r="D264" s="11"/>
      <c r="E264" s="10"/>
      <c r="F264" s="1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0"/>
      <c r="V264" s="11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2.75" customHeight="1">
      <c r="A265" s="10"/>
      <c r="B265" s="11"/>
      <c r="C265" s="10"/>
      <c r="D265" s="11"/>
      <c r="E265" s="10"/>
      <c r="F265" s="1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0"/>
      <c r="V265" s="11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2.75" customHeight="1">
      <c r="A266" s="10"/>
      <c r="B266" s="11"/>
      <c r="C266" s="10"/>
      <c r="D266" s="11"/>
      <c r="E266" s="10"/>
      <c r="F266" s="1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0"/>
      <c r="V266" s="11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2.75" customHeight="1">
      <c r="A267" s="10"/>
      <c r="B267" s="11"/>
      <c r="C267" s="10"/>
      <c r="D267" s="11"/>
      <c r="E267" s="10"/>
      <c r="F267" s="1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0"/>
      <c r="V267" s="11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2.75" customHeight="1">
      <c r="A268" s="10"/>
      <c r="B268" s="11"/>
      <c r="C268" s="10"/>
      <c r="D268" s="11"/>
      <c r="E268" s="10"/>
      <c r="F268" s="1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0"/>
      <c r="V268" s="11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2.75" customHeight="1">
      <c r="A269" s="10"/>
      <c r="B269" s="11"/>
      <c r="C269" s="10"/>
      <c r="D269" s="11"/>
      <c r="E269" s="10"/>
      <c r="F269" s="1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0"/>
      <c r="V269" s="11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2.75" customHeight="1">
      <c r="A270" s="10"/>
      <c r="B270" s="11"/>
      <c r="C270" s="10"/>
      <c r="D270" s="11"/>
      <c r="E270" s="10"/>
      <c r="F270" s="1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0"/>
      <c r="V270" s="11"/>
      <c r="W270" s="10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2.75" customHeight="1">
      <c r="A271" s="10"/>
      <c r="B271" s="11"/>
      <c r="C271" s="10"/>
      <c r="D271" s="11"/>
      <c r="E271" s="10"/>
      <c r="F271" s="1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0"/>
      <c r="V271" s="11"/>
      <c r="W271" s="10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2.75" customHeight="1">
      <c r="A272" s="10"/>
      <c r="B272" s="11"/>
      <c r="C272" s="10"/>
      <c r="D272" s="11"/>
      <c r="E272" s="10"/>
      <c r="F272" s="1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0"/>
      <c r="V272" s="11"/>
      <c r="W272" s="10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2.75" customHeight="1">
      <c r="A273" s="10"/>
      <c r="B273" s="11"/>
      <c r="C273" s="10"/>
      <c r="D273" s="11"/>
      <c r="E273" s="10"/>
      <c r="F273" s="1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0"/>
      <c r="V273" s="11"/>
      <c r="W273" s="10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2.75" customHeight="1">
      <c r="A274" s="10"/>
      <c r="B274" s="11"/>
      <c r="C274" s="10"/>
      <c r="D274" s="11"/>
      <c r="E274" s="10"/>
      <c r="F274" s="1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0"/>
      <c r="V274" s="11"/>
      <c r="W274" s="10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2.75" customHeight="1">
      <c r="A275" s="10"/>
      <c r="B275" s="11"/>
      <c r="C275" s="10"/>
      <c r="D275" s="11"/>
      <c r="E275" s="10"/>
      <c r="F275" s="1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0"/>
      <c r="V275" s="11"/>
      <c r="W275" s="10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2.75" customHeight="1">
      <c r="A276" s="10"/>
      <c r="B276" s="11"/>
      <c r="C276" s="10"/>
      <c r="D276" s="11"/>
      <c r="E276" s="10"/>
      <c r="F276" s="1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0"/>
      <c r="V276" s="11"/>
      <c r="W276" s="10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2.75" customHeight="1">
      <c r="A277" s="10"/>
      <c r="B277" s="11"/>
      <c r="C277" s="10"/>
      <c r="D277" s="11"/>
      <c r="E277" s="10"/>
      <c r="F277" s="1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0"/>
      <c r="V277" s="11"/>
      <c r="W277" s="10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2.75" customHeight="1">
      <c r="A278" s="10"/>
      <c r="B278" s="11"/>
      <c r="C278" s="10"/>
      <c r="D278" s="11"/>
      <c r="E278" s="10"/>
      <c r="F278" s="1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0"/>
      <c r="V278" s="11"/>
      <c r="W278" s="10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2.75" customHeight="1">
      <c r="A279" s="10"/>
      <c r="B279" s="11"/>
      <c r="C279" s="10"/>
      <c r="D279" s="11"/>
      <c r="E279" s="10"/>
      <c r="F279" s="1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0"/>
      <c r="V279" s="11"/>
      <c r="W279" s="10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2.75" customHeight="1">
      <c r="A280" s="10"/>
      <c r="B280" s="11"/>
      <c r="C280" s="10"/>
      <c r="D280" s="11"/>
      <c r="E280" s="10"/>
      <c r="F280" s="1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0"/>
      <c r="V280" s="11"/>
      <c r="W280" s="10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2.75" customHeight="1">
      <c r="A281" s="10"/>
      <c r="B281" s="11"/>
      <c r="C281" s="10"/>
      <c r="D281" s="11"/>
      <c r="E281" s="10"/>
      <c r="F281" s="1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0"/>
      <c r="V281" s="11"/>
      <c r="W281" s="10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2.75" customHeight="1">
      <c r="A282" s="10"/>
      <c r="B282" s="11"/>
      <c r="C282" s="10"/>
      <c r="D282" s="11"/>
      <c r="E282" s="10"/>
      <c r="F282" s="1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0"/>
      <c r="V282" s="11"/>
      <c r="W282" s="10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2.75" customHeight="1">
      <c r="A283" s="10"/>
      <c r="B283" s="11"/>
      <c r="C283" s="10"/>
      <c r="D283" s="11"/>
      <c r="E283" s="10"/>
      <c r="F283" s="1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0"/>
      <c r="V283" s="11"/>
      <c r="W283" s="10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2.75" customHeight="1">
      <c r="A284" s="10"/>
      <c r="B284" s="11"/>
      <c r="C284" s="10"/>
      <c r="D284" s="11"/>
      <c r="E284" s="10"/>
      <c r="F284" s="1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0"/>
      <c r="V284" s="11"/>
      <c r="W284" s="10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2.75" customHeight="1">
      <c r="A285" s="10"/>
      <c r="B285" s="11"/>
      <c r="C285" s="10"/>
      <c r="D285" s="11"/>
      <c r="E285" s="10"/>
      <c r="F285" s="1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0"/>
      <c r="V285" s="11"/>
      <c r="W285" s="10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2.75" customHeight="1">
      <c r="A286" s="10"/>
      <c r="B286" s="11"/>
      <c r="C286" s="10"/>
      <c r="D286" s="11"/>
      <c r="E286" s="10"/>
      <c r="F286" s="1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0"/>
      <c r="V286" s="11"/>
      <c r="W286" s="10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2.75" customHeight="1">
      <c r="A287" s="10"/>
      <c r="B287" s="11"/>
      <c r="C287" s="10"/>
      <c r="D287" s="11"/>
      <c r="E287" s="10"/>
      <c r="F287" s="1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0"/>
      <c r="V287" s="11"/>
      <c r="W287" s="10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2.75" customHeight="1">
      <c r="A288" s="10"/>
      <c r="B288" s="11"/>
      <c r="C288" s="10"/>
      <c r="D288" s="11"/>
      <c r="E288" s="10"/>
      <c r="F288" s="1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0"/>
      <c r="V288" s="11"/>
      <c r="W288" s="10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2.75" customHeight="1">
      <c r="A289" s="10"/>
      <c r="B289" s="11"/>
      <c r="C289" s="10"/>
      <c r="D289" s="11"/>
      <c r="E289" s="10"/>
      <c r="F289" s="1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0"/>
      <c r="V289" s="11"/>
      <c r="W289" s="10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2.75" customHeight="1">
      <c r="A290" s="10"/>
      <c r="B290" s="11"/>
      <c r="C290" s="10"/>
      <c r="D290" s="11"/>
      <c r="E290" s="10"/>
      <c r="F290" s="1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0"/>
      <c r="V290" s="11"/>
      <c r="W290" s="10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2.75" customHeight="1">
      <c r="A291" s="10"/>
      <c r="B291" s="11"/>
      <c r="C291" s="10"/>
      <c r="D291" s="11"/>
      <c r="E291" s="10"/>
      <c r="F291" s="1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0"/>
      <c r="V291" s="11"/>
      <c r="W291" s="10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2.75" customHeight="1">
      <c r="A292" s="10"/>
      <c r="B292" s="11"/>
      <c r="C292" s="10"/>
      <c r="D292" s="11"/>
      <c r="E292" s="10"/>
      <c r="F292" s="1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0"/>
      <c r="V292" s="11"/>
      <c r="W292" s="10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2.75" customHeight="1">
      <c r="A293" s="10"/>
      <c r="B293" s="11"/>
      <c r="C293" s="10"/>
      <c r="D293" s="11"/>
      <c r="E293" s="10"/>
      <c r="F293" s="1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0"/>
      <c r="V293" s="11"/>
      <c r="W293" s="10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2.75" customHeight="1">
      <c r="A294" s="10"/>
      <c r="B294" s="11"/>
      <c r="C294" s="10"/>
      <c r="D294" s="11"/>
      <c r="E294" s="10"/>
      <c r="F294" s="1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0"/>
      <c r="V294" s="11"/>
      <c r="W294" s="10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2.75" customHeight="1">
      <c r="A295" s="10"/>
      <c r="B295" s="11"/>
      <c r="C295" s="10"/>
      <c r="D295" s="11"/>
      <c r="E295" s="10"/>
      <c r="F295" s="1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0"/>
      <c r="V295" s="11"/>
      <c r="W295" s="10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2.75" customHeight="1">
      <c r="A296" s="10"/>
      <c r="B296" s="11"/>
      <c r="C296" s="10"/>
      <c r="D296" s="11"/>
      <c r="E296" s="10"/>
      <c r="F296" s="1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0"/>
      <c r="V296" s="11"/>
      <c r="W296" s="10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2.75" customHeight="1">
      <c r="A297" s="10"/>
      <c r="B297" s="11"/>
      <c r="C297" s="10"/>
      <c r="D297" s="11"/>
      <c r="E297" s="10"/>
      <c r="F297" s="1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0"/>
      <c r="V297" s="11"/>
      <c r="W297" s="10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2.75" customHeight="1">
      <c r="A298" s="10"/>
      <c r="B298" s="11"/>
      <c r="C298" s="10"/>
      <c r="D298" s="11"/>
      <c r="E298" s="10"/>
      <c r="F298" s="1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0"/>
      <c r="V298" s="11"/>
      <c r="W298" s="10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2.75" customHeight="1">
      <c r="A299" s="10"/>
      <c r="B299" s="11"/>
      <c r="C299" s="10"/>
      <c r="D299" s="11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0"/>
      <c r="V299" s="11"/>
      <c r="W299" s="10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2.75" customHeight="1">
      <c r="A300" s="10"/>
      <c r="B300" s="11"/>
      <c r="C300" s="10"/>
      <c r="D300" s="11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0"/>
      <c r="V300" s="11"/>
      <c r="W300" s="10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2.75" customHeight="1">
      <c r="A301" s="10"/>
      <c r="B301" s="11"/>
      <c r="C301" s="10"/>
      <c r="D301" s="11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0"/>
      <c r="V301" s="11"/>
      <c r="W301" s="10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2.75" customHeight="1">
      <c r="A302" s="10"/>
      <c r="B302" s="11"/>
      <c r="C302" s="10"/>
      <c r="D302" s="11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0"/>
      <c r="V302" s="11"/>
      <c r="W302" s="10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2.75" customHeight="1">
      <c r="A303" s="10"/>
      <c r="B303" s="11"/>
      <c r="C303" s="10"/>
      <c r="D303" s="11"/>
      <c r="E303" s="10"/>
      <c r="F303" s="1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0"/>
      <c r="V303" s="11"/>
      <c r="W303" s="10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2.75" customHeight="1">
      <c r="A304" s="10"/>
      <c r="B304" s="11"/>
      <c r="C304" s="10"/>
      <c r="D304" s="11"/>
      <c r="E304" s="10"/>
      <c r="F304" s="1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0"/>
      <c r="V304" s="11"/>
      <c r="W304" s="10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2.75" customHeight="1">
      <c r="A305" s="10"/>
      <c r="B305" s="11"/>
      <c r="C305" s="10"/>
      <c r="D305" s="11"/>
      <c r="E305" s="10"/>
      <c r="F305" s="1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0"/>
      <c r="V305" s="11"/>
      <c r="W305" s="10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2.75" customHeight="1">
      <c r="A306" s="10"/>
      <c r="B306" s="11"/>
      <c r="C306" s="10"/>
      <c r="D306" s="11"/>
      <c r="E306" s="10"/>
      <c r="F306" s="1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/>
      <c r="V306" s="11"/>
      <c r="W306" s="10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2.75" customHeight="1">
      <c r="A307" s="10"/>
      <c r="B307" s="11"/>
      <c r="C307" s="10"/>
      <c r="D307" s="11"/>
      <c r="E307" s="10"/>
      <c r="F307" s="1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0"/>
      <c r="V307" s="11"/>
      <c r="W307" s="10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2.75" customHeight="1">
      <c r="A308" s="10"/>
      <c r="B308" s="11"/>
      <c r="C308" s="10"/>
      <c r="D308" s="11"/>
      <c r="E308" s="10"/>
      <c r="F308" s="1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0"/>
      <c r="V308" s="11"/>
      <c r="W308" s="10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2.75" customHeight="1">
      <c r="A309" s="10"/>
      <c r="B309" s="11"/>
      <c r="C309" s="10"/>
      <c r="D309" s="11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0"/>
      <c r="V309" s="11"/>
      <c r="W309" s="10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2.75" customHeight="1">
      <c r="A310" s="10"/>
      <c r="B310" s="11"/>
      <c r="C310" s="10"/>
      <c r="D310" s="11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0"/>
      <c r="V310" s="11"/>
      <c r="W310" s="10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2.75" customHeight="1">
      <c r="A311" s="10"/>
      <c r="B311" s="11"/>
      <c r="C311" s="10"/>
      <c r="D311" s="11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0"/>
      <c r="V311" s="11"/>
      <c r="W311" s="10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2.75" customHeight="1">
      <c r="A312" s="10"/>
      <c r="B312" s="11"/>
      <c r="C312" s="10"/>
      <c r="D312" s="11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0"/>
      <c r="V312" s="11"/>
      <c r="W312" s="10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2.75" customHeight="1">
      <c r="A313" s="10"/>
      <c r="B313" s="11"/>
      <c r="C313" s="10"/>
      <c r="D313" s="11"/>
      <c r="E313" s="10"/>
      <c r="F313" s="1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0"/>
      <c r="V313" s="11"/>
      <c r="W313" s="10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2.75" customHeight="1">
      <c r="A314" s="10"/>
      <c r="B314" s="11"/>
      <c r="C314" s="10"/>
      <c r="D314" s="11"/>
      <c r="E314" s="10"/>
      <c r="F314" s="1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0"/>
      <c r="V314" s="11"/>
      <c r="W314" s="10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2.75" customHeight="1">
      <c r="A315" s="10"/>
      <c r="B315" s="11"/>
      <c r="C315" s="10"/>
      <c r="D315" s="11"/>
      <c r="E315" s="10"/>
      <c r="F315" s="1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0"/>
      <c r="V315" s="11"/>
      <c r="W315" s="10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2.75" customHeight="1">
      <c r="A316" s="10"/>
      <c r="B316" s="11"/>
      <c r="C316" s="10"/>
      <c r="D316" s="11"/>
      <c r="E316" s="10"/>
      <c r="F316" s="1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/>
      <c r="V316" s="11"/>
      <c r="W316" s="10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2.75" customHeight="1">
      <c r="A317" s="10"/>
      <c r="B317" s="11"/>
      <c r="C317" s="10"/>
      <c r="D317" s="11"/>
      <c r="E317" s="10"/>
      <c r="F317" s="1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0"/>
      <c r="V317" s="11"/>
      <c r="W317" s="10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2.75" customHeight="1">
      <c r="A318" s="10"/>
      <c r="B318" s="11"/>
      <c r="C318" s="10"/>
      <c r="D318" s="11"/>
      <c r="E318" s="10"/>
      <c r="F318" s="1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0"/>
      <c r="V318" s="11"/>
      <c r="W318" s="10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2.75" customHeight="1">
      <c r="A319" s="10"/>
      <c r="B319" s="11"/>
      <c r="C319" s="10"/>
      <c r="D319" s="11"/>
      <c r="E319" s="10"/>
      <c r="F319" s="1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0"/>
      <c r="V319" s="11"/>
      <c r="W319" s="10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2.75" customHeight="1">
      <c r="A320" s="10"/>
      <c r="B320" s="11"/>
      <c r="C320" s="10"/>
      <c r="D320" s="11"/>
      <c r="E320" s="10"/>
      <c r="F320" s="1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0"/>
      <c r="V320" s="11"/>
      <c r="W320" s="10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2.75" customHeight="1">
      <c r="A321" s="10"/>
      <c r="B321" s="11"/>
      <c r="C321" s="10"/>
      <c r="D321" s="11"/>
      <c r="E321" s="10"/>
      <c r="F321" s="1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0"/>
      <c r="V321" s="11"/>
      <c r="W321" s="10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2.75" customHeight="1">
      <c r="A322" s="10"/>
      <c r="B322" s="11"/>
      <c r="C322" s="10"/>
      <c r="D322" s="11"/>
      <c r="E322" s="10"/>
      <c r="F322" s="1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0"/>
      <c r="V322" s="11"/>
      <c r="W322" s="10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2.75" customHeight="1">
      <c r="A323" s="10"/>
      <c r="B323" s="11"/>
      <c r="C323" s="10"/>
      <c r="D323" s="11"/>
      <c r="E323" s="10"/>
      <c r="F323" s="1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0"/>
      <c r="V323" s="11"/>
      <c r="W323" s="10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2.75" customHeight="1">
      <c r="A324" s="10"/>
      <c r="B324" s="11"/>
      <c r="C324" s="10"/>
      <c r="D324" s="11"/>
      <c r="E324" s="10"/>
      <c r="F324" s="1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0"/>
      <c r="V324" s="11"/>
      <c r="W324" s="10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2.75" customHeight="1">
      <c r="A325" s="10"/>
      <c r="B325" s="11"/>
      <c r="C325" s="10"/>
      <c r="D325" s="11"/>
      <c r="E325" s="10"/>
      <c r="F325" s="1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0"/>
      <c r="V325" s="11"/>
      <c r="W325" s="10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2.75" customHeight="1">
      <c r="A326" s="10"/>
      <c r="B326" s="11"/>
      <c r="C326" s="10"/>
      <c r="D326" s="11"/>
      <c r="E326" s="10"/>
      <c r="F326" s="1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0"/>
      <c r="V326" s="11"/>
      <c r="W326" s="10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2.75" customHeight="1">
      <c r="A327" s="10"/>
      <c r="B327" s="11"/>
      <c r="C327" s="10"/>
      <c r="D327" s="11"/>
      <c r="E327" s="10"/>
      <c r="F327" s="1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0"/>
      <c r="V327" s="11"/>
      <c r="W327" s="10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2.75" customHeight="1">
      <c r="A328" s="10"/>
      <c r="B328" s="11"/>
      <c r="C328" s="10"/>
      <c r="D328" s="11"/>
      <c r="E328" s="10"/>
      <c r="F328" s="1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0"/>
      <c r="V328" s="11"/>
      <c r="W328" s="10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2.75" customHeight="1">
      <c r="A329" s="10"/>
      <c r="B329" s="11"/>
      <c r="C329" s="10"/>
      <c r="D329" s="11"/>
      <c r="E329" s="10"/>
      <c r="F329" s="1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0"/>
      <c r="V329" s="11"/>
      <c r="W329" s="10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2.75" customHeight="1">
      <c r="A330" s="10"/>
      <c r="B330" s="11"/>
      <c r="C330" s="10"/>
      <c r="D330" s="11"/>
      <c r="E330" s="10"/>
      <c r="F330" s="1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0"/>
      <c r="V330" s="11"/>
      <c r="W330" s="10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2.75" customHeight="1">
      <c r="A331" s="10"/>
      <c r="B331" s="11"/>
      <c r="C331" s="10"/>
      <c r="D331" s="11"/>
      <c r="E331" s="10"/>
      <c r="F331" s="1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0"/>
      <c r="V331" s="11"/>
      <c r="W331" s="10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2.75" customHeight="1">
      <c r="A332" s="10"/>
      <c r="B332" s="11"/>
      <c r="C332" s="10"/>
      <c r="D332" s="11"/>
      <c r="E332" s="10"/>
      <c r="F332" s="1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0"/>
      <c r="V332" s="11"/>
      <c r="W332" s="10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2.75" customHeight="1">
      <c r="A333" s="10"/>
      <c r="B333" s="11"/>
      <c r="C333" s="10"/>
      <c r="D333" s="11"/>
      <c r="E333" s="10"/>
      <c r="F333" s="1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0"/>
      <c r="V333" s="11"/>
      <c r="W333" s="10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2.75" customHeight="1">
      <c r="A334" s="10"/>
      <c r="B334" s="11"/>
      <c r="C334" s="10"/>
      <c r="D334" s="11"/>
      <c r="E334" s="10"/>
      <c r="F334" s="1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0"/>
      <c r="V334" s="11"/>
      <c r="W334" s="10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2.75" customHeight="1">
      <c r="A335" s="10"/>
      <c r="B335" s="11"/>
      <c r="C335" s="10"/>
      <c r="D335" s="11"/>
      <c r="E335" s="10"/>
      <c r="F335" s="1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0"/>
      <c r="V335" s="11"/>
      <c r="W335" s="10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2.75" customHeight="1">
      <c r="A336" s="10"/>
      <c r="B336" s="11"/>
      <c r="C336" s="10"/>
      <c r="D336" s="11"/>
      <c r="E336" s="10"/>
      <c r="F336" s="1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0"/>
      <c r="V336" s="11"/>
      <c r="W336" s="10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2.75" customHeight="1">
      <c r="A337" s="10"/>
      <c r="B337" s="11"/>
      <c r="C337" s="10"/>
      <c r="D337" s="11"/>
      <c r="E337" s="10"/>
      <c r="F337" s="1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0"/>
      <c r="V337" s="11"/>
      <c r="W337" s="10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2.75" customHeight="1">
      <c r="A338" s="10"/>
      <c r="B338" s="11"/>
      <c r="C338" s="10"/>
      <c r="D338" s="11"/>
      <c r="E338" s="10"/>
      <c r="F338" s="1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0"/>
      <c r="V338" s="11"/>
      <c r="W338" s="10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2.75" customHeight="1">
      <c r="A339" s="10"/>
      <c r="B339" s="11"/>
      <c r="C339" s="10"/>
      <c r="D339" s="11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0"/>
      <c r="V339" s="11"/>
      <c r="W339" s="10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2.75" customHeight="1">
      <c r="A340" s="10"/>
      <c r="B340" s="11"/>
      <c r="C340" s="10"/>
      <c r="D340" s="11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0"/>
      <c r="V340" s="11"/>
      <c r="W340" s="10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2.75" customHeight="1">
      <c r="A341" s="10"/>
      <c r="B341" s="11"/>
      <c r="C341" s="10"/>
      <c r="D341" s="11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0"/>
      <c r="V341" s="11"/>
      <c r="W341" s="10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2.75" customHeight="1">
      <c r="A342" s="10"/>
      <c r="B342" s="11"/>
      <c r="C342" s="10"/>
      <c r="D342" s="11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0"/>
      <c r="V342" s="11"/>
      <c r="W342" s="10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2.75" customHeight="1">
      <c r="A343" s="10"/>
      <c r="B343" s="11"/>
      <c r="C343" s="10"/>
      <c r="D343" s="11"/>
      <c r="E343" s="10"/>
      <c r="F343" s="1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0"/>
      <c r="V343" s="11"/>
      <c r="W343" s="10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2.75" customHeight="1">
      <c r="A344" s="10"/>
      <c r="B344" s="11"/>
      <c r="C344" s="10"/>
      <c r="D344" s="11"/>
      <c r="E344" s="10"/>
      <c r="F344" s="1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0"/>
      <c r="V344" s="11"/>
      <c r="W344" s="10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2.75" customHeight="1">
      <c r="A345" s="10"/>
      <c r="B345" s="11"/>
      <c r="C345" s="10"/>
      <c r="D345" s="11"/>
      <c r="E345" s="10"/>
      <c r="F345" s="1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0"/>
      <c r="V345" s="11"/>
      <c r="W345" s="10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2.75" customHeight="1">
      <c r="A346" s="10"/>
      <c r="B346" s="11"/>
      <c r="C346" s="10"/>
      <c r="D346" s="11"/>
      <c r="E346" s="10"/>
      <c r="F346" s="1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0"/>
      <c r="V346" s="11"/>
      <c r="W346" s="10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2.75" customHeight="1">
      <c r="A347" s="10"/>
      <c r="B347" s="11"/>
      <c r="C347" s="10"/>
      <c r="D347" s="11"/>
      <c r="E347" s="10"/>
      <c r="F347" s="1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0"/>
      <c r="V347" s="11"/>
      <c r="W347" s="10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2.75" customHeight="1">
      <c r="A348" s="10"/>
      <c r="B348" s="11"/>
      <c r="C348" s="10"/>
      <c r="D348" s="11"/>
      <c r="E348" s="10"/>
      <c r="F348" s="1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0"/>
      <c r="V348" s="11"/>
      <c r="W348" s="10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2.75" customHeight="1">
      <c r="A349" s="10"/>
      <c r="B349" s="11"/>
      <c r="C349" s="10"/>
      <c r="D349" s="11"/>
      <c r="E349" s="10"/>
      <c r="F349" s="1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0"/>
      <c r="V349" s="11"/>
      <c r="W349" s="10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2.75" customHeight="1">
      <c r="A350" s="10"/>
      <c r="B350" s="11"/>
      <c r="C350" s="10"/>
      <c r="D350" s="11"/>
      <c r="E350" s="10"/>
      <c r="F350" s="1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0"/>
      <c r="V350" s="11"/>
      <c r="W350" s="10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2.75" customHeight="1">
      <c r="A351" s="10"/>
      <c r="B351" s="11"/>
      <c r="C351" s="10"/>
      <c r="D351" s="11"/>
      <c r="E351" s="10"/>
      <c r="F351" s="1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0"/>
      <c r="V351" s="11"/>
      <c r="W351" s="10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2.75" customHeight="1">
      <c r="A352" s="10"/>
      <c r="B352" s="11"/>
      <c r="C352" s="10"/>
      <c r="D352" s="11"/>
      <c r="E352" s="10"/>
      <c r="F352" s="1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0"/>
      <c r="V352" s="11"/>
      <c r="W352" s="10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2.75" customHeight="1">
      <c r="A353" s="10"/>
      <c r="B353" s="11"/>
      <c r="C353" s="10"/>
      <c r="D353" s="11"/>
      <c r="E353" s="10"/>
      <c r="F353" s="1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0"/>
      <c r="V353" s="11"/>
      <c r="W353" s="10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2.75" customHeight="1">
      <c r="A354" s="10"/>
      <c r="B354" s="11"/>
      <c r="C354" s="10"/>
      <c r="D354" s="11"/>
      <c r="E354" s="10"/>
      <c r="F354" s="1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0"/>
      <c r="V354" s="11"/>
      <c r="W354" s="10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2.75" customHeight="1">
      <c r="A355" s="10"/>
      <c r="B355" s="11"/>
      <c r="C355" s="10"/>
      <c r="D355" s="11"/>
      <c r="E355" s="10"/>
      <c r="F355" s="1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0"/>
      <c r="V355" s="11"/>
      <c r="W355" s="10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2.75" customHeight="1">
      <c r="A356" s="10"/>
      <c r="B356" s="11"/>
      <c r="C356" s="10"/>
      <c r="D356" s="11"/>
      <c r="E356" s="10"/>
      <c r="F356" s="1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0"/>
      <c r="V356" s="11"/>
      <c r="W356" s="10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2.75" customHeight="1">
      <c r="A357" s="10"/>
      <c r="B357" s="11"/>
      <c r="C357" s="10"/>
      <c r="D357" s="11"/>
      <c r="E357" s="10"/>
      <c r="F357" s="1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0"/>
      <c r="V357" s="11"/>
      <c r="W357" s="10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2.75" customHeight="1">
      <c r="A358" s="10"/>
      <c r="B358" s="11"/>
      <c r="C358" s="10"/>
      <c r="D358" s="11"/>
      <c r="E358" s="10"/>
      <c r="F358" s="1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0"/>
      <c r="V358" s="11"/>
      <c r="W358" s="10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2.75" customHeight="1">
      <c r="A359" s="10"/>
      <c r="B359" s="11"/>
      <c r="C359" s="10"/>
      <c r="D359" s="11"/>
      <c r="E359" s="10"/>
      <c r="F359" s="1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0"/>
      <c r="V359" s="11"/>
      <c r="W359" s="10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2.75" customHeight="1">
      <c r="A360" s="10"/>
      <c r="B360" s="11"/>
      <c r="C360" s="10"/>
      <c r="D360" s="11"/>
      <c r="E360" s="10"/>
      <c r="F360" s="1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0"/>
      <c r="V360" s="11"/>
      <c r="W360" s="10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2.75" customHeight="1">
      <c r="A361" s="10"/>
      <c r="B361" s="11"/>
      <c r="C361" s="10"/>
      <c r="D361" s="11"/>
      <c r="E361" s="10"/>
      <c r="F361" s="1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0"/>
      <c r="V361" s="11"/>
      <c r="W361" s="10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2.75" customHeight="1">
      <c r="A362" s="10"/>
      <c r="B362" s="11"/>
      <c r="C362" s="10"/>
      <c r="D362" s="11"/>
      <c r="E362" s="10"/>
      <c r="F362" s="1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0"/>
      <c r="V362" s="11"/>
      <c r="W362" s="10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2.75" customHeight="1">
      <c r="A363" s="10"/>
      <c r="B363" s="11"/>
      <c r="C363" s="10"/>
      <c r="D363" s="11"/>
      <c r="E363" s="10"/>
      <c r="F363" s="1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0"/>
      <c r="V363" s="11"/>
      <c r="W363" s="10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2.75" customHeight="1">
      <c r="A364" s="10"/>
      <c r="B364" s="11"/>
      <c r="C364" s="10"/>
      <c r="D364" s="11"/>
      <c r="E364" s="10"/>
      <c r="F364" s="1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0"/>
      <c r="V364" s="11"/>
      <c r="W364" s="10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2.75" customHeight="1">
      <c r="A365" s="10"/>
      <c r="B365" s="11"/>
      <c r="C365" s="10"/>
      <c r="D365" s="11"/>
      <c r="E365" s="10"/>
      <c r="F365" s="1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0"/>
      <c r="V365" s="11"/>
      <c r="W365" s="10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2.75" customHeight="1">
      <c r="A366" s="10"/>
      <c r="B366" s="11"/>
      <c r="C366" s="10"/>
      <c r="D366" s="11"/>
      <c r="E366" s="10"/>
      <c r="F366" s="1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0"/>
      <c r="V366" s="11"/>
      <c r="W366" s="10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2.75" customHeight="1">
      <c r="A367" s="10"/>
      <c r="B367" s="11"/>
      <c r="C367" s="10"/>
      <c r="D367" s="11"/>
      <c r="E367" s="10"/>
      <c r="F367" s="1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0"/>
      <c r="V367" s="11"/>
      <c r="W367" s="10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2.75" customHeight="1">
      <c r="A368" s="10"/>
      <c r="B368" s="11"/>
      <c r="C368" s="10"/>
      <c r="D368" s="11"/>
      <c r="E368" s="10"/>
      <c r="F368" s="1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0"/>
      <c r="V368" s="11"/>
      <c r="W368" s="10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2.75" customHeight="1">
      <c r="A369" s="10"/>
      <c r="B369" s="11"/>
      <c r="C369" s="10"/>
      <c r="D369" s="11"/>
      <c r="E369" s="10"/>
      <c r="F369" s="1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0"/>
      <c r="V369" s="11"/>
      <c r="W369" s="10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2.75" customHeight="1">
      <c r="A370" s="10"/>
      <c r="B370" s="11"/>
      <c r="C370" s="10"/>
      <c r="D370" s="11"/>
      <c r="E370" s="10"/>
      <c r="F370" s="1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0"/>
      <c r="V370" s="11"/>
      <c r="W370" s="10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2.75" customHeight="1">
      <c r="A371" s="10"/>
      <c r="B371" s="11"/>
      <c r="C371" s="10"/>
      <c r="D371" s="11"/>
      <c r="E371" s="10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0"/>
      <c r="V371" s="11"/>
      <c r="W371" s="10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2.75" customHeight="1">
      <c r="A372" s="10"/>
      <c r="B372" s="11"/>
      <c r="C372" s="10"/>
      <c r="D372" s="11"/>
      <c r="E372" s="10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0"/>
      <c r="V372" s="11"/>
      <c r="W372" s="10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2.75" customHeight="1">
      <c r="A373" s="10"/>
      <c r="B373" s="11"/>
      <c r="C373" s="10"/>
      <c r="D373" s="11"/>
      <c r="E373" s="10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0"/>
      <c r="V373" s="11"/>
      <c r="W373" s="10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2.75" customHeight="1">
      <c r="A374" s="10"/>
      <c r="B374" s="11"/>
      <c r="C374" s="10"/>
      <c r="D374" s="11"/>
      <c r="E374" s="10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0"/>
      <c r="V374" s="11"/>
      <c r="W374" s="10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2.75" customHeight="1">
      <c r="A375" s="10"/>
      <c r="B375" s="11"/>
      <c r="C375" s="10"/>
      <c r="D375" s="11"/>
      <c r="E375" s="10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0"/>
      <c r="V375" s="11"/>
      <c r="W375" s="10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2.75" customHeight="1">
      <c r="A376" s="10"/>
      <c r="B376" s="11"/>
      <c r="C376" s="10"/>
      <c r="D376" s="11"/>
      <c r="E376" s="10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0"/>
      <c r="V376" s="11"/>
      <c r="W376" s="10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2.75" customHeight="1">
      <c r="A377" s="10"/>
      <c r="B377" s="11"/>
      <c r="C377" s="10"/>
      <c r="D377" s="11"/>
      <c r="E377" s="10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0"/>
      <c r="V377" s="11"/>
      <c r="W377" s="10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2.75" customHeight="1">
      <c r="A378" s="10"/>
      <c r="B378" s="11"/>
      <c r="C378" s="10"/>
      <c r="D378" s="11"/>
      <c r="E378" s="10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0"/>
      <c r="V378" s="11"/>
      <c r="W378" s="10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2.75" customHeight="1">
      <c r="A379" s="10"/>
      <c r="B379" s="11"/>
      <c r="C379" s="10"/>
      <c r="D379" s="11"/>
      <c r="E379" s="10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0"/>
      <c r="V379" s="11"/>
      <c r="W379" s="10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2.75" customHeight="1">
      <c r="A380" s="10"/>
      <c r="B380" s="11"/>
      <c r="C380" s="10"/>
      <c r="D380" s="11"/>
      <c r="E380" s="10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0"/>
      <c r="V380" s="11"/>
      <c r="W380" s="10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2.75" customHeight="1">
      <c r="A381" s="10"/>
      <c r="B381" s="11"/>
      <c r="C381" s="10"/>
      <c r="D381" s="11"/>
      <c r="E381" s="10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0"/>
      <c r="V381" s="11"/>
      <c r="W381" s="10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2.75" customHeight="1">
      <c r="A382" s="10"/>
      <c r="B382" s="11"/>
      <c r="C382" s="10"/>
      <c r="D382" s="11"/>
      <c r="E382" s="10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0"/>
      <c r="V382" s="11"/>
      <c r="W382" s="10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2.75" customHeight="1">
      <c r="A383" s="10"/>
      <c r="B383" s="11"/>
      <c r="C383" s="10"/>
      <c r="D383" s="11"/>
      <c r="E383" s="10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0"/>
      <c r="V383" s="11"/>
      <c r="W383" s="10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2.75" customHeight="1">
      <c r="A384" s="10"/>
      <c r="B384" s="11"/>
      <c r="C384" s="10"/>
      <c r="D384" s="11"/>
      <c r="E384" s="10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0"/>
      <c r="V384" s="11"/>
      <c r="W384" s="10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2.75" customHeight="1">
      <c r="A385" s="10"/>
      <c r="B385" s="11"/>
      <c r="C385" s="10"/>
      <c r="D385" s="11"/>
      <c r="E385" s="10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0"/>
      <c r="V385" s="11"/>
      <c r="W385" s="10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2.75" customHeight="1">
      <c r="A386" s="10"/>
      <c r="B386" s="11"/>
      <c r="C386" s="10"/>
      <c r="D386" s="11"/>
      <c r="E386" s="10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0"/>
      <c r="V386" s="11"/>
      <c r="W386" s="10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2.75" customHeight="1">
      <c r="A387" s="10"/>
      <c r="B387" s="11"/>
      <c r="C387" s="10"/>
      <c r="D387" s="11"/>
      <c r="E387" s="10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0"/>
      <c r="V387" s="11"/>
      <c r="W387" s="10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2.75" customHeight="1">
      <c r="A388" s="10"/>
      <c r="B388" s="11"/>
      <c r="C388" s="10"/>
      <c r="D388" s="11"/>
      <c r="E388" s="10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0"/>
      <c r="V388" s="11"/>
      <c r="W388" s="10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2.75" customHeight="1">
      <c r="A389" s="10"/>
      <c r="B389" s="11"/>
      <c r="C389" s="10"/>
      <c r="D389" s="11"/>
      <c r="E389" s="10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0"/>
      <c r="V389" s="11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2.75" customHeight="1">
      <c r="A390" s="10"/>
      <c r="B390" s="11"/>
      <c r="C390" s="10"/>
      <c r="D390" s="11"/>
      <c r="E390" s="10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0"/>
      <c r="V390" s="11"/>
      <c r="W390" s="10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2.75" customHeight="1">
      <c r="A391" s="10"/>
      <c r="B391" s="11"/>
      <c r="C391" s="10"/>
      <c r="D391" s="11"/>
      <c r="E391" s="10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0"/>
      <c r="V391" s="11"/>
      <c r="W391" s="10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2.75" customHeight="1">
      <c r="A392" s="10"/>
      <c r="B392" s="11"/>
      <c r="C392" s="10"/>
      <c r="D392" s="11"/>
      <c r="E392" s="10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0"/>
      <c r="V392" s="11"/>
      <c r="W392" s="10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2.75" customHeight="1">
      <c r="A393" s="10"/>
      <c r="B393" s="11"/>
      <c r="C393" s="10"/>
      <c r="D393" s="11"/>
      <c r="E393" s="10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0"/>
      <c r="V393" s="11"/>
      <c r="W393" s="10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2.75" customHeight="1">
      <c r="A394" s="10"/>
      <c r="B394" s="11"/>
      <c r="C394" s="10"/>
      <c r="D394" s="11"/>
      <c r="E394" s="10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0"/>
      <c r="V394" s="11"/>
      <c r="W394" s="10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2.75" customHeight="1">
      <c r="A395" s="10"/>
      <c r="B395" s="11"/>
      <c r="C395" s="10"/>
      <c r="D395" s="11"/>
      <c r="E395" s="10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0"/>
      <c r="V395" s="11"/>
      <c r="W395" s="10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2.75" customHeight="1">
      <c r="A396" s="10"/>
      <c r="B396" s="11"/>
      <c r="C396" s="10"/>
      <c r="D396" s="11"/>
      <c r="E396" s="10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0"/>
      <c r="V396" s="11"/>
      <c r="W396" s="10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2.75" customHeight="1">
      <c r="A397" s="10"/>
      <c r="B397" s="11"/>
      <c r="C397" s="10"/>
      <c r="D397" s="11"/>
      <c r="E397" s="10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0"/>
      <c r="V397" s="11"/>
      <c r="W397" s="10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2.75" customHeight="1">
      <c r="A398" s="10"/>
      <c r="B398" s="11"/>
      <c r="C398" s="10"/>
      <c r="D398" s="11"/>
      <c r="E398" s="10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0"/>
      <c r="V398" s="11"/>
      <c r="W398" s="10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2.75" customHeight="1">
      <c r="A399" s="10"/>
      <c r="B399" s="11"/>
      <c r="C399" s="10"/>
      <c r="D399" s="11"/>
      <c r="E399" s="10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0"/>
      <c r="V399" s="11"/>
      <c r="W399" s="10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2.75" customHeight="1">
      <c r="A400" s="10"/>
      <c r="B400" s="11"/>
      <c r="C400" s="10"/>
      <c r="D400" s="11"/>
      <c r="E400" s="10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0"/>
      <c r="V400" s="11"/>
      <c r="W400" s="10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2.75" customHeight="1">
      <c r="A401" s="10"/>
      <c r="B401" s="11"/>
      <c r="C401" s="10"/>
      <c r="D401" s="11"/>
      <c r="E401" s="10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0"/>
      <c r="V401" s="11"/>
      <c r="W401" s="10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2.75" customHeight="1">
      <c r="A402" s="10"/>
      <c r="B402" s="11"/>
      <c r="C402" s="10"/>
      <c r="D402" s="11"/>
      <c r="E402" s="10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0"/>
      <c r="V402" s="11"/>
      <c r="W402" s="10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2.75" customHeight="1">
      <c r="A403" s="10"/>
      <c r="B403" s="11"/>
      <c r="C403" s="10"/>
      <c r="D403" s="11"/>
      <c r="E403" s="10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0"/>
      <c r="V403" s="11"/>
      <c r="W403" s="10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2.75" customHeight="1">
      <c r="A404" s="10"/>
      <c r="B404" s="11"/>
      <c r="C404" s="10"/>
      <c r="D404" s="11"/>
      <c r="E404" s="10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0"/>
      <c r="V404" s="11"/>
      <c r="W404" s="10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2.75" customHeight="1">
      <c r="A405" s="10"/>
      <c r="B405" s="11"/>
      <c r="C405" s="10"/>
      <c r="D405" s="11"/>
      <c r="E405" s="10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0"/>
      <c r="V405" s="11"/>
      <c r="W405" s="10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2.75" customHeight="1">
      <c r="A406" s="10"/>
      <c r="B406" s="11"/>
      <c r="C406" s="10"/>
      <c r="D406" s="11"/>
      <c r="E406" s="10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0"/>
      <c r="V406" s="11"/>
      <c r="W406" s="10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2.75" customHeight="1">
      <c r="A407" s="10"/>
      <c r="B407" s="11"/>
      <c r="C407" s="10"/>
      <c r="D407" s="11"/>
      <c r="E407" s="10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0"/>
      <c r="V407" s="11"/>
      <c r="W407" s="10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2.75" customHeight="1">
      <c r="A408" s="10"/>
      <c r="B408" s="11"/>
      <c r="C408" s="10"/>
      <c r="D408" s="11"/>
      <c r="E408" s="10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0"/>
      <c r="V408" s="11"/>
      <c r="W408" s="10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2.75" customHeight="1">
      <c r="A409" s="10"/>
      <c r="B409" s="11"/>
      <c r="C409" s="10"/>
      <c r="D409" s="11"/>
      <c r="E409" s="10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0"/>
      <c r="V409" s="11"/>
      <c r="W409" s="10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2.75" customHeight="1">
      <c r="A410" s="10"/>
      <c r="B410" s="11"/>
      <c r="C410" s="10"/>
      <c r="D410" s="11"/>
      <c r="E410" s="10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0"/>
      <c r="V410" s="11"/>
      <c r="W410" s="10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2.75" customHeight="1">
      <c r="A411" s="10"/>
      <c r="B411" s="11"/>
      <c r="C411" s="10"/>
      <c r="D411" s="11"/>
      <c r="E411" s="10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0"/>
      <c r="V411" s="11"/>
      <c r="W411" s="10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2.75" customHeight="1">
      <c r="A412" s="10"/>
      <c r="B412" s="11"/>
      <c r="C412" s="10"/>
      <c r="D412" s="11"/>
      <c r="E412" s="10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0"/>
      <c r="V412" s="11"/>
      <c r="W412" s="10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2.75" customHeight="1">
      <c r="A413" s="10"/>
      <c r="B413" s="11"/>
      <c r="C413" s="10"/>
      <c r="D413" s="11"/>
      <c r="E413" s="10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0"/>
      <c r="V413" s="11"/>
      <c r="W413" s="10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2.75" customHeight="1">
      <c r="A414" s="10"/>
      <c r="B414" s="11"/>
      <c r="C414" s="10"/>
      <c r="D414" s="11"/>
      <c r="E414" s="10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0"/>
      <c r="V414" s="11"/>
      <c r="W414" s="10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2.75" customHeight="1">
      <c r="A415" s="10"/>
      <c r="B415" s="11"/>
      <c r="C415" s="10"/>
      <c r="D415" s="11"/>
      <c r="E415" s="10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0"/>
      <c r="V415" s="11"/>
      <c r="W415" s="10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2.75" customHeight="1">
      <c r="A416" s="10"/>
      <c r="B416" s="11"/>
      <c r="C416" s="10"/>
      <c r="D416" s="11"/>
      <c r="E416" s="10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0"/>
      <c r="V416" s="11"/>
      <c r="W416" s="10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2.75" customHeight="1">
      <c r="A417" s="10"/>
      <c r="B417" s="11"/>
      <c r="C417" s="10"/>
      <c r="D417" s="11"/>
      <c r="E417" s="10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0"/>
      <c r="V417" s="11"/>
      <c r="W417" s="10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2.75" customHeight="1">
      <c r="A418" s="10"/>
      <c r="B418" s="11"/>
      <c r="C418" s="10"/>
      <c r="D418" s="11"/>
      <c r="E418" s="10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0"/>
      <c r="V418" s="11"/>
      <c r="W418" s="10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2.75" customHeight="1">
      <c r="A419" s="10"/>
      <c r="B419" s="11"/>
      <c r="C419" s="10"/>
      <c r="D419" s="11"/>
      <c r="E419" s="10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0"/>
      <c r="V419" s="11"/>
      <c r="W419" s="10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2.75" customHeight="1">
      <c r="A420" s="10"/>
      <c r="B420" s="11"/>
      <c r="C420" s="10"/>
      <c r="D420" s="11"/>
      <c r="E420" s="10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0"/>
      <c r="V420" s="11"/>
      <c r="W420" s="10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2.75" customHeight="1">
      <c r="A421" s="10"/>
      <c r="B421" s="11"/>
      <c r="C421" s="10"/>
      <c r="D421" s="11"/>
      <c r="E421" s="10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0"/>
      <c r="V421" s="11"/>
      <c r="W421" s="10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2.75" customHeight="1">
      <c r="A422" s="10"/>
      <c r="B422" s="11"/>
      <c r="C422" s="10"/>
      <c r="D422" s="11"/>
      <c r="E422" s="10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0"/>
      <c r="V422" s="11"/>
      <c r="W422" s="10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2.75" customHeight="1">
      <c r="A423" s="10"/>
      <c r="B423" s="11"/>
      <c r="C423" s="10"/>
      <c r="D423" s="11"/>
      <c r="E423" s="10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0"/>
      <c r="V423" s="11"/>
      <c r="W423" s="10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2.75" customHeight="1">
      <c r="A424" s="10"/>
      <c r="B424" s="11"/>
      <c r="C424" s="10"/>
      <c r="D424" s="11"/>
      <c r="E424" s="10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0"/>
      <c r="V424" s="11"/>
      <c r="W424" s="10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2.75" customHeight="1">
      <c r="A425" s="10"/>
      <c r="B425" s="11"/>
      <c r="C425" s="10"/>
      <c r="D425" s="11"/>
      <c r="E425" s="10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0"/>
      <c r="V425" s="11"/>
      <c r="W425" s="10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2.75" customHeight="1">
      <c r="A426" s="10"/>
      <c r="B426" s="11"/>
      <c r="C426" s="10"/>
      <c r="D426" s="11"/>
      <c r="E426" s="10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0"/>
      <c r="V426" s="11"/>
      <c r="W426" s="10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2.75" customHeight="1">
      <c r="A427" s="10"/>
      <c r="B427" s="11"/>
      <c r="C427" s="10"/>
      <c r="D427" s="11"/>
      <c r="E427" s="10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0"/>
      <c r="V427" s="11"/>
      <c r="W427" s="10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2.75" customHeight="1">
      <c r="A428" s="10"/>
      <c r="B428" s="11"/>
      <c r="C428" s="10"/>
      <c r="D428" s="11"/>
      <c r="E428" s="10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0"/>
      <c r="V428" s="11"/>
      <c r="W428" s="10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2.75" customHeight="1">
      <c r="A429" s="10"/>
      <c r="B429" s="11"/>
      <c r="C429" s="10"/>
      <c r="D429" s="11"/>
      <c r="E429" s="10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0"/>
      <c r="V429" s="11"/>
      <c r="W429" s="10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2.75" customHeight="1">
      <c r="A430" s="10"/>
      <c r="B430" s="11"/>
      <c r="C430" s="10"/>
      <c r="D430" s="11"/>
      <c r="E430" s="10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0"/>
      <c r="V430" s="11"/>
      <c r="W430" s="10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2.75" customHeight="1">
      <c r="A431" s="10"/>
      <c r="B431" s="11"/>
      <c r="C431" s="10"/>
      <c r="D431" s="11"/>
      <c r="E431" s="10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0"/>
      <c r="V431" s="11"/>
      <c r="W431" s="10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2.75" customHeight="1">
      <c r="A432" s="10"/>
      <c r="B432" s="11"/>
      <c r="C432" s="10"/>
      <c r="D432" s="11"/>
      <c r="E432" s="10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0"/>
      <c r="V432" s="11"/>
      <c r="W432" s="10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2.75" customHeight="1">
      <c r="A433" s="10"/>
      <c r="B433" s="11"/>
      <c r="C433" s="10"/>
      <c r="D433" s="11"/>
      <c r="E433" s="10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0"/>
      <c r="V433" s="11"/>
      <c r="W433" s="10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2.75" customHeight="1">
      <c r="A434" s="10"/>
      <c r="B434" s="11"/>
      <c r="C434" s="10"/>
      <c r="D434" s="11"/>
      <c r="E434" s="10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0"/>
      <c r="V434" s="11"/>
      <c r="W434" s="10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2.75" customHeight="1">
      <c r="A435" s="10"/>
      <c r="B435" s="11"/>
      <c r="C435" s="10"/>
      <c r="D435" s="11"/>
      <c r="E435" s="10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0"/>
      <c r="V435" s="11"/>
      <c r="W435" s="10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2.75" customHeight="1">
      <c r="A436" s="10"/>
      <c r="B436" s="11"/>
      <c r="C436" s="10"/>
      <c r="D436" s="11"/>
      <c r="E436" s="10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0"/>
      <c r="V436" s="11"/>
      <c r="W436" s="10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2.75" customHeight="1">
      <c r="A437" s="10"/>
      <c r="B437" s="11"/>
      <c r="C437" s="10"/>
      <c r="D437" s="11"/>
      <c r="E437" s="10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0"/>
      <c r="V437" s="11"/>
      <c r="W437" s="10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2.75" customHeight="1">
      <c r="A438" s="10"/>
      <c r="B438" s="11"/>
      <c r="C438" s="10"/>
      <c r="D438" s="11"/>
      <c r="E438" s="10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0"/>
      <c r="V438" s="11"/>
      <c r="W438" s="10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2.75" customHeight="1">
      <c r="A439" s="10"/>
      <c r="B439" s="11"/>
      <c r="C439" s="10"/>
      <c r="D439" s="11"/>
      <c r="E439" s="10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0"/>
      <c r="V439" s="11"/>
      <c r="W439" s="10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2.75" customHeight="1">
      <c r="A440" s="10"/>
      <c r="B440" s="11"/>
      <c r="C440" s="10"/>
      <c r="D440" s="11"/>
      <c r="E440" s="10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0"/>
      <c r="V440" s="11"/>
      <c r="W440" s="10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2.75" customHeight="1">
      <c r="A441" s="10"/>
      <c r="B441" s="11"/>
      <c r="C441" s="10"/>
      <c r="D441" s="11"/>
      <c r="E441" s="10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0"/>
      <c r="V441" s="11"/>
      <c r="W441" s="10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2.75" customHeight="1">
      <c r="A442" s="10"/>
      <c r="B442" s="11"/>
      <c r="C442" s="10"/>
      <c r="D442" s="11"/>
      <c r="E442" s="10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0"/>
      <c r="V442" s="11"/>
      <c r="W442" s="10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2.75" customHeight="1">
      <c r="A443" s="10"/>
      <c r="B443" s="11"/>
      <c r="C443" s="10"/>
      <c r="D443" s="11"/>
      <c r="E443" s="10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0"/>
      <c r="V443" s="11"/>
      <c r="W443" s="10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2.75" customHeight="1">
      <c r="A444" s="10"/>
      <c r="B444" s="11"/>
      <c r="C444" s="10"/>
      <c r="D444" s="11"/>
      <c r="E444" s="10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0"/>
      <c r="V444" s="11"/>
      <c r="W444" s="10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2.75" customHeight="1">
      <c r="A445" s="10"/>
      <c r="B445" s="11"/>
      <c r="C445" s="10"/>
      <c r="D445" s="11"/>
      <c r="E445" s="10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0"/>
      <c r="V445" s="11"/>
      <c r="W445" s="10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2.75" customHeight="1">
      <c r="A446" s="10"/>
      <c r="B446" s="11"/>
      <c r="C446" s="10"/>
      <c r="D446" s="11"/>
      <c r="E446" s="10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0"/>
      <c r="V446" s="11"/>
      <c r="W446" s="10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2.75" customHeight="1">
      <c r="A447" s="10"/>
      <c r="B447" s="11"/>
      <c r="C447" s="10"/>
      <c r="D447" s="11"/>
      <c r="E447" s="10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0"/>
      <c r="V447" s="11"/>
      <c r="W447" s="10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2.75" customHeight="1">
      <c r="A448" s="10"/>
      <c r="B448" s="11"/>
      <c r="C448" s="10"/>
      <c r="D448" s="11"/>
      <c r="E448" s="10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0"/>
      <c r="V448" s="11"/>
      <c r="W448" s="10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2.75" customHeight="1">
      <c r="A449" s="10"/>
      <c r="B449" s="11"/>
      <c r="C449" s="10"/>
      <c r="D449" s="11"/>
      <c r="E449" s="10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0"/>
      <c r="V449" s="11"/>
      <c r="W449" s="10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2.75" customHeight="1">
      <c r="A450" s="10"/>
      <c r="B450" s="11"/>
      <c r="C450" s="10"/>
      <c r="D450" s="11"/>
      <c r="E450" s="10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0"/>
      <c r="V450" s="11"/>
      <c r="W450" s="10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2.75" customHeight="1">
      <c r="A451" s="10"/>
      <c r="B451" s="11"/>
      <c r="C451" s="10"/>
      <c r="D451" s="11"/>
      <c r="E451" s="10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0"/>
      <c r="V451" s="11"/>
      <c r="W451" s="10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2.75" customHeight="1">
      <c r="A452" s="10"/>
      <c r="B452" s="11"/>
      <c r="C452" s="10"/>
      <c r="D452" s="11"/>
      <c r="E452" s="10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0"/>
      <c r="V452" s="11"/>
      <c r="W452" s="10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2.75" customHeight="1">
      <c r="A453" s="10"/>
      <c r="B453" s="11"/>
      <c r="C453" s="10"/>
      <c r="D453" s="11"/>
      <c r="E453" s="10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0"/>
      <c r="V453" s="11"/>
      <c r="W453" s="10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2.75" customHeight="1">
      <c r="A454" s="10"/>
      <c r="B454" s="11"/>
      <c r="C454" s="10"/>
      <c r="D454" s="11"/>
      <c r="E454" s="10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0"/>
      <c r="V454" s="11"/>
      <c r="W454" s="10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2.75" customHeight="1">
      <c r="A455" s="10"/>
      <c r="B455" s="11"/>
      <c r="C455" s="10"/>
      <c r="D455" s="11"/>
      <c r="E455" s="10"/>
      <c r="F455" s="1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0"/>
      <c r="V455" s="11"/>
      <c r="W455" s="10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2.75" customHeight="1">
      <c r="A456" s="10"/>
      <c r="B456" s="11"/>
      <c r="C456" s="10"/>
      <c r="D456" s="11"/>
      <c r="E456" s="10"/>
      <c r="F456" s="1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0"/>
      <c r="V456" s="11"/>
      <c r="W456" s="10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2.75" customHeight="1">
      <c r="A457" s="10"/>
      <c r="B457" s="11"/>
      <c r="C457" s="10"/>
      <c r="D457" s="11"/>
      <c r="E457" s="10"/>
      <c r="F457" s="1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0"/>
      <c r="V457" s="11"/>
      <c r="W457" s="10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2.75" customHeight="1">
      <c r="A458" s="10"/>
      <c r="B458" s="11"/>
      <c r="C458" s="10"/>
      <c r="D458" s="11"/>
      <c r="E458" s="10"/>
      <c r="F458" s="1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0"/>
      <c r="V458" s="11"/>
      <c r="W458" s="10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2.75" customHeight="1">
      <c r="A459" s="10"/>
      <c r="B459" s="11"/>
      <c r="C459" s="10"/>
      <c r="D459" s="11"/>
      <c r="E459" s="10"/>
      <c r="F459" s="1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0"/>
      <c r="V459" s="11"/>
      <c r="W459" s="10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2.75" customHeight="1">
      <c r="A460" s="10"/>
      <c r="B460" s="11"/>
      <c r="C460" s="10"/>
      <c r="D460" s="11"/>
      <c r="E460" s="10"/>
      <c r="F460" s="1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0"/>
      <c r="V460" s="11"/>
      <c r="W460" s="10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2.75" customHeight="1">
      <c r="A461" s="10"/>
      <c r="B461" s="11"/>
      <c r="C461" s="10"/>
      <c r="D461" s="11"/>
      <c r="E461" s="10"/>
      <c r="F461" s="1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0"/>
      <c r="V461" s="11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2.75" customHeight="1">
      <c r="A462" s="10"/>
      <c r="B462" s="11"/>
      <c r="C462" s="10"/>
      <c r="D462" s="11"/>
      <c r="E462" s="10"/>
      <c r="F462" s="1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0"/>
      <c r="V462" s="11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2.75" customHeight="1">
      <c r="A463" s="10"/>
      <c r="B463" s="11"/>
      <c r="C463" s="10"/>
      <c r="D463" s="11"/>
      <c r="E463" s="10"/>
      <c r="F463" s="1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0"/>
      <c r="V463" s="11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2.75" customHeight="1">
      <c r="A464" s="10"/>
      <c r="B464" s="11"/>
      <c r="C464" s="10"/>
      <c r="D464" s="11"/>
      <c r="E464" s="10"/>
      <c r="F464" s="1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0"/>
      <c r="V464" s="11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2.75" customHeight="1">
      <c r="A465" s="10"/>
      <c r="B465" s="11"/>
      <c r="C465" s="10"/>
      <c r="D465" s="11"/>
      <c r="E465" s="10"/>
      <c r="F465" s="1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0"/>
      <c r="V465" s="11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2.75" customHeight="1">
      <c r="A466" s="10"/>
      <c r="B466" s="11"/>
      <c r="C466" s="10"/>
      <c r="D466" s="11"/>
      <c r="E466" s="10"/>
      <c r="F466" s="1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0"/>
      <c r="V466" s="11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2.75" customHeight="1">
      <c r="A467" s="10"/>
      <c r="B467" s="11"/>
      <c r="C467" s="10"/>
      <c r="D467" s="11"/>
      <c r="E467" s="10"/>
      <c r="F467" s="1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0"/>
      <c r="V467" s="11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2.75" customHeight="1">
      <c r="A468" s="10"/>
      <c r="B468" s="11"/>
      <c r="C468" s="10"/>
      <c r="D468" s="11"/>
      <c r="E468" s="10"/>
      <c r="F468" s="1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0"/>
      <c r="V468" s="11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2.75" customHeight="1">
      <c r="A469" s="10"/>
      <c r="B469" s="11"/>
      <c r="C469" s="10"/>
      <c r="D469" s="11"/>
      <c r="E469" s="10"/>
      <c r="F469" s="1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0"/>
      <c r="V469" s="11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2.75" customHeight="1">
      <c r="A470" s="10"/>
      <c r="B470" s="11"/>
      <c r="C470" s="10"/>
      <c r="D470" s="11"/>
      <c r="E470" s="10"/>
      <c r="F470" s="1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0"/>
      <c r="V470" s="11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2.75" customHeight="1">
      <c r="A471" s="10"/>
      <c r="B471" s="11"/>
      <c r="C471" s="10"/>
      <c r="D471" s="11"/>
      <c r="E471" s="10"/>
      <c r="F471" s="1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0"/>
      <c r="V471" s="11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2.75" customHeight="1">
      <c r="A472" s="10"/>
      <c r="B472" s="11"/>
      <c r="C472" s="10"/>
      <c r="D472" s="11"/>
      <c r="E472" s="10"/>
      <c r="F472" s="1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0"/>
      <c r="V472" s="11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2.75" customHeight="1">
      <c r="A473" s="10"/>
      <c r="B473" s="11"/>
      <c r="C473" s="10"/>
      <c r="D473" s="11"/>
      <c r="E473" s="10"/>
      <c r="F473" s="1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0"/>
      <c r="V473" s="11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2.75" customHeight="1">
      <c r="A474" s="10"/>
      <c r="B474" s="11"/>
      <c r="C474" s="10"/>
      <c r="D474" s="11"/>
      <c r="E474" s="10"/>
      <c r="F474" s="1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0"/>
      <c r="V474" s="11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2.75" customHeight="1">
      <c r="A475" s="10"/>
      <c r="B475" s="11"/>
      <c r="C475" s="10"/>
      <c r="D475" s="11"/>
      <c r="E475" s="10"/>
      <c r="F475" s="1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0"/>
      <c r="V475" s="11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2.75" customHeight="1">
      <c r="A476" s="10"/>
      <c r="B476" s="11"/>
      <c r="C476" s="10"/>
      <c r="D476" s="11"/>
      <c r="E476" s="10"/>
      <c r="F476" s="1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0"/>
      <c r="V476" s="11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2.75" customHeight="1">
      <c r="A477" s="10"/>
      <c r="B477" s="11"/>
      <c r="C477" s="10"/>
      <c r="D477" s="11"/>
      <c r="E477" s="10"/>
      <c r="F477" s="1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0"/>
      <c r="V477" s="11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2.75" customHeight="1">
      <c r="A478" s="10"/>
      <c r="B478" s="11"/>
      <c r="C478" s="10"/>
      <c r="D478" s="11"/>
      <c r="E478" s="10"/>
      <c r="F478" s="1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0"/>
      <c r="V478" s="11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2.75" customHeight="1">
      <c r="A479" s="10"/>
      <c r="B479" s="11"/>
      <c r="C479" s="10"/>
      <c r="D479" s="11"/>
      <c r="E479" s="10"/>
      <c r="F479" s="1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0"/>
      <c r="V479" s="11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2.75" customHeight="1">
      <c r="A480" s="10"/>
      <c r="B480" s="11"/>
      <c r="C480" s="10"/>
      <c r="D480" s="11"/>
      <c r="E480" s="10"/>
      <c r="F480" s="1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0"/>
      <c r="V480" s="11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2.75" customHeight="1">
      <c r="A481" s="10"/>
      <c r="B481" s="11"/>
      <c r="C481" s="10"/>
      <c r="D481" s="11"/>
      <c r="E481" s="10"/>
      <c r="F481" s="1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0"/>
      <c r="V481" s="11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2.75" customHeight="1">
      <c r="A482" s="10"/>
      <c r="B482" s="11"/>
      <c r="C482" s="10"/>
      <c r="D482" s="11"/>
      <c r="E482" s="10"/>
      <c r="F482" s="1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0"/>
      <c r="V482" s="11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2.75" customHeight="1">
      <c r="A483" s="10"/>
      <c r="B483" s="11"/>
      <c r="C483" s="10"/>
      <c r="D483" s="11"/>
      <c r="E483" s="10"/>
      <c r="F483" s="1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0"/>
      <c r="V483" s="11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2.75" customHeight="1">
      <c r="A484" s="10"/>
      <c r="B484" s="11"/>
      <c r="C484" s="10"/>
      <c r="D484" s="11"/>
      <c r="E484" s="10"/>
      <c r="F484" s="1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0"/>
      <c r="V484" s="11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2.75" customHeight="1">
      <c r="A485" s="10"/>
      <c r="B485" s="11"/>
      <c r="C485" s="10"/>
      <c r="D485" s="11"/>
      <c r="E485" s="10"/>
      <c r="F485" s="1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0"/>
      <c r="V485" s="11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2.75" customHeight="1">
      <c r="A486" s="10"/>
      <c r="B486" s="11"/>
      <c r="C486" s="10"/>
      <c r="D486" s="11"/>
      <c r="E486" s="10"/>
      <c r="F486" s="1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0"/>
      <c r="V486" s="11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2.75" customHeight="1">
      <c r="A487" s="10"/>
      <c r="B487" s="11"/>
      <c r="C487" s="10"/>
      <c r="D487" s="11"/>
      <c r="E487" s="10"/>
      <c r="F487" s="1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0"/>
      <c r="V487" s="11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2.75" customHeight="1">
      <c r="A488" s="10"/>
      <c r="B488" s="11"/>
      <c r="C488" s="10"/>
      <c r="D488" s="11"/>
      <c r="E488" s="10"/>
      <c r="F488" s="1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0"/>
      <c r="V488" s="11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2.75" customHeight="1">
      <c r="A489" s="10"/>
      <c r="B489" s="11"/>
      <c r="C489" s="10"/>
      <c r="D489" s="11"/>
      <c r="E489" s="10"/>
      <c r="F489" s="1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0"/>
      <c r="V489" s="11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2.75" customHeight="1">
      <c r="A490" s="10"/>
      <c r="B490" s="11"/>
      <c r="C490" s="10"/>
      <c r="D490" s="11"/>
      <c r="E490" s="10"/>
      <c r="F490" s="1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0"/>
      <c r="V490" s="11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2.75" customHeight="1">
      <c r="A491" s="10"/>
      <c r="B491" s="11"/>
      <c r="C491" s="10"/>
      <c r="D491" s="11"/>
      <c r="E491" s="10"/>
      <c r="F491" s="1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0"/>
      <c r="V491" s="11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2.75" customHeight="1">
      <c r="A492" s="10"/>
      <c r="B492" s="11"/>
      <c r="C492" s="10"/>
      <c r="D492" s="11"/>
      <c r="E492" s="10"/>
      <c r="F492" s="1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0"/>
      <c r="V492" s="11"/>
      <c r="W492" s="10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2.75" customHeight="1">
      <c r="A493" s="10"/>
      <c r="B493" s="11"/>
      <c r="C493" s="10"/>
      <c r="D493" s="11"/>
      <c r="E493" s="10"/>
      <c r="F493" s="1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0"/>
      <c r="V493" s="11"/>
      <c r="W493" s="10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2.75" customHeight="1">
      <c r="A494" s="10"/>
      <c r="B494" s="11"/>
      <c r="C494" s="10"/>
      <c r="D494" s="11"/>
      <c r="E494" s="10"/>
      <c r="F494" s="1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0"/>
      <c r="V494" s="11"/>
      <c r="W494" s="10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2.75" customHeight="1">
      <c r="A495" s="10"/>
      <c r="B495" s="11"/>
      <c r="C495" s="10"/>
      <c r="D495" s="11"/>
      <c r="E495" s="10"/>
      <c r="F495" s="1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0"/>
      <c r="V495" s="11"/>
      <c r="W495" s="10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2.75" customHeight="1">
      <c r="A496" s="10"/>
      <c r="B496" s="11"/>
      <c r="C496" s="10"/>
      <c r="D496" s="11"/>
      <c r="E496" s="10"/>
      <c r="F496" s="1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0"/>
      <c r="V496" s="11"/>
      <c r="W496" s="10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2.75" customHeight="1">
      <c r="A497" s="10"/>
      <c r="B497" s="11"/>
      <c r="C497" s="10"/>
      <c r="D497" s="11"/>
      <c r="E497" s="10"/>
      <c r="F497" s="1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0"/>
      <c r="V497" s="11"/>
      <c r="W497" s="10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2.75" customHeight="1">
      <c r="A498" s="10"/>
      <c r="B498" s="11"/>
      <c r="C498" s="10"/>
      <c r="D498" s="11"/>
      <c r="E498" s="10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0"/>
      <c r="V498" s="11"/>
      <c r="W498" s="10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2.75" customHeight="1">
      <c r="A499" s="10"/>
      <c r="B499" s="11"/>
      <c r="C499" s="10"/>
      <c r="D499" s="11"/>
      <c r="E499" s="10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0"/>
      <c r="V499" s="11"/>
      <c r="W499" s="10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2.75" customHeight="1">
      <c r="A500" s="10"/>
      <c r="B500" s="11"/>
      <c r="C500" s="10"/>
      <c r="D500" s="11"/>
      <c r="E500" s="10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0"/>
      <c r="V500" s="11"/>
      <c r="W500" s="10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2.75" customHeight="1">
      <c r="A501" s="10"/>
      <c r="B501" s="11"/>
      <c r="C501" s="10"/>
      <c r="D501" s="11"/>
      <c r="E501" s="10"/>
      <c r="F501" s="1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0"/>
      <c r="V501" s="11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2.75" customHeight="1">
      <c r="A502" s="10"/>
      <c r="B502" s="11"/>
      <c r="C502" s="10"/>
      <c r="D502" s="11"/>
      <c r="E502" s="10"/>
      <c r="F502" s="1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0"/>
      <c r="V502" s="11"/>
      <c r="W502" s="10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2.75" customHeight="1">
      <c r="A503" s="10"/>
      <c r="B503" s="11"/>
      <c r="C503" s="10"/>
      <c r="D503" s="11"/>
      <c r="E503" s="10"/>
      <c r="F503" s="1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0"/>
      <c r="V503" s="11"/>
      <c r="W503" s="10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2.75" customHeight="1">
      <c r="A504" s="10"/>
      <c r="B504" s="11"/>
      <c r="C504" s="10"/>
      <c r="D504" s="11"/>
      <c r="E504" s="10"/>
      <c r="F504" s="1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0"/>
      <c r="V504" s="11"/>
      <c r="W504" s="10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2.75" customHeight="1">
      <c r="A505" s="10"/>
      <c r="B505" s="11"/>
      <c r="C505" s="10"/>
      <c r="D505" s="11"/>
      <c r="E505" s="10"/>
      <c r="F505" s="1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0"/>
      <c r="V505" s="11"/>
      <c r="W505" s="10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2.75" customHeight="1">
      <c r="A506" s="10"/>
      <c r="B506" s="11"/>
      <c r="C506" s="10"/>
      <c r="D506" s="11"/>
      <c r="E506" s="10"/>
      <c r="F506" s="1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0"/>
      <c r="V506" s="11"/>
      <c r="W506" s="10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2.75" customHeight="1">
      <c r="A507" s="10"/>
      <c r="B507" s="11"/>
      <c r="C507" s="10"/>
      <c r="D507" s="11"/>
      <c r="E507" s="10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0"/>
      <c r="V507" s="11"/>
      <c r="W507" s="10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2.75" customHeight="1">
      <c r="A508" s="10"/>
      <c r="B508" s="11"/>
      <c r="C508" s="10"/>
      <c r="D508" s="11"/>
      <c r="E508" s="10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0"/>
      <c r="V508" s="11"/>
      <c r="W508" s="10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2.75" customHeight="1">
      <c r="A509" s="10"/>
      <c r="B509" s="11"/>
      <c r="C509" s="10"/>
      <c r="D509" s="11"/>
      <c r="E509" s="10"/>
      <c r="F509" s="1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0"/>
      <c r="V509" s="11"/>
      <c r="W509" s="10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2.75" customHeight="1">
      <c r="A510" s="10"/>
      <c r="B510" s="11"/>
      <c r="C510" s="10"/>
      <c r="D510" s="11"/>
      <c r="E510" s="10"/>
      <c r="F510" s="1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0"/>
      <c r="V510" s="11"/>
      <c r="W510" s="10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2.75" customHeight="1">
      <c r="A511" s="10"/>
      <c r="B511" s="11"/>
      <c r="C511" s="10"/>
      <c r="D511" s="11"/>
      <c r="E511" s="10"/>
      <c r="F511" s="1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0"/>
      <c r="V511" s="11"/>
      <c r="W511" s="10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2.75" customHeight="1">
      <c r="A512" s="10"/>
      <c r="B512" s="11"/>
      <c r="C512" s="10"/>
      <c r="D512" s="11"/>
      <c r="E512" s="10"/>
      <c r="F512" s="1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0"/>
      <c r="V512" s="11"/>
      <c r="W512" s="10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2.75" customHeight="1">
      <c r="A513" s="10"/>
      <c r="B513" s="11"/>
      <c r="C513" s="10"/>
      <c r="D513" s="11"/>
      <c r="E513" s="10"/>
      <c r="F513" s="1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0"/>
      <c r="V513" s="11"/>
      <c r="W513" s="10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2.75" customHeight="1">
      <c r="A514" s="10"/>
      <c r="B514" s="11"/>
      <c r="C514" s="10"/>
      <c r="D514" s="11"/>
      <c r="E514" s="10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0"/>
      <c r="V514" s="11"/>
      <c r="W514" s="10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2.75" customHeight="1">
      <c r="A515" s="10"/>
      <c r="B515" s="11"/>
      <c r="C515" s="10"/>
      <c r="D515" s="11"/>
      <c r="E515" s="10"/>
      <c r="F515" s="1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0"/>
      <c r="V515" s="11"/>
      <c r="W515" s="10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2.75" customHeight="1">
      <c r="A516" s="10"/>
      <c r="B516" s="11"/>
      <c r="C516" s="10"/>
      <c r="D516" s="11"/>
      <c r="E516" s="10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0"/>
      <c r="V516" s="11"/>
      <c r="W516" s="10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2.75" customHeight="1">
      <c r="A517" s="10"/>
      <c r="B517" s="11"/>
      <c r="C517" s="10"/>
      <c r="D517" s="11"/>
      <c r="E517" s="10"/>
      <c r="F517" s="1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0"/>
      <c r="V517" s="11"/>
      <c r="W517" s="10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2.75" customHeight="1">
      <c r="A518" s="10"/>
      <c r="B518" s="11"/>
      <c r="C518" s="10"/>
      <c r="D518" s="11"/>
      <c r="E518" s="10"/>
      <c r="F518" s="1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0"/>
      <c r="V518" s="11"/>
      <c r="W518" s="10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2.75" customHeight="1">
      <c r="A519" s="10"/>
      <c r="B519" s="11"/>
      <c r="C519" s="10"/>
      <c r="D519" s="11"/>
      <c r="E519" s="10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0"/>
      <c r="V519" s="11"/>
      <c r="W519" s="10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2.75" customHeight="1">
      <c r="A520" s="10"/>
      <c r="B520" s="11"/>
      <c r="C520" s="10"/>
      <c r="D520" s="11"/>
      <c r="E520" s="10"/>
      <c r="F520" s="1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0"/>
      <c r="V520" s="11"/>
      <c r="W520" s="10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2.75" customHeight="1">
      <c r="A521" s="10"/>
      <c r="B521" s="11"/>
      <c r="C521" s="10"/>
      <c r="D521" s="11"/>
      <c r="E521" s="10"/>
      <c r="F521" s="1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0"/>
      <c r="V521" s="11"/>
      <c r="W521" s="10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2.75" customHeight="1">
      <c r="A522" s="10"/>
      <c r="B522" s="11"/>
      <c r="C522" s="10"/>
      <c r="D522" s="11"/>
      <c r="E522" s="10"/>
      <c r="F522" s="1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0"/>
      <c r="V522" s="11"/>
      <c r="W522" s="10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2.75" customHeight="1">
      <c r="A523" s="10"/>
      <c r="B523" s="11"/>
      <c r="C523" s="10"/>
      <c r="D523" s="11"/>
      <c r="E523" s="10"/>
      <c r="F523" s="1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0"/>
      <c r="V523" s="11"/>
      <c r="W523" s="10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2.75" customHeight="1">
      <c r="A524" s="10"/>
      <c r="B524" s="11"/>
      <c r="C524" s="10"/>
      <c r="D524" s="11"/>
      <c r="E524" s="10"/>
      <c r="F524" s="1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0"/>
      <c r="V524" s="11"/>
      <c r="W524" s="10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2.75" customHeight="1">
      <c r="A525" s="10"/>
      <c r="B525" s="11"/>
      <c r="C525" s="10"/>
      <c r="D525" s="11"/>
      <c r="E525" s="10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0"/>
      <c r="V525" s="11"/>
      <c r="W525" s="10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2.75" customHeight="1">
      <c r="A526" s="10"/>
      <c r="B526" s="11"/>
      <c r="C526" s="10"/>
      <c r="D526" s="11"/>
      <c r="E526" s="10"/>
      <c r="F526" s="1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0"/>
      <c r="V526" s="11"/>
      <c r="W526" s="10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2.75" customHeight="1">
      <c r="A527" s="10"/>
      <c r="B527" s="11"/>
      <c r="C527" s="10"/>
      <c r="D527" s="11"/>
      <c r="E527" s="10"/>
      <c r="F527" s="1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0"/>
      <c r="V527" s="11"/>
      <c r="W527" s="10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2.75" customHeight="1">
      <c r="A528" s="10"/>
      <c r="B528" s="11"/>
      <c r="C528" s="10"/>
      <c r="D528" s="11"/>
      <c r="E528" s="10"/>
      <c r="F528" s="1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0"/>
      <c r="V528" s="11"/>
      <c r="W528" s="10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2.75" customHeight="1">
      <c r="A529" s="10"/>
      <c r="B529" s="11"/>
      <c r="C529" s="10"/>
      <c r="D529" s="11"/>
      <c r="E529" s="10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0"/>
      <c r="V529" s="11"/>
      <c r="W529" s="10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2.75" customHeight="1">
      <c r="A530" s="10"/>
      <c r="B530" s="11"/>
      <c r="C530" s="10"/>
      <c r="D530" s="11"/>
      <c r="E530" s="10"/>
      <c r="F530" s="1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0"/>
      <c r="V530" s="11"/>
      <c r="W530" s="10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2.75" customHeight="1">
      <c r="A531" s="10"/>
      <c r="B531" s="11"/>
      <c r="C531" s="10"/>
      <c r="D531" s="11"/>
      <c r="E531" s="10"/>
      <c r="F531" s="1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0"/>
      <c r="V531" s="11"/>
      <c r="W531" s="10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2.75" customHeight="1">
      <c r="A532" s="10"/>
      <c r="B532" s="11"/>
      <c r="C532" s="10"/>
      <c r="D532" s="11"/>
      <c r="E532" s="10"/>
      <c r="F532" s="1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0"/>
      <c r="V532" s="11"/>
      <c r="W532" s="10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2.75" customHeight="1">
      <c r="A533" s="10"/>
      <c r="B533" s="11"/>
      <c r="C533" s="10"/>
      <c r="D533" s="11"/>
      <c r="E533" s="10"/>
      <c r="F533" s="1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0"/>
      <c r="V533" s="11"/>
      <c r="W533" s="10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2.75" customHeight="1">
      <c r="A534" s="10"/>
      <c r="B534" s="11"/>
      <c r="C534" s="10"/>
      <c r="D534" s="11"/>
      <c r="E534" s="10"/>
      <c r="F534" s="1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0"/>
      <c r="V534" s="11"/>
      <c r="W534" s="10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2.75" customHeight="1">
      <c r="A535" s="10"/>
      <c r="B535" s="11"/>
      <c r="C535" s="10"/>
      <c r="D535" s="11"/>
      <c r="E535" s="10"/>
      <c r="F535" s="1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0"/>
      <c r="V535" s="11"/>
      <c r="W535" s="10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2.75" customHeight="1">
      <c r="A536" s="10"/>
      <c r="B536" s="11"/>
      <c r="C536" s="10"/>
      <c r="D536" s="11"/>
      <c r="E536" s="10"/>
      <c r="F536" s="1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0"/>
      <c r="V536" s="11"/>
      <c r="W536" s="10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2.75" customHeight="1">
      <c r="A537" s="10"/>
      <c r="B537" s="11"/>
      <c r="C537" s="10"/>
      <c r="D537" s="11"/>
      <c r="E537" s="10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0"/>
      <c r="V537" s="11"/>
      <c r="W537" s="10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2.75" customHeight="1">
      <c r="A538" s="10"/>
      <c r="B538" s="11"/>
      <c r="C538" s="10"/>
      <c r="D538" s="11"/>
      <c r="E538" s="10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0"/>
      <c r="V538" s="11"/>
      <c r="W538" s="10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2.75" customHeight="1">
      <c r="A539" s="10"/>
      <c r="B539" s="11"/>
      <c r="C539" s="10"/>
      <c r="D539" s="11"/>
      <c r="E539" s="10"/>
      <c r="F539" s="1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0"/>
      <c r="V539" s="11"/>
      <c r="W539" s="10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2.75" customHeight="1">
      <c r="A540" s="10"/>
      <c r="B540" s="11"/>
      <c r="C540" s="10"/>
      <c r="D540" s="11"/>
      <c r="E540" s="10"/>
      <c r="F540" s="1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0"/>
      <c r="V540" s="11"/>
      <c r="W540" s="10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2.75" customHeight="1">
      <c r="A541" s="10"/>
      <c r="B541" s="11"/>
      <c r="C541" s="10"/>
      <c r="D541" s="11"/>
      <c r="E541" s="10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0"/>
      <c r="V541" s="11"/>
      <c r="W541" s="10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2.75" customHeight="1">
      <c r="A542" s="10"/>
      <c r="B542" s="11"/>
      <c r="C542" s="10"/>
      <c r="D542" s="11"/>
      <c r="E542" s="10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0"/>
      <c r="V542" s="11"/>
      <c r="W542" s="10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2.75" customHeight="1">
      <c r="A543" s="10"/>
      <c r="B543" s="11"/>
      <c r="C543" s="10"/>
      <c r="D543" s="11"/>
      <c r="E543" s="10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0"/>
      <c r="V543" s="11"/>
      <c r="W543" s="10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2.75" customHeight="1">
      <c r="A544" s="10"/>
      <c r="B544" s="11"/>
      <c r="C544" s="10"/>
      <c r="D544" s="11"/>
      <c r="E544" s="10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0"/>
      <c r="V544" s="11"/>
      <c r="W544" s="10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2.75" customHeight="1">
      <c r="A545" s="10"/>
      <c r="B545" s="11"/>
      <c r="C545" s="10"/>
      <c r="D545" s="11"/>
      <c r="E545" s="10"/>
      <c r="F545" s="1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0"/>
      <c r="V545" s="11"/>
      <c r="W545" s="10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2.75" customHeight="1">
      <c r="A546" s="10"/>
      <c r="B546" s="11"/>
      <c r="C546" s="10"/>
      <c r="D546" s="11"/>
      <c r="E546" s="10"/>
      <c r="F546" s="1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0"/>
      <c r="V546" s="11"/>
      <c r="W546" s="10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2.75" customHeight="1">
      <c r="A547" s="10"/>
      <c r="B547" s="11"/>
      <c r="C547" s="10"/>
      <c r="D547" s="11"/>
      <c r="E547" s="10"/>
      <c r="F547" s="1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0"/>
      <c r="V547" s="11"/>
      <c r="W547" s="10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2.75" customHeight="1">
      <c r="A548" s="10"/>
      <c r="B548" s="11"/>
      <c r="C548" s="10"/>
      <c r="D548" s="11"/>
      <c r="E548" s="10"/>
      <c r="F548" s="1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0"/>
      <c r="V548" s="11"/>
      <c r="W548" s="10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2.75" customHeight="1">
      <c r="A549" s="10"/>
      <c r="B549" s="11"/>
      <c r="C549" s="10"/>
      <c r="D549" s="11"/>
      <c r="E549" s="10"/>
      <c r="F549" s="1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0"/>
      <c r="V549" s="11"/>
      <c r="W549" s="10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2.75" customHeight="1">
      <c r="A550" s="10"/>
      <c r="B550" s="11"/>
      <c r="C550" s="10"/>
      <c r="D550" s="11"/>
      <c r="E550" s="10"/>
      <c r="F550" s="1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0"/>
      <c r="V550" s="11"/>
      <c r="W550" s="10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2.75" customHeight="1">
      <c r="A551" s="10"/>
      <c r="B551" s="11"/>
      <c r="C551" s="10"/>
      <c r="D551" s="11"/>
      <c r="E551" s="10"/>
      <c r="F551" s="1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0"/>
      <c r="V551" s="11"/>
      <c r="W551" s="10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2.75" customHeight="1">
      <c r="A552" s="10"/>
      <c r="B552" s="11"/>
      <c r="C552" s="10"/>
      <c r="D552" s="11"/>
      <c r="E552" s="10"/>
      <c r="F552" s="1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0"/>
      <c r="V552" s="11"/>
      <c r="W552" s="10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2.75" customHeight="1">
      <c r="A553" s="10"/>
      <c r="B553" s="11"/>
      <c r="C553" s="10"/>
      <c r="D553" s="11"/>
      <c r="E553" s="10"/>
      <c r="F553" s="1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0"/>
      <c r="V553" s="11"/>
      <c r="W553" s="10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2.75" customHeight="1">
      <c r="A554" s="10"/>
      <c r="B554" s="11"/>
      <c r="C554" s="10"/>
      <c r="D554" s="11"/>
      <c r="E554" s="10"/>
      <c r="F554" s="1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0"/>
      <c r="V554" s="11"/>
      <c r="W554" s="10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2.75" customHeight="1">
      <c r="A555" s="10"/>
      <c r="B555" s="11"/>
      <c r="C555" s="10"/>
      <c r="D555" s="11"/>
      <c r="E555" s="10"/>
      <c r="F555" s="1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0"/>
      <c r="V555" s="11"/>
      <c r="W555" s="10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2.75" customHeight="1">
      <c r="A556" s="10"/>
      <c r="B556" s="11"/>
      <c r="C556" s="10"/>
      <c r="D556" s="11"/>
      <c r="E556" s="10"/>
      <c r="F556" s="1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0"/>
      <c r="V556" s="11"/>
      <c r="W556" s="10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2.75" customHeight="1">
      <c r="A557" s="10"/>
      <c r="B557" s="11"/>
      <c r="C557" s="10"/>
      <c r="D557" s="11"/>
      <c r="E557" s="10"/>
      <c r="F557" s="1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0"/>
      <c r="V557" s="11"/>
      <c r="W557" s="10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2.75" customHeight="1">
      <c r="A558" s="10"/>
      <c r="B558" s="11"/>
      <c r="C558" s="10"/>
      <c r="D558" s="11"/>
      <c r="E558" s="10"/>
      <c r="F558" s="1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0"/>
      <c r="V558" s="11"/>
      <c r="W558" s="10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2.75" customHeight="1">
      <c r="A559" s="10"/>
      <c r="B559" s="11"/>
      <c r="C559" s="10"/>
      <c r="D559" s="11"/>
      <c r="E559" s="10"/>
      <c r="F559" s="1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0"/>
      <c r="V559" s="11"/>
      <c r="W559" s="10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2.75" customHeight="1">
      <c r="A560" s="10"/>
      <c r="B560" s="11"/>
      <c r="C560" s="10"/>
      <c r="D560" s="11"/>
      <c r="E560" s="10"/>
      <c r="F560" s="1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0"/>
      <c r="V560" s="11"/>
      <c r="W560" s="10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2.75" customHeight="1">
      <c r="A561" s="10"/>
      <c r="B561" s="11"/>
      <c r="C561" s="10"/>
      <c r="D561" s="11"/>
      <c r="E561" s="10"/>
      <c r="F561" s="1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0"/>
      <c r="V561" s="11"/>
      <c r="W561" s="10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2.75" customHeight="1">
      <c r="A562" s="10"/>
      <c r="B562" s="11"/>
      <c r="C562" s="10"/>
      <c r="D562" s="11"/>
      <c r="E562" s="10"/>
      <c r="F562" s="1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0"/>
      <c r="V562" s="11"/>
      <c r="W562" s="10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2.75" customHeight="1">
      <c r="A563" s="10"/>
      <c r="B563" s="11"/>
      <c r="C563" s="10"/>
      <c r="D563" s="11"/>
      <c r="E563" s="10"/>
      <c r="F563" s="1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0"/>
      <c r="V563" s="11"/>
      <c r="W563" s="10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2.75" customHeight="1">
      <c r="A564" s="10"/>
      <c r="B564" s="11"/>
      <c r="C564" s="10"/>
      <c r="D564" s="11"/>
      <c r="E564" s="10"/>
      <c r="F564" s="1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0"/>
      <c r="V564" s="11"/>
      <c r="W564" s="10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2.75" customHeight="1">
      <c r="A565" s="10"/>
      <c r="B565" s="11"/>
      <c r="C565" s="10"/>
      <c r="D565" s="11"/>
      <c r="E565" s="10"/>
      <c r="F565" s="1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0"/>
      <c r="V565" s="11"/>
      <c r="W565" s="10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2.75" customHeight="1">
      <c r="A566" s="10"/>
      <c r="B566" s="11"/>
      <c r="C566" s="10"/>
      <c r="D566" s="11"/>
      <c r="E566" s="10"/>
      <c r="F566" s="1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0"/>
      <c r="V566" s="11"/>
      <c r="W566" s="10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2.75" customHeight="1">
      <c r="A567" s="10"/>
      <c r="B567" s="11"/>
      <c r="C567" s="10"/>
      <c r="D567" s="11"/>
      <c r="E567" s="10"/>
      <c r="F567" s="1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0"/>
      <c r="V567" s="11"/>
      <c r="W567" s="10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2.75" customHeight="1">
      <c r="A568" s="10"/>
      <c r="B568" s="11"/>
      <c r="C568" s="10"/>
      <c r="D568" s="11"/>
      <c r="E568" s="10"/>
      <c r="F568" s="1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0"/>
      <c r="V568" s="11"/>
      <c r="W568" s="10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2.75" customHeight="1">
      <c r="A569" s="10"/>
      <c r="B569" s="11"/>
      <c r="C569" s="10"/>
      <c r="D569" s="11"/>
      <c r="E569" s="10"/>
      <c r="F569" s="1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0"/>
      <c r="V569" s="11"/>
      <c r="W569" s="10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2.75" customHeight="1">
      <c r="A570" s="10"/>
      <c r="B570" s="11"/>
      <c r="C570" s="10"/>
      <c r="D570" s="11"/>
      <c r="E570" s="10"/>
      <c r="F570" s="1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0"/>
      <c r="V570" s="11"/>
      <c r="W570" s="10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2.75" customHeight="1">
      <c r="A571" s="10"/>
      <c r="B571" s="11"/>
      <c r="C571" s="10"/>
      <c r="D571" s="11"/>
      <c r="E571" s="10"/>
      <c r="F571" s="1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0"/>
      <c r="V571" s="11"/>
      <c r="W571" s="10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2.75" customHeight="1">
      <c r="A572" s="10"/>
      <c r="B572" s="11"/>
      <c r="C572" s="10"/>
      <c r="D572" s="11"/>
      <c r="E572" s="10"/>
      <c r="F572" s="1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0"/>
      <c r="V572" s="11"/>
      <c r="W572" s="10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2.75" customHeight="1">
      <c r="A573" s="10"/>
      <c r="B573" s="11"/>
      <c r="C573" s="10"/>
      <c r="D573" s="11"/>
      <c r="E573" s="10"/>
      <c r="F573" s="1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0"/>
      <c r="V573" s="11"/>
      <c r="W573" s="10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2.75" customHeight="1">
      <c r="A574" s="10"/>
      <c r="B574" s="11"/>
      <c r="C574" s="10"/>
      <c r="D574" s="11"/>
      <c r="E574" s="10"/>
      <c r="F574" s="1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0"/>
      <c r="V574" s="11"/>
      <c r="W574" s="10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2.75" customHeight="1">
      <c r="A575" s="10"/>
      <c r="B575" s="11"/>
      <c r="C575" s="10"/>
      <c r="D575" s="11"/>
      <c r="E575" s="10"/>
      <c r="F575" s="1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0"/>
      <c r="V575" s="11"/>
      <c r="W575" s="10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2.75" customHeight="1">
      <c r="A576" s="10"/>
      <c r="B576" s="11"/>
      <c r="C576" s="10"/>
      <c r="D576" s="11"/>
      <c r="E576" s="10"/>
      <c r="F576" s="1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0"/>
      <c r="V576" s="11"/>
      <c r="W576" s="10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2.75" customHeight="1">
      <c r="A577" s="10"/>
      <c r="B577" s="11"/>
      <c r="C577" s="10"/>
      <c r="D577" s="11"/>
      <c r="E577" s="10"/>
      <c r="F577" s="1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0"/>
      <c r="V577" s="11"/>
      <c r="W577" s="10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2.75" customHeight="1">
      <c r="A578" s="10"/>
      <c r="B578" s="11"/>
      <c r="C578" s="10"/>
      <c r="D578" s="11"/>
      <c r="E578" s="10"/>
      <c r="F578" s="1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0"/>
      <c r="V578" s="11"/>
      <c r="W578" s="10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2.75" customHeight="1">
      <c r="A579" s="10"/>
      <c r="B579" s="11"/>
      <c r="C579" s="10"/>
      <c r="D579" s="11"/>
      <c r="E579" s="10"/>
      <c r="F579" s="1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0"/>
      <c r="V579" s="11"/>
      <c r="W579" s="10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2.75" customHeight="1">
      <c r="A580" s="10"/>
      <c r="B580" s="11"/>
      <c r="C580" s="10"/>
      <c r="D580" s="11"/>
      <c r="E580" s="10"/>
      <c r="F580" s="1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0"/>
      <c r="V580" s="11"/>
      <c r="W580" s="10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2.75" customHeight="1">
      <c r="A581" s="10"/>
      <c r="B581" s="11"/>
      <c r="C581" s="10"/>
      <c r="D581" s="11"/>
      <c r="E581" s="10"/>
      <c r="F581" s="1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0"/>
      <c r="V581" s="11"/>
      <c r="W581" s="10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2.75" customHeight="1">
      <c r="A582" s="10"/>
      <c r="B582" s="11"/>
      <c r="C582" s="10"/>
      <c r="D582" s="11"/>
      <c r="E582" s="10"/>
      <c r="F582" s="1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0"/>
      <c r="V582" s="11"/>
      <c r="W582" s="10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2.75" customHeight="1">
      <c r="A583" s="10"/>
      <c r="B583" s="11"/>
      <c r="C583" s="10"/>
      <c r="D583" s="11"/>
      <c r="E583" s="10"/>
      <c r="F583" s="1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0"/>
      <c r="V583" s="11"/>
      <c r="W583" s="10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2.75" customHeight="1">
      <c r="A584" s="10"/>
      <c r="B584" s="11"/>
      <c r="C584" s="10"/>
      <c r="D584" s="11"/>
      <c r="E584" s="10"/>
      <c r="F584" s="1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0"/>
      <c r="V584" s="11"/>
      <c r="W584" s="10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2.75" customHeight="1">
      <c r="A585" s="10"/>
      <c r="B585" s="11"/>
      <c r="C585" s="10"/>
      <c r="D585" s="11"/>
      <c r="E585" s="10"/>
      <c r="F585" s="1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0"/>
      <c r="V585" s="11"/>
      <c r="W585" s="10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2.75" customHeight="1">
      <c r="A586" s="10"/>
      <c r="B586" s="11"/>
      <c r="C586" s="10"/>
      <c r="D586" s="11"/>
      <c r="E586" s="10"/>
      <c r="F586" s="1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0"/>
      <c r="V586" s="11"/>
      <c r="W586" s="10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2.75" customHeight="1">
      <c r="A587" s="10"/>
      <c r="B587" s="11"/>
      <c r="C587" s="10"/>
      <c r="D587" s="11"/>
      <c r="E587" s="10"/>
      <c r="F587" s="1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0"/>
      <c r="V587" s="11"/>
      <c r="W587" s="10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2.75" customHeight="1">
      <c r="A588" s="10"/>
      <c r="B588" s="11"/>
      <c r="C588" s="10"/>
      <c r="D588" s="11"/>
      <c r="E588" s="10"/>
      <c r="F588" s="1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0"/>
      <c r="V588" s="11"/>
      <c r="W588" s="10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2.75" customHeight="1">
      <c r="A589" s="10"/>
      <c r="B589" s="11"/>
      <c r="C589" s="10"/>
      <c r="D589" s="11"/>
      <c r="E589" s="10"/>
      <c r="F589" s="1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0"/>
      <c r="V589" s="11"/>
      <c r="W589" s="10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2.75" customHeight="1">
      <c r="A590" s="10"/>
      <c r="B590" s="11"/>
      <c r="C590" s="10"/>
      <c r="D590" s="11"/>
      <c r="E590" s="10"/>
      <c r="F590" s="1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0"/>
      <c r="V590" s="11"/>
      <c r="W590" s="10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2.75" customHeight="1">
      <c r="A591" s="10"/>
      <c r="B591" s="11"/>
      <c r="C591" s="10"/>
      <c r="D591" s="11"/>
      <c r="E591" s="10"/>
      <c r="F591" s="1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0"/>
      <c r="V591" s="11"/>
      <c r="W591" s="10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2.75" customHeight="1">
      <c r="A592" s="10"/>
      <c r="B592" s="11"/>
      <c r="C592" s="10"/>
      <c r="D592" s="11"/>
      <c r="E592" s="10"/>
      <c r="F592" s="1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0"/>
      <c r="V592" s="11"/>
      <c r="W592" s="10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2.75" customHeight="1">
      <c r="A593" s="10"/>
      <c r="B593" s="11"/>
      <c r="C593" s="10"/>
      <c r="D593" s="11"/>
      <c r="E593" s="10"/>
      <c r="F593" s="1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0"/>
      <c r="V593" s="11"/>
      <c r="W593" s="10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2.75" customHeight="1">
      <c r="A594" s="10"/>
      <c r="B594" s="11"/>
      <c r="C594" s="10"/>
      <c r="D594" s="11"/>
      <c r="E594" s="10"/>
      <c r="F594" s="1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0"/>
      <c r="V594" s="11"/>
      <c r="W594" s="10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2.75" customHeight="1">
      <c r="A595" s="10"/>
      <c r="B595" s="11"/>
      <c r="C595" s="10"/>
      <c r="D595" s="11"/>
      <c r="E595" s="10"/>
      <c r="F595" s="1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0"/>
      <c r="V595" s="11"/>
      <c r="W595" s="10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2.75" customHeight="1">
      <c r="A596" s="10"/>
      <c r="B596" s="11"/>
      <c r="C596" s="10"/>
      <c r="D596" s="11"/>
      <c r="E596" s="10"/>
      <c r="F596" s="1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0"/>
      <c r="V596" s="11"/>
      <c r="W596" s="10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2.75" customHeight="1">
      <c r="A597" s="10"/>
      <c r="B597" s="11"/>
      <c r="C597" s="10"/>
      <c r="D597" s="11"/>
      <c r="E597" s="10"/>
      <c r="F597" s="1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0"/>
      <c r="V597" s="11"/>
      <c r="W597" s="10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2.75" customHeight="1">
      <c r="A598" s="10"/>
      <c r="B598" s="11"/>
      <c r="C598" s="10"/>
      <c r="D598" s="11"/>
      <c r="E598" s="10"/>
      <c r="F598" s="1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0"/>
      <c r="V598" s="11"/>
      <c r="W598" s="10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2.75" customHeight="1">
      <c r="A599" s="10"/>
      <c r="B599" s="11"/>
      <c r="C599" s="10"/>
      <c r="D599" s="11"/>
      <c r="E599" s="10"/>
      <c r="F599" s="1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0"/>
      <c r="V599" s="11"/>
      <c r="W599" s="10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2.75" customHeight="1">
      <c r="A600" s="10"/>
      <c r="B600" s="11"/>
      <c r="C600" s="10"/>
      <c r="D600" s="11"/>
      <c r="E600" s="10"/>
      <c r="F600" s="1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0"/>
      <c r="V600" s="11"/>
      <c r="W600" s="10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2.75" customHeight="1">
      <c r="A601" s="10"/>
      <c r="B601" s="11"/>
      <c r="C601" s="10"/>
      <c r="D601" s="11"/>
      <c r="E601" s="10"/>
      <c r="F601" s="1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0"/>
      <c r="V601" s="11"/>
      <c r="W601" s="10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2.75" customHeight="1">
      <c r="A602" s="10"/>
      <c r="B602" s="11"/>
      <c r="C602" s="10"/>
      <c r="D602" s="11"/>
      <c r="E602" s="10"/>
      <c r="F602" s="1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0"/>
      <c r="V602" s="11"/>
      <c r="W602" s="10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2.75" customHeight="1">
      <c r="A603" s="10"/>
      <c r="B603" s="11"/>
      <c r="C603" s="10"/>
      <c r="D603" s="11"/>
      <c r="E603" s="10"/>
      <c r="F603" s="1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0"/>
      <c r="V603" s="11"/>
      <c r="W603" s="10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2.75" customHeight="1">
      <c r="A604" s="10"/>
      <c r="B604" s="11"/>
      <c r="C604" s="10"/>
      <c r="D604" s="11"/>
      <c r="E604" s="10"/>
      <c r="F604" s="1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0"/>
      <c r="V604" s="11"/>
      <c r="W604" s="10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2.75" customHeight="1">
      <c r="A605" s="10"/>
      <c r="B605" s="11"/>
      <c r="C605" s="10"/>
      <c r="D605" s="11"/>
      <c r="E605" s="10"/>
      <c r="F605" s="1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0"/>
      <c r="V605" s="11"/>
      <c r="W605" s="10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2.75" customHeight="1">
      <c r="A606" s="10"/>
      <c r="B606" s="11"/>
      <c r="C606" s="10"/>
      <c r="D606" s="11"/>
      <c r="E606" s="10"/>
      <c r="F606" s="1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0"/>
      <c r="V606" s="11"/>
      <c r="W606" s="10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2.75" customHeight="1">
      <c r="A607" s="10"/>
      <c r="B607" s="11"/>
      <c r="C607" s="10"/>
      <c r="D607" s="11"/>
      <c r="E607" s="10"/>
      <c r="F607" s="1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0"/>
      <c r="V607" s="11"/>
      <c r="W607" s="10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2.75" customHeight="1">
      <c r="A608" s="10"/>
      <c r="B608" s="11"/>
      <c r="C608" s="10"/>
      <c r="D608" s="11"/>
      <c r="E608" s="10"/>
      <c r="F608" s="1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0"/>
      <c r="V608" s="11"/>
      <c r="W608" s="10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2.75" customHeight="1">
      <c r="A609" s="10"/>
      <c r="B609" s="11"/>
      <c r="C609" s="10"/>
      <c r="D609" s="11"/>
      <c r="E609" s="10"/>
      <c r="F609" s="1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0"/>
      <c r="V609" s="11"/>
      <c r="W609" s="10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2.75" customHeight="1">
      <c r="A610" s="10"/>
      <c r="B610" s="11"/>
      <c r="C610" s="10"/>
      <c r="D610" s="11"/>
      <c r="E610" s="10"/>
      <c r="F610" s="1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0"/>
      <c r="V610" s="11"/>
      <c r="W610" s="10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2.75" customHeight="1">
      <c r="A611" s="10"/>
      <c r="B611" s="11"/>
      <c r="C611" s="10"/>
      <c r="D611" s="11"/>
      <c r="E611" s="10"/>
      <c r="F611" s="1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0"/>
      <c r="V611" s="11"/>
      <c r="W611" s="10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2.75" customHeight="1">
      <c r="A612" s="10"/>
      <c r="B612" s="11"/>
      <c r="C612" s="10"/>
      <c r="D612" s="11"/>
      <c r="E612" s="10"/>
      <c r="F612" s="1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0"/>
      <c r="V612" s="11"/>
      <c r="W612" s="10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2.75" customHeight="1">
      <c r="A613" s="10"/>
      <c r="B613" s="11"/>
      <c r="C613" s="10"/>
      <c r="D613" s="11"/>
      <c r="E613" s="10"/>
      <c r="F613" s="1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0"/>
      <c r="V613" s="11"/>
      <c r="W613" s="10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2.75" customHeight="1">
      <c r="A614" s="10"/>
      <c r="B614" s="11"/>
      <c r="C614" s="10"/>
      <c r="D614" s="11"/>
      <c r="E614" s="10"/>
      <c r="F614" s="1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0"/>
      <c r="V614" s="11"/>
      <c r="W614" s="10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2.75" customHeight="1">
      <c r="A615" s="10"/>
      <c r="B615" s="11"/>
      <c r="C615" s="10"/>
      <c r="D615" s="11"/>
      <c r="E615" s="10"/>
      <c r="F615" s="1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0"/>
      <c r="V615" s="11"/>
      <c r="W615" s="10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2.75" customHeight="1">
      <c r="A616" s="10"/>
      <c r="B616" s="11"/>
      <c r="C616" s="10"/>
      <c r="D616" s="11"/>
      <c r="E616" s="10"/>
      <c r="F616" s="1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0"/>
      <c r="V616" s="11"/>
      <c r="W616" s="10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2.75" customHeight="1">
      <c r="A617" s="10"/>
      <c r="B617" s="11"/>
      <c r="C617" s="10"/>
      <c r="D617" s="11"/>
      <c r="E617" s="10"/>
      <c r="F617" s="1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0"/>
      <c r="V617" s="11"/>
      <c r="W617" s="10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2.75" customHeight="1">
      <c r="A618" s="10"/>
      <c r="B618" s="11"/>
      <c r="C618" s="10"/>
      <c r="D618" s="11"/>
      <c r="E618" s="10"/>
      <c r="F618" s="1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0"/>
      <c r="V618" s="11"/>
      <c r="W618" s="10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2.75" customHeight="1">
      <c r="A619" s="10"/>
      <c r="B619" s="11"/>
      <c r="C619" s="10"/>
      <c r="D619" s="11"/>
      <c r="E619" s="10"/>
      <c r="F619" s="1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0"/>
      <c r="V619" s="11"/>
      <c r="W619" s="10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2.75" customHeight="1">
      <c r="A620" s="10"/>
      <c r="B620" s="11"/>
      <c r="C620" s="10"/>
      <c r="D620" s="11"/>
      <c r="E620" s="10"/>
      <c r="F620" s="1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0"/>
      <c r="V620" s="11"/>
      <c r="W620" s="10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2.75" customHeight="1">
      <c r="A621" s="10"/>
      <c r="B621" s="11"/>
      <c r="C621" s="10"/>
      <c r="D621" s="11"/>
      <c r="E621" s="10"/>
      <c r="F621" s="1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0"/>
      <c r="V621" s="11"/>
      <c r="W621" s="10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2.75" customHeight="1">
      <c r="A622" s="10"/>
      <c r="B622" s="11"/>
      <c r="C622" s="10"/>
      <c r="D622" s="11"/>
      <c r="E622" s="10"/>
      <c r="F622" s="1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0"/>
      <c r="V622" s="11"/>
      <c r="W622" s="10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2.75" customHeight="1">
      <c r="A623" s="10"/>
      <c r="B623" s="11"/>
      <c r="C623" s="10"/>
      <c r="D623" s="11"/>
      <c r="E623" s="10"/>
      <c r="F623" s="1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0"/>
      <c r="V623" s="11"/>
      <c r="W623" s="10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2.75" customHeight="1">
      <c r="A624" s="10"/>
      <c r="B624" s="11"/>
      <c r="C624" s="10"/>
      <c r="D624" s="11"/>
      <c r="E624" s="10"/>
      <c r="F624" s="1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0"/>
      <c r="V624" s="11"/>
      <c r="W624" s="10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2.75" customHeight="1">
      <c r="A625" s="10"/>
      <c r="B625" s="11"/>
      <c r="C625" s="10"/>
      <c r="D625" s="11"/>
      <c r="E625" s="10"/>
      <c r="F625" s="1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0"/>
      <c r="V625" s="11"/>
      <c r="W625" s="10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2.75" customHeight="1">
      <c r="A626" s="10"/>
      <c r="B626" s="11"/>
      <c r="C626" s="10"/>
      <c r="D626" s="11"/>
      <c r="E626" s="10"/>
      <c r="F626" s="1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0"/>
      <c r="V626" s="11"/>
      <c r="W626" s="10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2.75" customHeight="1">
      <c r="A627" s="10"/>
      <c r="B627" s="11"/>
      <c r="C627" s="10"/>
      <c r="D627" s="11"/>
      <c r="E627" s="10"/>
      <c r="F627" s="1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0"/>
      <c r="V627" s="11"/>
      <c r="W627" s="10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2.75" customHeight="1">
      <c r="A628" s="10"/>
      <c r="B628" s="11"/>
      <c r="C628" s="10"/>
      <c r="D628" s="11"/>
      <c r="E628" s="10"/>
      <c r="F628" s="1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0"/>
      <c r="V628" s="11"/>
      <c r="W628" s="10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2.75" customHeight="1">
      <c r="A629" s="10"/>
      <c r="B629" s="11"/>
      <c r="C629" s="10"/>
      <c r="D629" s="11"/>
      <c r="E629" s="10"/>
      <c r="F629" s="1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0"/>
      <c r="V629" s="11"/>
      <c r="W629" s="10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2.75" customHeight="1">
      <c r="A630" s="10"/>
      <c r="B630" s="11"/>
      <c r="C630" s="10"/>
      <c r="D630" s="11"/>
      <c r="E630" s="10"/>
      <c r="F630" s="1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0"/>
      <c r="V630" s="11"/>
      <c r="W630" s="10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2.75" customHeight="1">
      <c r="A631" s="10"/>
      <c r="B631" s="11"/>
      <c r="C631" s="10"/>
      <c r="D631" s="11"/>
      <c r="E631" s="10"/>
      <c r="F631" s="1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0"/>
      <c r="V631" s="11"/>
      <c r="W631" s="10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2.75" customHeight="1">
      <c r="A632" s="10"/>
      <c r="B632" s="11"/>
      <c r="C632" s="10"/>
      <c r="D632" s="11"/>
      <c r="E632" s="10"/>
      <c r="F632" s="1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0"/>
      <c r="V632" s="11"/>
      <c r="W632" s="10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2.75" customHeight="1">
      <c r="A633" s="10"/>
      <c r="B633" s="11"/>
      <c r="C633" s="10"/>
      <c r="D633" s="11"/>
      <c r="E633" s="10"/>
      <c r="F633" s="1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0"/>
      <c r="V633" s="11"/>
      <c r="W633" s="10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2.75" customHeight="1">
      <c r="A634" s="10"/>
      <c r="B634" s="11"/>
      <c r="C634" s="10"/>
      <c r="D634" s="11"/>
      <c r="E634" s="10"/>
      <c r="F634" s="1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0"/>
      <c r="V634" s="11"/>
      <c r="W634" s="10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2.75" customHeight="1">
      <c r="A635" s="10"/>
      <c r="B635" s="11"/>
      <c r="C635" s="10"/>
      <c r="D635" s="11"/>
      <c r="E635" s="10"/>
      <c r="F635" s="1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0"/>
      <c r="V635" s="11"/>
      <c r="W635" s="10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2.75" customHeight="1">
      <c r="A636" s="10"/>
      <c r="B636" s="11"/>
      <c r="C636" s="10"/>
      <c r="D636" s="11"/>
      <c r="E636" s="10"/>
      <c r="F636" s="1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0"/>
      <c r="V636" s="11"/>
      <c r="W636" s="10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2.75" customHeight="1">
      <c r="A637" s="10"/>
      <c r="B637" s="11"/>
      <c r="C637" s="10"/>
      <c r="D637" s="11"/>
      <c r="E637" s="10"/>
      <c r="F637" s="1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0"/>
      <c r="V637" s="11"/>
      <c r="W637" s="10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2.75" customHeight="1">
      <c r="A638" s="10"/>
      <c r="B638" s="11"/>
      <c r="C638" s="10"/>
      <c r="D638" s="11"/>
      <c r="E638" s="10"/>
      <c r="F638" s="1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0"/>
      <c r="V638" s="11"/>
      <c r="W638" s="10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2.75" customHeight="1">
      <c r="A639" s="10"/>
      <c r="B639" s="11"/>
      <c r="C639" s="10"/>
      <c r="D639" s="11"/>
      <c r="E639" s="10"/>
      <c r="F639" s="1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0"/>
      <c r="V639" s="11"/>
      <c r="W639" s="10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2.75" customHeight="1">
      <c r="A640" s="10"/>
      <c r="B640" s="11"/>
      <c r="C640" s="10"/>
      <c r="D640" s="11"/>
      <c r="E640" s="10"/>
      <c r="F640" s="1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0"/>
      <c r="V640" s="11"/>
      <c r="W640" s="10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2.75" customHeight="1">
      <c r="A641" s="10"/>
      <c r="B641" s="11"/>
      <c r="C641" s="10"/>
      <c r="D641" s="11"/>
      <c r="E641" s="10"/>
      <c r="F641" s="1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0"/>
      <c r="V641" s="11"/>
      <c r="W641" s="10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2.75" customHeight="1">
      <c r="A642" s="10"/>
      <c r="B642" s="11"/>
      <c r="C642" s="10"/>
      <c r="D642" s="11"/>
      <c r="E642" s="10"/>
      <c r="F642" s="1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0"/>
      <c r="V642" s="11"/>
      <c r="W642" s="10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2.75" customHeight="1">
      <c r="A643" s="10"/>
      <c r="B643" s="11"/>
      <c r="C643" s="10"/>
      <c r="D643" s="11"/>
      <c r="E643" s="10"/>
      <c r="F643" s="1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0"/>
      <c r="V643" s="11"/>
      <c r="W643" s="10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2.75" customHeight="1">
      <c r="A644" s="10"/>
      <c r="B644" s="11"/>
      <c r="C644" s="10"/>
      <c r="D644" s="11"/>
      <c r="E644" s="10"/>
      <c r="F644" s="1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0"/>
      <c r="V644" s="11"/>
      <c r="W644" s="10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2.75" customHeight="1">
      <c r="A645" s="10"/>
      <c r="B645" s="11"/>
      <c r="C645" s="10"/>
      <c r="D645" s="11"/>
      <c r="E645" s="10"/>
      <c r="F645" s="1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0"/>
      <c r="V645" s="11"/>
      <c r="W645" s="10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2.75" customHeight="1">
      <c r="A646" s="10"/>
      <c r="B646" s="11"/>
      <c r="C646" s="10"/>
      <c r="D646" s="11"/>
      <c r="E646" s="10"/>
      <c r="F646" s="1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0"/>
      <c r="V646" s="11"/>
      <c r="W646" s="10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2.75" customHeight="1">
      <c r="A647" s="10"/>
      <c r="B647" s="11"/>
      <c r="C647" s="10"/>
      <c r="D647" s="11"/>
      <c r="E647" s="10"/>
      <c r="F647" s="1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0"/>
      <c r="V647" s="11"/>
      <c r="W647" s="10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2.75" customHeight="1">
      <c r="A648" s="10"/>
      <c r="B648" s="11"/>
      <c r="C648" s="10"/>
      <c r="D648" s="11"/>
      <c r="E648" s="10"/>
      <c r="F648" s="1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0"/>
      <c r="V648" s="11"/>
      <c r="W648" s="10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2.75" customHeight="1">
      <c r="A649" s="10"/>
      <c r="B649" s="11"/>
      <c r="C649" s="10"/>
      <c r="D649" s="11"/>
      <c r="E649" s="10"/>
      <c r="F649" s="1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0"/>
      <c r="V649" s="11"/>
      <c r="W649" s="10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2.75" customHeight="1">
      <c r="A650" s="10"/>
      <c r="B650" s="11"/>
      <c r="C650" s="10"/>
      <c r="D650" s="11"/>
      <c r="E650" s="10"/>
      <c r="F650" s="1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0"/>
      <c r="V650" s="11"/>
      <c r="W650" s="10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2.75" customHeight="1">
      <c r="A651" s="10"/>
      <c r="B651" s="11"/>
      <c r="C651" s="10"/>
      <c r="D651" s="11"/>
      <c r="E651" s="10"/>
      <c r="F651" s="1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0"/>
      <c r="V651" s="11"/>
      <c r="W651" s="10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2.75" customHeight="1">
      <c r="A652" s="10"/>
      <c r="B652" s="11"/>
      <c r="C652" s="10"/>
      <c r="D652" s="11"/>
      <c r="E652" s="10"/>
      <c r="F652" s="1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0"/>
      <c r="V652" s="11"/>
      <c r="W652" s="10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2.75" customHeight="1">
      <c r="A653" s="10"/>
      <c r="B653" s="11"/>
      <c r="C653" s="10"/>
      <c r="D653" s="11"/>
      <c r="E653" s="10"/>
      <c r="F653" s="1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0"/>
      <c r="V653" s="11"/>
      <c r="W653" s="10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2.75" customHeight="1">
      <c r="A654" s="10"/>
      <c r="B654" s="11"/>
      <c r="C654" s="10"/>
      <c r="D654" s="11"/>
      <c r="E654" s="10"/>
      <c r="F654" s="1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0"/>
      <c r="V654" s="11"/>
      <c r="W654" s="10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2.75" customHeight="1">
      <c r="A655" s="10"/>
      <c r="B655" s="11"/>
      <c r="C655" s="10"/>
      <c r="D655" s="11"/>
      <c r="E655" s="10"/>
      <c r="F655" s="1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0"/>
      <c r="V655" s="11"/>
      <c r="W655" s="10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2.75" customHeight="1">
      <c r="A656" s="10"/>
      <c r="B656" s="11"/>
      <c r="C656" s="10"/>
      <c r="D656" s="11"/>
      <c r="E656" s="10"/>
      <c r="F656" s="1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0"/>
      <c r="V656" s="11"/>
      <c r="W656" s="10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2.75" customHeight="1">
      <c r="A657" s="10"/>
      <c r="B657" s="11"/>
      <c r="C657" s="10"/>
      <c r="D657" s="11"/>
      <c r="E657" s="10"/>
      <c r="F657" s="1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0"/>
      <c r="V657" s="11"/>
      <c r="W657" s="10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2.75" customHeight="1">
      <c r="A658" s="10"/>
      <c r="B658" s="11"/>
      <c r="C658" s="10"/>
      <c r="D658" s="11"/>
      <c r="E658" s="10"/>
      <c r="F658" s="1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0"/>
      <c r="V658" s="11"/>
      <c r="W658" s="10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2.75" customHeight="1">
      <c r="A659" s="10"/>
      <c r="B659" s="11"/>
      <c r="C659" s="10"/>
      <c r="D659" s="11"/>
      <c r="E659" s="10"/>
      <c r="F659" s="1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0"/>
      <c r="V659" s="11"/>
      <c r="W659" s="10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2.75" customHeight="1">
      <c r="A660" s="10"/>
      <c r="B660" s="11"/>
      <c r="C660" s="10"/>
      <c r="D660" s="11"/>
      <c r="E660" s="10"/>
      <c r="F660" s="1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0"/>
      <c r="V660" s="11"/>
      <c r="W660" s="10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2.75" customHeight="1">
      <c r="A661" s="10"/>
      <c r="B661" s="11"/>
      <c r="C661" s="10"/>
      <c r="D661" s="11"/>
      <c r="E661" s="10"/>
      <c r="F661" s="1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0"/>
      <c r="V661" s="11"/>
      <c r="W661" s="10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2.75" customHeight="1">
      <c r="A662" s="10"/>
      <c r="B662" s="11"/>
      <c r="C662" s="10"/>
      <c r="D662" s="11"/>
      <c r="E662" s="10"/>
      <c r="F662" s="1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0"/>
      <c r="V662" s="11"/>
      <c r="W662" s="10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2.75" customHeight="1">
      <c r="A663" s="10"/>
      <c r="B663" s="11"/>
      <c r="C663" s="10"/>
      <c r="D663" s="11"/>
      <c r="E663" s="10"/>
      <c r="F663" s="1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0"/>
      <c r="V663" s="11"/>
      <c r="W663" s="10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2.75" customHeight="1">
      <c r="A664" s="10"/>
      <c r="B664" s="11"/>
      <c r="C664" s="10"/>
      <c r="D664" s="11"/>
      <c r="E664" s="10"/>
      <c r="F664" s="1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0"/>
      <c r="V664" s="11"/>
      <c r="W664" s="10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2.75" customHeight="1">
      <c r="A665" s="10"/>
      <c r="B665" s="11"/>
      <c r="C665" s="10"/>
      <c r="D665" s="11"/>
      <c r="E665" s="10"/>
      <c r="F665" s="1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0"/>
      <c r="V665" s="11"/>
      <c r="W665" s="10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2.75" customHeight="1">
      <c r="A666" s="10"/>
      <c r="B666" s="11"/>
      <c r="C666" s="10"/>
      <c r="D666" s="11"/>
      <c r="E666" s="10"/>
      <c r="F666" s="1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0"/>
      <c r="V666" s="11"/>
      <c r="W666" s="10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2.75" customHeight="1">
      <c r="A667" s="10"/>
      <c r="B667" s="11"/>
      <c r="C667" s="10"/>
      <c r="D667" s="11"/>
      <c r="E667" s="10"/>
      <c r="F667" s="1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0"/>
      <c r="V667" s="11"/>
      <c r="W667" s="10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2.75" customHeight="1">
      <c r="A668" s="10"/>
      <c r="B668" s="11"/>
      <c r="C668" s="10"/>
      <c r="D668" s="11"/>
      <c r="E668" s="10"/>
      <c r="F668" s="1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0"/>
      <c r="V668" s="11"/>
      <c r="W668" s="10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2.75" customHeight="1">
      <c r="A669" s="10"/>
      <c r="B669" s="11"/>
      <c r="C669" s="10"/>
      <c r="D669" s="11"/>
      <c r="E669" s="10"/>
      <c r="F669" s="1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0"/>
      <c r="V669" s="11"/>
      <c r="W669" s="10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2.75" customHeight="1">
      <c r="A670" s="10"/>
      <c r="B670" s="11"/>
      <c r="C670" s="10"/>
      <c r="D670" s="11"/>
      <c r="E670" s="10"/>
      <c r="F670" s="1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0"/>
      <c r="V670" s="11"/>
      <c r="W670" s="10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2.75" customHeight="1">
      <c r="A671" s="10"/>
      <c r="B671" s="11"/>
      <c r="C671" s="10"/>
      <c r="D671" s="11"/>
      <c r="E671" s="10"/>
      <c r="F671" s="1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0"/>
      <c r="V671" s="11"/>
      <c r="W671" s="10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2.75" customHeight="1">
      <c r="A672" s="10"/>
      <c r="B672" s="11"/>
      <c r="C672" s="10"/>
      <c r="D672" s="11"/>
      <c r="E672" s="10"/>
      <c r="F672" s="1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0"/>
      <c r="V672" s="11"/>
      <c r="W672" s="10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2.75" customHeight="1">
      <c r="A673" s="10"/>
      <c r="B673" s="11"/>
      <c r="C673" s="10"/>
      <c r="D673" s="11"/>
      <c r="E673" s="10"/>
      <c r="F673" s="1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0"/>
      <c r="V673" s="11"/>
      <c r="W673" s="10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2.75" customHeight="1">
      <c r="A674" s="10"/>
      <c r="B674" s="11"/>
      <c r="C674" s="10"/>
      <c r="D674" s="11"/>
      <c r="E674" s="10"/>
      <c r="F674" s="1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0"/>
      <c r="V674" s="11"/>
      <c r="W674" s="10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2.75" customHeight="1">
      <c r="A675" s="10"/>
      <c r="B675" s="11"/>
      <c r="C675" s="10"/>
      <c r="D675" s="11"/>
      <c r="E675" s="10"/>
      <c r="F675" s="1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0"/>
      <c r="V675" s="11"/>
      <c r="W675" s="10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2.75" customHeight="1">
      <c r="A676" s="10"/>
      <c r="B676" s="11"/>
      <c r="C676" s="10"/>
      <c r="D676" s="11"/>
      <c r="E676" s="10"/>
      <c r="F676" s="1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0"/>
      <c r="V676" s="11"/>
      <c r="W676" s="10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2.75" customHeight="1">
      <c r="A677" s="10"/>
      <c r="B677" s="11"/>
      <c r="C677" s="10"/>
      <c r="D677" s="11"/>
      <c r="E677" s="10"/>
      <c r="F677" s="1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0"/>
      <c r="V677" s="11"/>
      <c r="W677" s="10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2.75" customHeight="1">
      <c r="A678" s="10"/>
      <c r="B678" s="11"/>
      <c r="C678" s="10"/>
      <c r="D678" s="11"/>
      <c r="E678" s="10"/>
      <c r="F678" s="1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0"/>
      <c r="V678" s="11"/>
      <c r="W678" s="10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2.75" customHeight="1">
      <c r="A679" s="10"/>
      <c r="B679" s="11"/>
      <c r="C679" s="10"/>
      <c r="D679" s="11"/>
      <c r="E679" s="10"/>
      <c r="F679" s="1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0"/>
      <c r="V679" s="11"/>
      <c r="W679" s="10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2.75" customHeight="1">
      <c r="A680" s="10"/>
      <c r="B680" s="11"/>
      <c r="C680" s="10"/>
      <c r="D680" s="11"/>
      <c r="E680" s="10"/>
      <c r="F680" s="1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0"/>
      <c r="V680" s="11"/>
      <c r="W680" s="10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2.75" customHeight="1">
      <c r="A681" s="10"/>
      <c r="B681" s="11"/>
      <c r="C681" s="10"/>
      <c r="D681" s="11"/>
      <c r="E681" s="10"/>
      <c r="F681" s="1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0"/>
      <c r="V681" s="11"/>
      <c r="W681" s="10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2.75" customHeight="1">
      <c r="A682" s="10"/>
      <c r="B682" s="11"/>
      <c r="C682" s="10"/>
      <c r="D682" s="11"/>
      <c r="E682" s="10"/>
      <c r="F682" s="1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0"/>
      <c r="V682" s="11"/>
      <c r="W682" s="10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2.75" customHeight="1">
      <c r="A683" s="10"/>
      <c r="B683" s="11"/>
      <c r="C683" s="10"/>
      <c r="D683" s="11"/>
      <c r="E683" s="10"/>
      <c r="F683" s="1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0"/>
      <c r="V683" s="11"/>
      <c r="W683" s="10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2.75" customHeight="1">
      <c r="A684" s="10"/>
      <c r="B684" s="11"/>
      <c r="C684" s="10"/>
      <c r="D684" s="11"/>
      <c r="E684" s="10"/>
      <c r="F684" s="1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0"/>
      <c r="V684" s="11"/>
      <c r="W684" s="10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2.75" customHeight="1">
      <c r="A685" s="10"/>
      <c r="B685" s="11"/>
      <c r="C685" s="10"/>
      <c r="D685" s="11"/>
      <c r="E685" s="10"/>
      <c r="F685" s="1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0"/>
      <c r="V685" s="11"/>
      <c r="W685" s="10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2.75" customHeight="1">
      <c r="A686" s="10"/>
      <c r="B686" s="11"/>
      <c r="C686" s="10"/>
      <c r="D686" s="11"/>
      <c r="E686" s="10"/>
      <c r="F686" s="1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0"/>
      <c r="V686" s="11"/>
      <c r="W686" s="10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2.75" customHeight="1">
      <c r="A687" s="10"/>
      <c r="B687" s="11"/>
      <c r="C687" s="10"/>
      <c r="D687" s="11"/>
      <c r="E687" s="10"/>
      <c r="F687" s="1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0"/>
      <c r="V687" s="11"/>
      <c r="W687" s="10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2.75" customHeight="1">
      <c r="A688" s="10"/>
      <c r="B688" s="11"/>
      <c r="C688" s="10"/>
      <c r="D688" s="11"/>
      <c r="E688" s="10"/>
      <c r="F688" s="1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0"/>
      <c r="V688" s="11"/>
      <c r="W688" s="10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2.75" customHeight="1">
      <c r="A689" s="10"/>
      <c r="B689" s="11"/>
      <c r="C689" s="10"/>
      <c r="D689" s="11"/>
      <c r="E689" s="10"/>
      <c r="F689" s="1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0"/>
      <c r="V689" s="11"/>
      <c r="W689" s="10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2.75" customHeight="1">
      <c r="A690" s="10"/>
      <c r="B690" s="11"/>
      <c r="C690" s="10"/>
      <c r="D690" s="11"/>
      <c r="E690" s="10"/>
      <c r="F690" s="1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0"/>
      <c r="V690" s="11"/>
      <c r="W690" s="10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2.75" customHeight="1">
      <c r="A691" s="10"/>
      <c r="B691" s="11"/>
      <c r="C691" s="10"/>
      <c r="D691" s="11"/>
      <c r="E691" s="10"/>
      <c r="F691" s="1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0"/>
      <c r="V691" s="11"/>
      <c r="W691" s="10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2.75" customHeight="1">
      <c r="A692" s="10"/>
      <c r="B692" s="11"/>
      <c r="C692" s="10"/>
      <c r="D692" s="11"/>
      <c r="E692" s="10"/>
      <c r="F692" s="1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0"/>
      <c r="V692" s="11"/>
      <c r="W692" s="10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2.75" customHeight="1">
      <c r="A693" s="10"/>
      <c r="B693" s="11"/>
      <c r="C693" s="10"/>
      <c r="D693" s="11"/>
      <c r="E693" s="10"/>
      <c r="F693" s="1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0"/>
      <c r="V693" s="11"/>
      <c r="W693" s="10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2.75" customHeight="1">
      <c r="A694" s="10"/>
      <c r="B694" s="11"/>
      <c r="C694" s="10"/>
      <c r="D694" s="11"/>
      <c r="E694" s="10"/>
      <c r="F694" s="1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0"/>
      <c r="V694" s="11"/>
      <c r="W694" s="10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2.75" customHeight="1">
      <c r="A695" s="10"/>
      <c r="B695" s="11"/>
      <c r="C695" s="10"/>
      <c r="D695" s="11"/>
      <c r="E695" s="10"/>
      <c r="F695" s="1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0"/>
      <c r="V695" s="11"/>
      <c r="W695" s="10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2.75" customHeight="1">
      <c r="A696" s="10"/>
      <c r="B696" s="11"/>
      <c r="C696" s="10"/>
      <c r="D696" s="11"/>
      <c r="E696" s="10"/>
      <c r="F696" s="1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0"/>
      <c r="V696" s="11"/>
      <c r="W696" s="10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2.75" customHeight="1">
      <c r="A697" s="10"/>
      <c r="B697" s="11"/>
      <c r="C697" s="10"/>
      <c r="D697" s="11"/>
      <c r="E697" s="10"/>
      <c r="F697" s="1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0"/>
      <c r="V697" s="11"/>
      <c r="W697" s="10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2.75" customHeight="1">
      <c r="A698" s="10"/>
      <c r="B698" s="11"/>
      <c r="C698" s="10"/>
      <c r="D698" s="11"/>
      <c r="E698" s="10"/>
      <c r="F698" s="1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0"/>
      <c r="V698" s="11"/>
      <c r="W698" s="10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2.75" customHeight="1">
      <c r="A699" s="10"/>
      <c r="B699" s="11"/>
      <c r="C699" s="10"/>
      <c r="D699" s="11"/>
      <c r="E699" s="10"/>
      <c r="F699" s="1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0"/>
      <c r="V699" s="11"/>
      <c r="W699" s="10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2.75" customHeight="1">
      <c r="A700" s="10"/>
      <c r="B700" s="11"/>
      <c r="C700" s="10"/>
      <c r="D700" s="11"/>
      <c r="E700" s="10"/>
      <c r="F700" s="1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0"/>
      <c r="V700" s="11"/>
      <c r="W700" s="10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2.75" customHeight="1">
      <c r="A701" s="10"/>
      <c r="B701" s="11"/>
      <c r="C701" s="10"/>
      <c r="D701" s="11"/>
      <c r="E701" s="10"/>
      <c r="F701" s="1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0"/>
      <c r="V701" s="11"/>
      <c r="W701" s="10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2.75" customHeight="1">
      <c r="A702" s="10"/>
      <c r="B702" s="11"/>
      <c r="C702" s="10"/>
      <c r="D702" s="11"/>
      <c r="E702" s="10"/>
      <c r="F702" s="1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0"/>
      <c r="V702" s="11"/>
      <c r="W702" s="10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2.75" customHeight="1">
      <c r="A703" s="10"/>
      <c r="B703" s="11"/>
      <c r="C703" s="10"/>
      <c r="D703" s="11"/>
      <c r="E703" s="10"/>
      <c r="F703" s="1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0"/>
      <c r="V703" s="11"/>
      <c r="W703" s="10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2.75" customHeight="1">
      <c r="A704" s="10"/>
      <c r="B704" s="11"/>
      <c r="C704" s="10"/>
      <c r="D704" s="11"/>
      <c r="E704" s="10"/>
      <c r="F704" s="1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0"/>
      <c r="V704" s="11"/>
      <c r="W704" s="10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2.75" customHeight="1">
      <c r="A705" s="10"/>
      <c r="B705" s="11"/>
      <c r="C705" s="10"/>
      <c r="D705" s="11"/>
      <c r="E705" s="10"/>
      <c r="F705" s="1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0"/>
      <c r="V705" s="11"/>
      <c r="W705" s="10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2.75" customHeight="1">
      <c r="A706" s="10"/>
      <c r="B706" s="11"/>
      <c r="C706" s="10"/>
      <c r="D706" s="11"/>
      <c r="E706" s="10"/>
      <c r="F706" s="1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0"/>
      <c r="V706" s="11"/>
      <c r="W706" s="10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2.75" customHeight="1">
      <c r="A707" s="10"/>
      <c r="B707" s="11"/>
      <c r="C707" s="10"/>
      <c r="D707" s="11"/>
      <c r="E707" s="10"/>
      <c r="F707" s="1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0"/>
      <c r="V707" s="11"/>
      <c r="W707" s="10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2.75" customHeight="1">
      <c r="A708" s="10"/>
      <c r="B708" s="11"/>
      <c r="C708" s="10"/>
      <c r="D708" s="11"/>
      <c r="E708" s="10"/>
      <c r="F708" s="1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0"/>
      <c r="V708" s="11"/>
      <c r="W708" s="10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2.75" customHeight="1">
      <c r="A709" s="10"/>
      <c r="B709" s="11"/>
      <c r="C709" s="10"/>
      <c r="D709" s="11"/>
      <c r="E709" s="10"/>
      <c r="F709" s="1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0"/>
      <c r="V709" s="11"/>
      <c r="W709" s="10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2.75" customHeight="1">
      <c r="A710" s="10"/>
      <c r="B710" s="11"/>
      <c r="C710" s="10"/>
      <c r="D710" s="11"/>
      <c r="E710" s="10"/>
      <c r="F710" s="1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0"/>
      <c r="V710" s="11"/>
      <c r="W710" s="10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2.75" customHeight="1">
      <c r="A711" s="10"/>
      <c r="B711" s="11"/>
      <c r="C711" s="10"/>
      <c r="D711" s="11"/>
      <c r="E711" s="10"/>
      <c r="F711" s="1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0"/>
      <c r="V711" s="11"/>
      <c r="W711" s="10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2.75" customHeight="1">
      <c r="A712" s="10"/>
      <c r="B712" s="11"/>
      <c r="C712" s="10"/>
      <c r="D712" s="11"/>
      <c r="E712" s="10"/>
      <c r="F712" s="1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0"/>
      <c r="V712" s="11"/>
      <c r="W712" s="10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2.75" customHeight="1">
      <c r="A713" s="10"/>
      <c r="B713" s="11"/>
      <c r="C713" s="10"/>
      <c r="D713" s="11"/>
      <c r="E713" s="10"/>
      <c r="F713" s="1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0"/>
      <c r="V713" s="11"/>
      <c r="W713" s="10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2.75" customHeight="1">
      <c r="A714" s="10"/>
      <c r="B714" s="11"/>
      <c r="C714" s="10"/>
      <c r="D714" s="11"/>
      <c r="E714" s="10"/>
      <c r="F714" s="1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0"/>
      <c r="V714" s="11"/>
      <c r="W714" s="10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2.75" customHeight="1">
      <c r="A715" s="10"/>
      <c r="B715" s="11"/>
      <c r="C715" s="10"/>
      <c r="D715" s="11"/>
      <c r="E715" s="10"/>
      <c r="F715" s="1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0"/>
      <c r="V715" s="11"/>
      <c r="W715" s="10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2.75" customHeight="1">
      <c r="A716" s="10"/>
      <c r="B716" s="11"/>
      <c r="C716" s="10"/>
      <c r="D716" s="11"/>
      <c r="E716" s="10"/>
      <c r="F716" s="1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0"/>
      <c r="V716" s="11"/>
      <c r="W716" s="10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2.75" customHeight="1">
      <c r="A717" s="10"/>
      <c r="B717" s="11"/>
      <c r="C717" s="10"/>
      <c r="D717" s="11"/>
      <c r="E717" s="10"/>
      <c r="F717" s="1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0"/>
      <c r="V717" s="11"/>
      <c r="W717" s="10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2.75" customHeight="1">
      <c r="A718" s="10"/>
      <c r="B718" s="11"/>
      <c r="C718" s="10"/>
      <c r="D718" s="11"/>
      <c r="E718" s="10"/>
      <c r="F718" s="1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0"/>
      <c r="V718" s="11"/>
      <c r="W718" s="10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2.75" customHeight="1">
      <c r="A719" s="10"/>
      <c r="B719" s="11"/>
      <c r="C719" s="10"/>
      <c r="D719" s="11"/>
      <c r="E719" s="10"/>
      <c r="F719" s="1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0"/>
      <c r="V719" s="11"/>
      <c r="W719" s="10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2.75" customHeight="1">
      <c r="A720" s="10"/>
      <c r="B720" s="11"/>
      <c r="C720" s="10"/>
      <c r="D720" s="11"/>
      <c r="E720" s="10"/>
      <c r="F720" s="1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0"/>
      <c r="V720" s="11"/>
      <c r="W720" s="10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2.75" customHeight="1">
      <c r="A721" s="10"/>
      <c r="B721" s="11"/>
      <c r="C721" s="10"/>
      <c r="D721" s="11"/>
      <c r="E721" s="10"/>
      <c r="F721" s="1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0"/>
      <c r="V721" s="11"/>
      <c r="W721" s="10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2.75" customHeight="1">
      <c r="A722" s="10"/>
      <c r="B722" s="11"/>
      <c r="C722" s="10"/>
      <c r="D722" s="11"/>
      <c r="E722" s="10"/>
      <c r="F722" s="1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0"/>
      <c r="V722" s="11"/>
      <c r="W722" s="10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2.75" customHeight="1">
      <c r="A723" s="10"/>
      <c r="B723" s="11"/>
      <c r="C723" s="10"/>
      <c r="D723" s="11"/>
      <c r="E723" s="10"/>
      <c r="F723" s="1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0"/>
      <c r="V723" s="11"/>
      <c r="W723" s="10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2.75" customHeight="1">
      <c r="A724" s="10"/>
      <c r="B724" s="11"/>
      <c r="C724" s="10"/>
      <c r="D724" s="11"/>
      <c r="E724" s="10"/>
      <c r="F724" s="1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0"/>
      <c r="V724" s="11"/>
      <c r="W724" s="10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2.75" customHeight="1">
      <c r="A725" s="10"/>
      <c r="B725" s="11"/>
      <c r="C725" s="10"/>
      <c r="D725" s="11"/>
      <c r="E725" s="10"/>
      <c r="F725" s="1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0"/>
      <c r="V725" s="11"/>
      <c r="W725" s="10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2.75" customHeight="1">
      <c r="A726" s="10"/>
      <c r="B726" s="11"/>
      <c r="C726" s="10"/>
      <c r="D726" s="11"/>
      <c r="E726" s="10"/>
      <c r="F726" s="1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0"/>
      <c r="V726" s="11"/>
      <c r="W726" s="10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2.75" customHeight="1">
      <c r="A727" s="10"/>
      <c r="B727" s="11"/>
      <c r="C727" s="10"/>
      <c r="D727" s="11"/>
      <c r="E727" s="10"/>
      <c r="F727" s="1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0"/>
      <c r="V727" s="11"/>
      <c r="W727" s="10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2.75" customHeight="1">
      <c r="A728" s="10"/>
      <c r="B728" s="11"/>
      <c r="C728" s="10"/>
      <c r="D728" s="11"/>
      <c r="E728" s="10"/>
      <c r="F728" s="1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0"/>
      <c r="V728" s="11"/>
      <c r="W728" s="10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2.75" customHeight="1">
      <c r="A729" s="10"/>
      <c r="B729" s="11"/>
      <c r="C729" s="10"/>
      <c r="D729" s="11"/>
      <c r="E729" s="10"/>
      <c r="F729" s="1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0"/>
      <c r="V729" s="11"/>
      <c r="W729" s="10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2.75" customHeight="1">
      <c r="A730" s="10"/>
      <c r="B730" s="11"/>
      <c r="C730" s="10"/>
      <c r="D730" s="11"/>
      <c r="E730" s="10"/>
      <c r="F730" s="1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0"/>
      <c r="V730" s="11"/>
      <c r="W730" s="10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2.75" customHeight="1">
      <c r="A731" s="10"/>
      <c r="B731" s="11"/>
      <c r="C731" s="10"/>
      <c r="D731" s="11"/>
      <c r="E731" s="10"/>
      <c r="F731" s="1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0"/>
      <c r="V731" s="11"/>
      <c r="W731" s="10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2.75" customHeight="1">
      <c r="A732" s="10"/>
      <c r="B732" s="11"/>
      <c r="C732" s="10"/>
      <c r="D732" s="11"/>
      <c r="E732" s="10"/>
      <c r="F732" s="1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0"/>
      <c r="V732" s="11"/>
      <c r="W732" s="10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2.75" customHeight="1">
      <c r="A733" s="10"/>
      <c r="B733" s="11"/>
      <c r="C733" s="10"/>
      <c r="D733" s="11"/>
      <c r="E733" s="10"/>
      <c r="F733" s="1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0"/>
      <c r="V733" s="11"/>
      <c r="W733" s="10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2.75" customHeight="1">
      <c r="A734" s="10"/>
      <c r="B734" s="11"/>
      <c r="C734" s="10"/>
      <c r="D734" s="11"/>
      <c r="E734" s="10"/>
      <c r="F734" s="1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0"/>
      <c r="V734" s="11"/>
      <c r="W734" s="10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2.75" customHeight="1">
      <c r="A735" s="10"/>
      <c r="B735" s="11"/>
      <c r="C735" s="10"/>
      <c r="D735" s="11"/>
      <c r="E735" s="10"/>
      <c r="F735" s="1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0"/>
      <c r="V735" s="11"/>
      <c r="W735" s="10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2.75" customHeight="1">
      <c r="A736" s="10"/>
      <c r="B736" s="11"/>
      <c r="C736" s="10"/>
      <c r="D736" s="11"/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0"/>
      <c r="V736" s="11"/>
      <c r="W736" s="10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2.75" customHeight="1">
      <c r="A737" s="10"/>
      <c r="B737" s="11"/>
      <c r="C737" s="10"/>
      <c r="D737" s="11"/>
      <c r="E737" s="10"/>
      <c r="F737" s="1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0"/>
      <c r="V737" s="11"/>
      <c r="W737" s="10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2.75" customHeight="1">
      <c r="A738" s="10"/>
      <c r="B738" s="11"/>
      <c r="C738" s="10"/>
      <c r="D738" s="11"/>
      <c r="E738" s="10"/>
      <c r="F738" s="1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0"/>
      <c r="V738" s="11"/>
      <c r="W738" s="10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2.75" customHeight="1">
      <c r="A739" s="10"/>
      <c r="B739" s="11"/>
      <c r="C739" s="10"/>
      <c r="D739" s="11"/>
      <c r="E739" s="10"/>
      <c r="F739" s="1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0"/>
      <c r="V739" s="11"/>
      <c r="W739" s="10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2.75" customHeight="1">
      <c r="A740" s="10"/>
      <c r="B740" s="11"/>
      <c r="C740" s="10"/>
      <c r="D740" s="11"/>
      <c r="E740" s="10"/>
      <c r="F740" s="1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0"/>
      <c r="V740" s="11"/>
      <c r="W740" s="10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2.75" customHeight="1">
      <c r="A741" s="10"/>
      <c r="B741" s="11"/>
      <c r="C741" s="10"/>
      <c r="D741" s="11"/>
      <c r="E741" s="10"/>
      <c r="F741" s="1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0"/>
      <c r="V741" s="11"/>
      <c r="W741" s="10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2.75" customHeight="1">
      <c r="A742" s="10"/>
      <c r="B742" s="11"/>
      <c r="C742" s="10"/>
      <c r="D742" s="11"/>
      <c r="E742" s="10"/>
      <c r="F742" s="1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0"/>
      <c r="V742" s="11"/>
      <c r="W742" s="10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2.75" customHeight="1">
      <c r="A743" s="10"/>
      <c r="B743" s="11"/>
      <c r="C743" s="10"/>
      <c r="D743" s="11"/>
      <c r="E743" s="10"/>
      <c r="F743" s="1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0"/>
      <c r="V743" s="11"/>
      <c r="W743" s="10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2.75" customHeight="1">
      <c r="A744" s="10"/>
      <c r="B744" s="11"/>
      <c r="C744" s="10"/>
      <c r="D744" s="11"/>
      <c r="E744" s="10"/>
      <c r="F744" s="1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0"/>
      <c r="V744" s="11"/>
      <c r="W744" s="10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2.75" customHeight="1">
      <c r="A745" s="10"/>
      <c r="B745" s="11"/>
      <c r="C745" s="10"/>
      <c r="D745" s="11"/>
      <c r="E745" s="10"/>
      <c r="F745" s="1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0"/>
      <c r="V745" s="11"/>
      <c r="W745" s="10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2.75" customHeight="1">
      <c r="A746" s="10"/>
      <c r="B746" s="11"/>
      <c r="C746" s="10"/>
      <c r="D746" s="11"/>
      <c r="E746" s="10"/>
      <c r="F746" s="1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0"/>
      <c r="V746" s="11"/>
      <c r="W746" s="10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2.75" customHeight="1">
      <c r="A747" s="10"/>
      <c r="B747" s="11"/>
      <c r="C747" s="10"/>
      <c r="D747" s="11"/>
      <c r="E747" s="10"/>
      <c r="F747" s="1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0"/>
      <c r="V747" s="11"/>
      <c r="W747" s="10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2.75" customHeight="1">
      <c r="A748" s="10"/>
      <c r="B748" s="11"/>
      <c r="C748" s="10"/>
      <c r="D748" s="11"/>
      <c r="E748" s="10"/>
      <c r="F748" s="1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0"/>
      <c r="V748" s="11"/>
      <c r="W748" s="10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2.75" customHeight="1">
      <c r="A749" s="10"/>
      <c r="B749" s="11"/>
      <c r="C749" s="10"/>
      <c r="D749" s="11"/>
      <c r="E749" s="10"/>
      <c r="F749" s="1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0"/>
      <c r="V749" s="11"/>
      <c r="W749" s="10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2.75" customHeight="1">
      <c r="A750" s="10"/>
      <c r="B750" s="11"/>
      <c r="C750" s="10"/>
      <c r="D750" s="11"/>
      <c r="E750" s="10"/>
      <c r="F750" s="1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0"/>
      <c r="V750" s="11"/>
      <c r="W750" s="10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2.75" customHeight="1">
      <c r="A751" s="10"/>
      <c r="B751" s="11"/>
      <c r="C751" s="10"/>
      <c r="D751" s="11"/>
      <c r="E751" s="10"/>
      <c r="F751" s="1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0"/>
      <c r="V751" s="11"/>
      <c r="W751" s="10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2.75" customHeight="1">
      <c r="A752" s="10"/>
      <c r="B752" s="11"/>
      <c r="C752" s="10"/>
      <c r="D752" s="11"/>
      <c r="E752" s="10"/>
      <c r="F752" s="1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0"/>
      <c r="V752" s="11"/>
      <c r="W752" s="10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2.75" customHeight="1">
      <c r="A753" s="10"/>
      <c r="B753" s="11"/>
      <c r="C753" s="10"/>
      <c r="D753" s="11"/>
      <c r="E753" s="10"/>
      <c r="F753" s="1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0"/>
      <c r="V753" s="11"/>
      <c r="W753" s="10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2.75" customHeight="1">
      <c r="A754" s="10"/>
      <c r="B754" s="11"/>
      <c r="C754" s="10"/>
      <c r="D754" s="11"/>
      <c r="E754" s="10"/>
      <c r="F754" s="1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0"/>
      <c r="V754" s="11"/>
      <c r="W754" s="10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2.75" customHeight="1">
      <c r="A755" s="10"/>
      <c r="B755" s="11"/>
      <c r="C755" s="10"/>
      <c r="D755" s="11"/>
      <c r="E755" s="10"/>
      <c r="F755" s="1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0"/>
      <c r="V755" s="11"/>
      <c r="W755" s="10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2.75" customHeight="1">
      <c r="A756" s="10"/>
      <c r="B756" s="11"/>
      <c r="C756" s="10"/>
      <c r="D756" s="11"/>
      <c r="E756" s="10"/>
      <c r="F756" s="1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0"/>
      <c r="V756" s="11"/>
      <c r="W756" s="10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2.75" customHeight="1">
      <c r="A757" s="10"/>
      <c r="B757" s="11"/>
      <c r="C757" s="10"/>
      <c r="D757" s="11"/>
      <c r="E757" s="10"/>
      <c r="F757" s="1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0"/>
      <c r="V757" s="11"/>
      <c r="W757" s="10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2.75" customHeight="1">
      <c r="A758" s="10"/>
      <c r="B758" s="11"/>
      <c r="C758" s="10"/>
      <c r="D758" s="11"/>
      <c r="E758" s="10"/>
      <c r="F758" s="1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0"/>
      <c r="V758" s="11"/>
      <c r="W758" s="10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2.75" customHeight="1">
      <c r="A759" s="10"/>
      <c r="B759" s="11"/>
      <c r="C759" s="10"/>
      <c r="D759" s="11"/>
      <c r="E759" s="10"/>
      <c r="F759" s="1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0"/>
      <c r="V759" s="11"/>
      <c r="W759" s="10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2.75" customHeight="1">
      <c r="A760" s="10"/>
      <c r="B760" s="11"/>
      <c r="C760" s="10"/>
      <c r="D760" s="11"/>
      <c r="E760" s="10"/>
      <c r="F760" s="1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0"/>
      <c r="V760" s="11"/>
      <c r="W760" s="10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2.75" customHeight="1">
      <c r="A761" s="10"/>
      <c r="B761" s="11"/>
      <c r="C761" s="10"/>
      <c r="D761" s="11"/>
      <c r="E761" s="10"/>
      <c r="F761" s="1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0"/>
      <c r="V761" s="11"/>
      <c r="W761" s="10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2.75" customHeight="1">
      <c r="A762" s="10"/>
      <c r="B762" s="11"/>
      <c r="C762" s="10"/>
      <c r="D762" s="11"/>
      <c r="E762" s="10"/>
      <c r="F762" s="1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0"/>
      <c r="V762" s="11"/>
      <c r="W762" s="10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2.75" customHeight="1">
      <c r="A763" s="10"/>
      <c r="B763" s="11"/>
      <c r="C763" s="10"/>
      <c r="D763" s="11"/>
      <c r="E763" s="10"/>
      <c r="F763" s="1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0"/>
      <c r="V763" s="11"/>
      <c r="W763" s="10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2.75" customHeight="1">
      <c r="A764" s="10"/>
      <c r="B764" s="11"/>
      <c r="C764" s="10"/>
      <c r="D764" s="11"/>
      <c r="E764" s="10"/>
      <c r="F764" s="1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0"/>
      <c r="V764" s="11"/>
      <c r="W764" s="10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2.75" customHeight="1">
      <c r="A765" s="10"/>
      <c r="B765" s="11"/>
      <c r="C765" s="10"/>
      <c r="D765" s="11"/>
      <c r="E765" s="10"/>
      <c r="F765" s="1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0"/>
      <c r="V765" s="11"/>
      <c r="W765" s="10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2.75" customHeight="1">
      <c r="A766" s="10"/>
      <c r="B766" s="11"/>
      <c r="C766" s="10"/>
      <c r="D766" s="11"/>
      <c r="E766" s="10"/>
      <c r="F766" s="1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0"/>
      <c r="V766" s="11"/>
      <c r="W766" s="10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2.75" customHeight="1">
      <c r="A767" s="10"/>
      <c r="B767" s="11"/>
      <c r="C767" s="10"/>
      <c r="D767" s="11"/>
      <c r="E767" s="10"/>
      <c r="F767" s="1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0"/>
      <c r="V767" s="11"/>
      <c r="W767" s="10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2.75" customHeight="1">
      <c r="A768" s="10"/>
      <c r="B768" s="11"/>
      <c r="C768" s="10"/>
      <c r="D768" s="11"/>
      <c r="E768" s="10"/>
      <c r="F768" s="1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0"/>
      <c r="V768" s="11"/>
      <c r="W768" s="10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2.75" customHeight="1">
      <c r="A769" s="10"/>
      <c r="B769" s="11"/>
      <c r="C769" s="10"/>
      <c r="D769" s="11"/>
      <c r="E769" s="10"/>
      <c r="F769" s="1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0"/>
      <c r="V769" s="11"/>
      <c r="W769" s="10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2.75" customHeight="1">
      <c r="A770" s="10"/>
      <c r="B770" s="11"/>
      <c r="C770" s="10"/>
      <c r="D770" s="11"/>
      <c r="E770" s="10"/>
      <c r="F770" s="1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0"/>
      <c r="V770" s="11"/>
      <c r="W770" s="10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2.75" customHeight="1">
      <c r="A771" s="10"/>
      <c r="B771" s="11"/>
      <c r="C771" s="10"/>
      <c r="D771" s="11"/>
      <c r="E771" s="10"/>
      <c r="F771" s="1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0"/>
      <c r="V771" s="11"/>
      <c r="W771" s="10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2.75" customHeight="1">
      <c r="A772" s="10"/>
      <c r="B772" s="11"/>
      <c r="C772" s="10"/>
      <c r="D772" s="11"/>
      <c r="E772" s="10"/>
      <c r="F772" s="1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0"/>
      <c r="V772" s="11"/>
      <c r="W772" s="10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2.75" customHeight="1">
      <c r="A773" s="10"/>
      <c r="B773" s="11"/>
      <c r="C773" s="10"/>
      <c r="D773" s="11"/>
      <c r="E773" s="10"/>
      <c r="F773" s="1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0"/>
      <c r="V773" s="11"/>
      <c r="W773" s="10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2.75" customHeight="1">
      <c r="A774" s="10"/>
      <c r="B774" s="11"/>
      <c r="C774" s="10"/>
      <c r="D774" s="11"/>
      <c r="E774" s="10"/>
      <c r="F774" s="1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0"/>
      <c r="V774" s="11"/>
      <c r="W774" s="10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2.75" customHeight="1">
      <c r="A775" s="10"/>
      <c r="B775" s="11"/>
      <c r="C775" s="10"/>
      <c r="D775" s="11"/>
      <c r="E775" s="10"/>
      <c r="F775" s="1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0"/>
      <c r="V775" s="11"/>
      <c r="W775" s="10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2.75" customHeight="1">
      <c r="A776" s="10"/>
      <c r="B776" s="11"/>
      <c r="C776" s="10"/>
      <c r="D776" s="11"/>
      <c r="E776" s="10"/>
      <c r="F776" s="1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0"/>
      <c r="V776" s="11"/>
      <c r="W776" s="10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2.75" customHeight="1">
      <c r="A777" s="10"/>
      <c r="B777" s="11"/>
      <c r="C777" s="10"/>
      <c r="D777" s="11"/>
      <c r="E777" s="10"/>
      <c r="F777" s="1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0"/>
      <c r="V777" s="11"/>
      <c r="W777" s="10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2.75" customHeight="1">
      <c r="A778" s="10"/>
      <c r="B778" s="11"/>
      <c r="C778" s="10"/>
      <c r="D778" s="11"/>
      <c r="E778" s="10"/>
      <c r="F778" s="1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0"/>
      <c r="V778" s="11"/>
      <c r="W778" s="10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2.75" customHeight="1">
      <c r="A779" s="10"/>
      <c r="B779" s="11"/>
      <c r="C779" s="10"/>
      <c r="D779" s="11"/>
      <c r="E779" s="10"/>
      <c r="F779" s="1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0"/>
      <c r="V779" s="11"/>
      <c r="W779" s="10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2.75" customHeight="1">
      <c r="A780" s="10"/>
      <c r="B780" s="11"/>
      <c r="C780" s="10"/>
      <c r="D780" s="11"/>
      <c r="E780" s="10"/>
      <c r="F780" s="1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0"/>
      <c r="V780" s="11"/>
      <c r="W780" s="10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2.75" customHeight="1">
      <c r="A781" s="10"/>
      <c r="B781" s="11"/>
      <c r="C781" s="10"/>
      <c r="D781" s="11"/>
      <c r="E781" s="10"/>
      <c r="F781" s="1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0"/>
      <c r="V781" s="11"/>
      <c r="W781" s="10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2.75" customHeight="1">
      <c r="A782" s="10"/>
      <c r="B782" s="11"/>
      <c r="C782" s="10"/>
      <c r="D782" s="11"/>
      <c r="E782" s="10"/>
      <c r="F782" s="1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0"/>
      <c r="V782" s="11"/>
      <c r="W782" s="10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2.75" customHeight="1">
      <c r="A783" s="10"/>
      <c r="B783" s="11"/>
      <c r="C783" s="10"/>
      <c r="D783" s="11"/>
      <c r="E783" s="10"/>
      <c r="F783" s="1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0"/>
      <c r="V783" s="11"/>
      <c r="W783" s="10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2.75" customHeight="1">
      <c r="A784" s="10"/>
      <c r="B784" s="11"/>
      <c r="C784" s="10"/>
      <c r="D784" s="11"/>
      <c r="E784" s="10"/>
      <c r="F784" s="1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0"/>
      <c r="V784" s="11"/>
      <c r="W784" s="10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2.75" customHeight="1">
      <c r="A785" s="10"/>
      <c r="B785" s="11"/>
      <c r="C785" s="10"/>
      <c r="D785" s="11"/>
      <c r="E785" s="10"/>
      <c r="F785" s="1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0"/>
      <c r="V785" s="11"/>
      <c r="W785" s="10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2.75" customHeight="1">
      <c r="A786" s="10"/>
      <c r="B786" s="11"/>
      <c r="C786" s="10"/>
      <c r="D786" s="11"/>
      <c r="E786" s="10"/>
      <c r="F786" s="1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0"/>
      <c r="V786" s="11"/>
      <c r="W786" s="10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2.75" customHeight="1">
      <c r="A787" s="10"/>
      <c r="B787" s="11"/>
      <c r="C787" s="10"/>
      <c r="D787" s="11"/>
      <c r="E787" s="10"/>
      <c r="F787" s="1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0"/>
      <c r="V787" s="11"/>
      <c r="W787" s="10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2.75" customHeight="1">
      <c r="A788" s="10"/>
      <c r="B788" s="11"/>
      <c r="C788" s="10"/>
      <c r="D788" s="11"/>
      <c r="E788" s="10"/>
      <c r="F788" s="1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0"/>
      <c r="V788" s="11"/>
      <c r="W788" s="10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2.75" customHeight="1">
      <c r="A789" s="10"/>
      <c r="B789" s="11"/>
      <c r="C789" s="10"/>
      <c r="D789" s="11"/>
      <c r="E789" s="10"/>
      <c r="F789" s="1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0"/>
      <c r="V789" s="11"/>
      <c r="W789" s="10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2.75" customHeight="1">
      <c r="A790" s="10"/>
      <c r="B790" s="11"/>
      <c r="C790" s="10"/>
      <c r="D790" s="11"/>
      <c r="E790" s="10"/>
      <c r="F790" s="1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0"/>
      <c r="V790" s="11"/>
      <c r="W790" s="10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2.75" customHeight="1">
      <c r="A791" s="10"/>
      <c r="B791" s="11"/>
      <c r="C791" s="10"/>
      <c r="D791" s="11"/>
      <c r="E791" s="10"/>
      <c r="F791" s="1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0"/>
      <c r="V791" s="11"/>
      <c r="W791" s="10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2.75" customHeight="1">
      <c r="A792" s="10"/>
      <c r="B792" s="11"/>
      <c r="C792" s="10"/>
      <c r="D792" s="11"/>
      <c r="E792" s="10"/>
      <c r="F792" s="1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0"/>
      <c r="V792" s="11"/>
      <c r="W792" s="10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2.75" customHeight="1">
      <c r="A793" s="10"/>
      <c r="B793" s="11"/>
      <c r="C793" s="10"/>
      <c r="D793" s="11"/>
      <c r="E793" s="10"/>
      <c r="F793" s="1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0"/>
      <c r="V793" s="11"/>
      <c r="W793" s="10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2.75" customHeight="1">
      <c r="A794" s="10"/>
      <c r="B794" s="11"/>
      <c r="C794" s="10"/>
      <c r="D794" s="11"/>
      <c r="E794" s="10"/>
      <c r="F794" s="1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0"/>
      <c r="V794" s="11"/>
      <c r="W794" s="10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2.75" customHeight="1">
      <c r="A795" s="10"/>
      <c r="B795" s="11"/>
      <c r="C795" s="10"/>
      <c r="D795" s="11"/>
      <c r="E795" s="10"/>
      <c r="F795" s="1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0"/>
      <c r="V795" s="11"/>
      <c r="W795" s="10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2.75" customHeight="1">
      <c r="A796" s="10"/>
      <c r="B796" s="11"/>
      <c r="C796" s="10"/>
      <c r="D796" s="11"/>
      <c r="E796" s="10"/>
      <c r="F796" s="1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0"/>
      <c r="V796" s="11"/>
      <c r="W796" s="10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2.75" customHeight="1">
      <c r="A797" s="10"/>
      <c r="B797" s="11"/>
      <c r="C797" s="10"/>
      <c r="D797" s="11"/>
      <c r="E797" s="10"/>
      <c r="F797" s="1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0"/>
      <c r="V797" s="11"/>
      <c r="W797" s="10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2.75" customHeight="1">
      <c r="A798" s="10"/>
      <c r="B798" s="11"/>
      <c r="C798" s="10"/>
      <c r="D798" s="11"/>
      <c r="E798" s="10"/>
      <c r="F798" s="1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0"/>
      <c r="V798" s="11"/>
      <c r="W798" s="10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2.75" customHeight="1">
      <c r="A799" s="10"/>
      <c r="B799" s="11"/>
      <c r="C799" s="10"/>
      <c r="D799" s="11"/>
      <c r="E799" s="10"/>
      <c r="F799" s="1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0"/>
      <c r="V799" s="11"/>
      <c r="W799" s="10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2.75" customHeight="1">
      <c r="A800" s="10"/>
      <c r="B800" s="11"/>
      <c r="C800" s="10"/>
      <c r="D800" s="11"/>
      <c r="E800" s="10"/>
      <c r="F800" s="1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0"/>
      <c r="V800" s="11"/>
      <c r="W800" s="10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2.75" customHeight="1">
      <c r="A801" s="10"/>
      <c r="B801" s="11"/>
      <c r="C801" s="10"/>
      <c r="D801" s="11"/>
      <c r="E801" s="10"/>
      <c r="F801" s="1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0"/>
      <c r="V801" s="11"/>
      <c r="W801" s="10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2.75" customHeight="1">
      <c r="A802" s="10"/>
      <c r="B802" s="11"/>
      <c r="C802" s="10"/>
      <c r="D802" s="11"/>
      <c r="E802" s="10"/>
      <c r="F802" s="1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0"/>
      <c r="V802" s="11"/>
      <c r="W802" s="10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2.75" customHeight="1">
      <c r="A803" s="10"/>
      <c r="B803" s="11"/>
      <c r="C803" s="10"/>
      <c r="D803" s="11"/>
      <c r="E803" s="10"/>
      <c r="F803" s="1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0"/>
      <c r="V803" s="11"/>
      <c r="W803" s="10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2.75" customHeight="1">
      <c r="A804" s="10"/>
      <c r="B804" s="11"/>
      <c r="C804" s="10"/>
      <c r="D804" s="11"/>
      <c r="E804" s="10"/>
      <c r="F804" s="1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0"/>
      <c r="V804" s="11"/>
      <c r="W804" s="10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2.75" customHeight="1">
      <c r="A805" s="10"/>
      <c r="B805" s="11"/>
      <c r="C805" s="10"/>
      <c r="D805" s="11"/>
      <c r="E805" s="10"/>
      <c r="F805" s="1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0"/>
      <c r="V805" s="11"/>
      <c r="W805" s="10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2.75" customHeight="1">
      <c r="A806" s="10"/>
      <c r="B806" s="11"/>
      <c r="C806" s="10"/>
      <c r="D806" s="11"/>
      <c r="E806" s="10"/>
      <c r="F806" s="1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0"/>
      <c r="V806" s="11"/>
      <c r="W806" s="10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2.75" customHeight="1">
      <c r="A807" s="10"/>
      <c r="B807" s="11"/>
      <c r="C807" s="10"/>
      <c r="D807" s="11"/>
      <c r="E807" s="10"/>
      <c r="F807" s="1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0"/>
      <c r="V807" s="11"/>
      <c r="W807" s="10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2.75" customHeight="1">
      <c r="A808" s="10"/>
      <c r="B808" s="11"/>
      <c r="C808" s="10"/>
      <c r="D808" s="11"/>
      <c r="E808" s="10"/>
      <c r="F808" s="1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0"/>
      <c r="V808" s="11"/>
      <c r="W808" s="10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2.75" customHeight="1">
      <c r="A809" s="10"/>
      <c r="B809" s="11"/>
      <c r="C809" s="10"/>
      <c r="D809" s="11"/>
      <c r="E809" s="10"/>
      <c r="F809" s="1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0"/>
      <c r="V809" s="11"/>
      <c r="W809" s="10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2.75" customHeight="1">
      <c r="A810" s="10"/>
      <c r="B810" s="11"/>
      <c r="C810" s="10"/>
      <c r="D810" s="11"/>
      <c r="E810" s="10"/>
      <c r="F810" s="1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0"/>
      <c r="V810" s="11"/>
      <c r="W810" s="10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2.75" customHeight="1">
      <c r="A811" s="10"/>
      <c r="B811" s="11"/>
      <c r="C811" s="10"/>
      <c r="D811" s="11"/>
      <c r="E811" s="10"/>
      <c r="F811" s="1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0"/>
      <c r="V811" s="11"/>
      <c r="W811" s="10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2.75" customHeight="1">
      <c r="A812" s="10"/>
      <c r="B812" s="11"/>
      <c r="C812" s="10"/>
      <c r="D812" s="11"/>
      <c r="E812" s="10"/>
      <c r="F812" s="1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0"/>
      <c r="V812" s="11"/>
      <c r="W812" s="10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2.75" customHeight="1">
      <c r="A813" s="10"/>
      <c r="B813" s="11"/>
      <c r="C813" s="10"/>
      <c r="D813" s="11"/>
      <c r="E813" s="10"/>
      <c r="F813" s="1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0"/>
      <c r="V813" s="11"/>
      <c r="W813" s="10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2.75" customHeight="1">
      <c r="A814" s="10"/>
      <c r="B814" s="11"/>
      <c r="C814" s="10"/>
      <c r="D814" s="11"/>
      <c r="E814" s="10"/>
      <c r="F814" s="1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0"/>
      <c r="V814" s="11"/>
      <c r="W814" s="10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2.75" customHeight="1">
      <c r="A815" s="10"/>
      <c r="B815" s="11"/>
      <c r="C815" s="10"/>
      <c r="D815" s="11"/>
      <c r="E815" s="10"/>
      <c r="F815" s="1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0"/>
      <c r="V815" s="11"/>
      <c r="W815" s="10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2.75" customHeight="1">
      <c r="A816" s="10"/>
      <c r="B816" s="11"/>
      <c r="C816" s="10"/>
      <c r="D816" s="11"/>
      <c r="E816" s="10"/>
      <c r="F816" s="1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0"/>
      <c r="V816" s="11"/>
      <c r="W816" s="10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2.75" customHeight="1">
      <c r="A817" s="10"/>
      <c r="B817" s="11"/>
      <c r="C817" s="10"/>
      <c r="D817" s="11"/>
      <c r="E817" s="10"/>
      <c r="F817" s="1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0"/>
      <c r="V817" s="11"/>
      <c r="W817" s="10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2.75" customHeight="1">
      <c r="A818" s="10"/>
      <c r="B818" s="11"/>
      <c r="C818" s="10"/>
      <c r="D818" s="11"/>
      <c r="E818" s="10"/>
      <c r="F818" s="1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0"/>
      <c r="V818" s="11"/>
      <c r="W818" s="10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2.75" customHeight="1">
      <c r="A819" s="10"/>
      <c r="B819" s="11"/>
      <c r="C819" s="10"/>
      <c r="D819" s="11"/>
      <c r="E819" s="10"/>
      <c r="F819" s="1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0"/>
      <c r="V819" s="11"/>
      <c r="W819" s="10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2.75" customHeight="1">
      <c r="A820" s="10"/>
      <c r="B820" s="11"/>
      <c r="C820" s="10"/>
      <c r="D820" s="11"/>
      <c r="E820" s="10"/>
      <c r="F820" s="1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0"/>
      <c r="V820" s="11"/>
      <c r="W820" s="10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2.75" customHeight="1">
      <c r="A821" s="10"/>
      <c r="B821" s="11"/>
      <c r="C821" s="10"/>
      <c r="D821" s="11"/>
      <c r="E821" s="10"/>
      <c r="F821" s="1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0"/>
      <c r="V821" s="11"/>
      <c r="W821" s="10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2.75" customHeight="1">
      <c r="A822" s="10"/>
      <c r="B822" s="11"/>
      <c r="C822" s="10"/>
      <c r="D822" s="11"/>
      <c r="E822" s="10"/>
      <c r="F822" s="1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0"/>
      <c r="V822" s="11"/>
      <c r="W822" s="10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2.75" customHeight="1">
      <c r="A823" s="10"/>
      <c r="B823" s="11"/>
      <c r="C823" s="10"/>
      <c r="D823" s="11"/>
      <c r="E823" s="10"/>
      <c r="F823" s="1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0"/>
      <c r="V823" s="11"/>
      <c r="W823" s="10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2.75" customHeight="1">
      <c r="A824" s="10"/>
      <c r="B824" s="11"/>
      <c r="C824" s="10"/>
      <c r="D824" s="11"/>
      <c r="E824" s="10"/>
      <c r="F824" s="1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0"/>
      <c r="V824" s="11"/>
      <c r="W824" s="10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2.75" customHeight="1">
      <c r="A825" s="10"/>
      <c r="B825" s="11"/>
      <c r="C825" s="10"/>
      <c r="D825" s="11"/>
      <c r="E825" s="10"/>
      <c r="F825" s="1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0"/>
      <c r="V825" s="11"/>
      <c r="W825" s="10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2.75" customHeight="1">
      <c r="A826" s="10"/>
      <c r="B826" s="11"/>
      <c r="C826" s="10"/>
      <c r="D826" s="11"/>
      <c r="E826" s="10"/>
      <c r="F826" s="1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0"/>
      <c r="V826" s="11"/>
      <c r="W826" s="10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2.75" customHeight="1">
      <c r="A827" s="10"/>
      <c r="B827" s="11"/>
      <c r="C827" s="10"/>
      <c r="D827" s="11"/>
      <c r="E827" s="10"/>
      <c r="F827" s="1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0"/>
      <c r="V827" s="11"/>
      <c r="W827" s="10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2.75" customHeight="1">
      <c r="A828" s="10"/>
      <c r="B828" s="11"/>
      <c r="C828" s="10"/>
      <c r="D828" s="11"/>
      <c r="E828" s="10"/>
      <c r="F828" s="1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0"/>
      <c r="V828" s="11"/>
      <c r="W828" s="10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2.75" customHeight="1">
      <c r="A829" s="10"/>
      <c r="B829" s="11"/>
      <c r="C829" s="10"/>
      <c r="D829" s="11"/>
      <c r="E829" s="10"/>
      <c r="F829" s="1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0"/>
      <c r="V829" s="11"/>
      <c r="W829" s="10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2.75" customHeight="1">
      <c r="A830" s="10"/>
      <c r="B830" s="11"/>
      <c r="C830" s="10"/>
      <c r="D830" s="11"/>
      <c r="E830" s="10"/>
      <c r="F830" s="1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0"/>
      <c r="V830" s="11"/>
      <c r="W830" s="10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2.75" customHeight="1">
      <c r="A831" s="10"/>
      <c r="B831" s="11"/>
      <c r="C831" s="10"/>
      <c r="D831" s="11"/>
      <c r="E831" s="10"/>
      <c r="F831" s="1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0"/>
      <c r="V831" s="11"/>
      <c r="W831" s="10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2.75" customHeight="1">
      <c r="A832" s="10"/>
      <c r="B832" s="11"/>
      <c r="C832" s="10"/>
      <c r="D832" s="11"/>
      <c r="E832" s="10"/>
      <c r="F832" s="1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0"/>
      <c r="V832" s="11"/>
      <c r="W832" s="10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2.75" customHeight="1">
      <c r="A833" s="10"/>
      <c r="B833" s="11"/>
      <c r="C833" s="10"/>
      <c r="D833" s="11"/>
      <c r="E833" s="10"/>
      <c r="F833" s="1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0"/>
      <c r="V833" s="11"/>
      <c r="W833" s="10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2.75" customHeight="1">
      <c r="A834" s="10"/>
      <c r="B834" s="11"/>
      <c r="C834" s="10"/>
      <c r="D834" s="11"/>
      <c r="E834" s="10"/>
      <c r="F834" s="1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0"/>
      <c r="V834" s="11"/>
      <c r="W834" s="10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2.75" customHeight="1">
      <c r="A835" s="10"/>
      <c r="B835" s="11"/>
      <c r="C835" s="10"/>
      <c r="D835" s="11"/>
      <c r="E835" s="10"/>
      <c r="F835" s="1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0"/>
      <c r="V835" s="11"/>
      <c r="W835" s="10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2.75" customHeight="1">
      <c r="A836" s="10"/>
      <c r="B836" s="11"/>
      <c r="C836" s="10"/>
      <c r="D836" s="11"/>
      <c r="E836" s="10"/>
      <c r="F836" s="1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0"/>
      <c r="V836" s="11"/>
      <c r="W836" s="10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2.75" customHeight="1">
      <c r="A837" s="10"/>
      <c r="B837" s="11"/>
      <c r="C837" s="10"/>
      <c r="D837" s="11"/>
      <c r="E837" s="10"/>
      <c r="F837" s="1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0"/>
      <c r="V837" s="11"/>
      <c r="W837" s="10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2.75" customHeight="1">
      <c r="A838" s="10"/>
      <c r="B838" s="11"/>
      <c r="C838" s="10"/>
      <c r="D838" s="11"/>
      <c r="E838" s="10"/>
      <c r="F838" s="1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0"/>
      <c r="V838" s="11"/>
      <c r="W838" s="10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2.75" customHeight="1">
      <c r="A839" s="10"/>
      <c r="B839" s="11"/>
      <c r="C839" s="10"/>
      <c r="D839" s="11"/>
      <c r="E839" s="10"/>
      <c r="F839" s="1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0"/>
      <c r="V839" s="11"/>
      <c r="W839" s="10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2.75" customHeight="1">
      <c r="A840" s="10"/>
      <c r="B840" s="11"/>
      <c r="C840" s="10"/>
      <c r="D840" s="11"/>
      <c r="E840" s="10"/>
      <c r="F840" s="1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0"/>
      <c r="V840" s="11"/>
      <c r="W840" s="10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2.75" customHeight="1">
      <c r="A841" s="10"/>
      <c r="B841" s="11"/>
      <c r="C841" s="10"/>
      <c r="D841" s="11"/>
      <c r="E841" s="10"/>
      <c r="F841" s="1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0"/>
      <c r="V841" s="11"/>
      <c r="W841" s="10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2.75" customHeight="1">
      <c r="A842" s="10"/>
      <c r="B842" s="11"/>
      <c r="C842" s="10"/>
      <c r="D842" s="11"/>
      <c r="E842" s="10"/>
      <c r="F842" s="1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0"/>
      <c r="V842" s="11"/>
      <c r="W842" s="10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2.75" customHeight="1">
      <c r="A843" s="10"/>
      <c r="B843" s="11"/>
      <c r="C843" s="10"/>
      <c r="D843" s="11"/>
      <c r="E843" s="10"/>
      <c r="F843" s="1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0"/>
      <c r="V843" s="11"/>
      <c r="W843" s="10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2.75" customHeight="1">
      <c r="A844" s="10"/>
      <c r="B844" s="11"/>
      <c r="C844" s="10"/>
      <c r="D844" s="11"/>
      <c r="E844" s="10"/>
      <c r="F844" s="1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0"/>
      <c r="V844" s="11"/>
      <c r="W844" s="10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2.75" customHeight="1">
      <c r="A845" s="10"/>
      <c r="B845" s="11"/>
      <c r="C845" s="10"/>
      <c r="D845" s="11"/>
      <c r="E845" s="10"/>
      <c r="F845" s="1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0"/>
      <c r="V845" s="11"/>
      <c r="W845" s="10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2.75" customHeight="1">
      <c r="A846" s="10"/>
      <c r="B846" s="11"/>
      <c r="C846" s="10"/>
      <c r="D846" s="11"/>
      <c r="E846" s="10"/>
      <c r="F846" s="1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0"/>
      <c r="V846" s="11"/>
      <c r="W846" s="10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2.75" customHeight="1">
      <c r="A847" s="10"/>
      <c r="B847" s="11"/>
      <c r="C847" s="10"/>
      <c r="D847" s="11"/>
      <c r="E847" s="10"/>
      <c r="F847" s="1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0"/>
      <c r="V847" s="11"/>
      <c r="W847" s="10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2.75" customHeight="1">
      <c r="A848" s="10"/>
      <c r="B848" s="11"/>
      <c r="C848" s="10"/>
      <c r="D848" s="11"/>
      <c r="E848" s="10"/>
      <c r="F848" s="1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0"/>
      <c r="V848" s="11"/>
      <c r="W848" s="10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2.75" customHeight="1">
      <c r="A849" s="10"/>
      <c r="B849" s="11"/>
      <c r="C849" s="10"/>
      <c r="D849" s="11"/>
      <c r="E849" s="10"/>
      <c r="F849" s="1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0"/>
      <c r="V849" s="11"/>
      <c r="W849" s="10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2.75" customHeight="1">
      <c r="A850" s="10"/>
      <c r="B850" s="11"/>
      <c r="C850" s="10"/>
      <c r="D850" s="11"/>
      <c r="E850" s="10"/>
      <c r="F850" s="1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0"/>
      <c r="V850" s="11"/>
      <c r="W850" s="10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2.75" customHeight="1">
      <c r="A851" s="10"/>
      <c r="B851" s="11"/>
      <c r="C851" s="10"/>
      <c r="D851" s="11"/>
      <c r="E851" s="10"/>
      <c r="F851" s="1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0"/>
      <c r="V851" s="11"/>
      <c r="W851" s="10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2.75" customHeight="1">
      <c r="A852" s="10"/>
      <c r="B852" s="11"/>
      <c r="C852" s="10"/>
      <c r="D852" s="11"/>
      <c r="E852" s="10"/>
      <c r="F852" s="1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0"/>
      <c r="V852" s="11"/>
      <c r="W852" s="10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2.75" customHeight="1">
      <c r="A853" s="10"/>
      <c r="B853" s="11"/>
      <c r="C853" s="10"/>
      <c r="D853" s="11"/>
      <c r="E853" s="10"/>
      <c r="F853" s="1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0"/>
      <c r="V853" s="11"/>
      <c r="W853" s="10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2.75" customHeight="1">
      <c r="A854" s="10"/>
      <c r="B854" s="11"/>
      <c r="C854" s="10"/>
      <c r="D854" s="11"/>
      <c r="E854" s="10"/>
      <c r="F854" s="1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0"/>
      <c r="V854" s="11"/>
      <c r="W854" s="10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2.75" customHeight="1">
      <c r="A855" s="10"/>
      <c r="B855" s="11"/>
      <c r="C855" s="10"/>
      <c r="D855" s="11"/>
      <c r="E855" s="10"/>
      <c r="F855" s="1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0"/>
      <c r="V855" s="11"/>
      <c r="W855" s="10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2.75" customHeight="1">
      <c r="A856" s="10"/>
      <c r="B856" s="11"/>
      <c r="C856" s="10"/>
      <c r="D856" s="11"/>
      <c r="E856" s="10"/>
      <c r="F856" s="1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0"/>
      <c r="V856" s="11"/>
      <c r="W856" s="10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2.75" customHeight="1">
      <c r="A857" s="10"/>
      <c r="B857" s="11"/>
      <c r="C857" s="10"/>
      <c r="D857" s="11"/>
      <c r="E857" s="10"/>
      <c r="F857" s="1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0"/>
      <c r="V857" s="11"/>
      <c r="W857" s="10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2.75" customHeight="1">
      <c r="A858" s="10"/>
      <c r="B858" s="11"/>
      <c r="C858" s="10"/>
      <c r="D858" s="11"/>
      <c r="E858" s="10"/>
      <c r="F858" s="1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0"/>
      <c r="V858" s="11"/>
      <c r="W858" s="10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2.75" customHeight="1">
      <c r="A859" s="10"/>
      <c r="B859" s="11"/>
      <c r="C859" s="10"/>
      <c r="D859" s="11"/>
      <c r="E859" s="10"/>
      <c r="F859" s="1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0"/>
      <c r="V859" s="11"/>
      <c r="W859" s="10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2.75" customHeight="1">
      <c r="A860" s="10"/>
      <c r="B860" s="11"/>
      <c r="C860" s="10"/>
      <c r="D860" s="11"/>
      <c r="E860" s="10"/>
      <c r="F860" s="1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0"/>
      <c r="V860" s="11"/>
      <c r="W860" s="10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2.75" customHeight="1">
      <c r="A861" s="10"/>
      <c r="B861" s="11"/>
      <c r="C861" s="10"/>
      <c r="D861" s="11"/>
      <c r="E861" s="10"/>
      <c r="F861" s="1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0"/>
      <c r="V861" s="11"/>
      <c r="W861" s="10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2.75" customHeight="1">
      <c r="A862" s="10"/>
      <c r="B862" s="11"/>
      <c r="C862" s="10"/>
      <c r="D862" s="11"/>
      <c r="E862" s="10"/>
      <c r="F862" s="1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0"/>
      <c r="V862" s="11"/>
      <c r="W862" s="10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2.75" customHeight="1">
      <c r="A863" s="10"/>
      <c r="B863" s="11"/>
      <c r="C863" s="10"/>
      <c r="D863" s="11"/>
      <c r="E863" s="10"/>
      <c r="F863" s="1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0"/>
      <c r="V863" s="11"/>
      <c r="W863" s="10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2.75" customHeight="1">
      <c r="A864" s="10"/>
      <c r="B864" s="11"/>
      <c r="C864" s="10"/>
      <c r="D864" s="11"/>
      <c r="E864" s="10"/>
      <c r="F864" s="1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0"/>
      <c r="V864" s="11"/>
      <c r="W864" s="10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2.75" customHeight="1">
      <c r="A865" s="10"/>
      <c r="B865" s="11"/>
      <c r="C865" s="10"/>
      <c r="D865" s="11"/>
      <c r="E865" s="10"/>
      <c r="F865" s="1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0"/>
      <c r="V865" s="11"/>
      <c r="W865" s="10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2.75" customHeight="1">
      <c r="A866" s="10"/>
      <c r="B866" s="11"/>
      <c r="C866" s="10"/>
      <c r="D866" s="11"/>
      <c r="E866" s="10"/>
      <c r="F866" s="1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0"/>
      <c r="V866" s="11"/>
      <c r="W866" s="10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2.75" customHeight="1">
      <c r="A867" s="10"/>
      <c r="B867" s="11"/>
      <c r="C867" s="10"/>
      <c r="D867" s="11"/>
      <c r="E867" s="10"/>
      <c r="F867" s="1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0"/>
      <c r="V867" s="11"/>
      <c r="W867" s="10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2.75" customHeight="1">
      <c r="A868" s="10"/>
      <c r="B868" s="11"/>
      <c r="C868" s="10"/>
      <c r="D868" s="11"/>
      <c r="E868" s="10"/>
      <c r="F868" s="1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0"/>
      <c r="V868" s="11"/>
      <c r="W868" s="10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2.75" customHeight="1">
      <c r="A869" s="10"/>
      <c r="B869" s="11"/>
      <c r="C869" s="10"/>
      <c r="D869" s="11"/>
      <c r="E869" s="10"/>
      <c r="F869" s="1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0"/>
      <c r="V869" s="11"/>
      <c r="W869" s="10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2.75" customHeight="1">
      <c r="A870" s="10"/>
      <c r="B870" s="11"/>
      <c r="C870" s="10"/>
      <c r="D870" s="11"/>
      <c r="E870" s="10"/>
      <c r="F870" s="1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0"/>
      <c r="V870" s="11"/>
      <c r="W870" s="10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2.75" customHeight="1">
      <c r="A871" s="10"/>
      <c r="B871" s="11"/>
      <c r="C871" s="10"/>
      <c r="D871" s="11"/>
      <c r="E871" s="10"/>
      <c r="F871" s="1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0"/>
      <c r="V871" s="11"/>
      <c r="W871" s="10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2.75" customHeight="1">
      <c r="A872" s="10"/>
      <c r="B872" s="11"/>
      <c r="C872" s="10"/>
      <c r="D872" s="11"/>
      <c r="E872" s="10"/>
      <c r="F872" s="1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0"/>
      <c r="V872" s="11"/>
      <c r="W872" s="10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2.75" customHeight="1">
      <c r="A873" s="10"/>
      <c r="B873" s="11"/>
      <c r="C873" s="10"/>
      <c r="D873" s="11"/>
      <c r="E873" s="10"/>
      <c r="F873" s="1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0"/>
      <c r="V873" s="11"/>
      <c r="W873" s="10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2.75" customHeight="1">
      <c r="A874" s="10"/>
      <c r="B874" s="11"/>
      <c r="C874" s="10"/>
      <c r="D874" s="11"/>
      <c r="E874" s="10"/>
      <c r="F874" s="1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0"/>
      <c r="V874" s="11"/>
      <c r="W874" s="10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2.75" customHeight="1">
      <c r="A875" s="10"/>
      <c r="B875" s="11"/>
      <c r="C875" s="10"/>
      <c r="D875" s="11"/>
      <c r="E875" s="10"/>
      <c r="F875" s="1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0"/>
      <c r="V875" s="11"/>
      <c r="W875" s="10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2.75" customHeight="1">
      <c r="A876" s="10"/>
      <c r="B876" s="11"/>
      <c r="C876" s="10"/>
      <c r="D876" s="11"/>
      <c r="E876" s="10"/>
      <c r="F876" s="1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0"/>
      <c r="V876" s="11"/>
      <c r="W876" s="10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2.75" customHeight="1">
      <c r="A877" s="10"/>
      <c r="B877" s="11"/>
      <c r="C877" s="10"/>
      <c r="D877" s="11"/>
      <c r="E877" s="10"/>
      <c r="F877" s="1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0"/>
      <c r="V877" s="11"/>
      <c r="W877" s="10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2.75" customHeight="1">
      <c r="A878" s="10"/>
      <c r="B878" s="11"/>
      <c r="C878" s="10"/>
      <c r="D878" s="11"/>
      <c r="E878" s="10"/>
      <c r="F878" s="1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0"/>
      <c r="V878" s="11"/>
      <c r="W878" s="10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2.75" customHeight="1">
      <c r="A879" s="10"/>
      <c r="B879" s="11"/>
      <c r="C879" s="10"/>
      <c r="D879" s="11"/>
      <c r="E879" s="10"/>
      <c r="F879" s="1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0"/>
      <c r="V879" s="11"/>
      <c r="W879" s="10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2.75" customHeight="1">
      <c r="A880" s="10"/>
      <c r="B880" s="11"/>
      <c r="C880" s="10"/>
      <c r="D880" s="11"/>
      <c r="E880" s="10"/>
      <c r="F880" s="1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0"/>
      <c r="V880" s="11"/>
      <c r="W880" s="10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2.75" customHeight="1">
      <c r="A881" s="10"/>
      <c r="B881" s="11"/>
      <c r="C881" s="10"/>
      <c r="D881" s="11"/>
      <c r="E881" s="10"/>
      <c r="F881" s="1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0"/>
      <c r="V881" s="11"/>
      <c r="W881" s="10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2.75" customHeight="1">
      <c r="A882" s="10"/>
      <c r="B882" s="11"/>
      <c r="C882" s="10"/>
      <c r="D882" s="11"/>
      <c r="E882" s="10"/>
      <c r="F882" s="1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0"/>
      <c r="V882" s="11"/>
      <c r="W882" s="10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2.75" customHeight="1">
      <c r="A883" s="10"/>
      <c r="B883" s="11"/>
      <c r="C883" s="10"/>
      <c r="D883" s="11"/>
      <c r="E883" s="10"/>
      <c r="F883" s="1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0"/>
      <c r="V883" s="11"/>
      <c r="W883" s="10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2.75" customHeight="1">
      <c r="A884" s="10"/>
      <c r="B884" s="11"/>
      <c r="C884" s="10"/>
      <c r="D884" s="11"/>
      <c r="E884" s="10"/>
      <c r="F884" s="1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0"/>
      <c r="V884" s="11"/>
      <c r="W884" s="10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2.75" customHeight="1">
      <c r="A885" s="10"/>
      <c r="B885" s="11"/>
      <c r="C885" s="10"/>
      <c r="D885" s="11"/>
      <c r="E885" s="10"/>
      <c r="F885" s="1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0"/>
      <c r="V885" s="11"/>
      <c r="W885" s="10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2.75" customHeight="1">
      <c r="A886" s="10"/>
      <c r="B886" s="11"/>
      <c r="C886" s="10"/>
      <c r="D886" s="11"/>
      <c r="E886" s="10"/>
      <c r="F886" s="1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0"/>
      <c r="V886" s="11"/>
      <c r="W886" s="10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2.75" customHeight="1">
      <c r="A887" s="10"/>
      <c r="B887" s="11"/>
      <c r="C887" s="10"/>
      <c r="D887" s="11"/>
      <c r="E887" s="10"/>
      <c r="F887" s="1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0"/>
      <c r="V887" s="11"/>
      <c r="W887" s="10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2.75" customHeight="1">
      <c r="A888" s="10"/>
      <c r="B888" s="11"/>
      <c r="C888" s="10"/>
      <c r="D888" s="11"/>
      <c r="E888" s="10"/>
      <c r="F888" s="1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0"/>
      <c r="V888" s="11"/>
      <c r="W888" s="10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2.75" customHeight="1">
      <c r="A889" s="10"/>
      <c r="B889" s="11"/>
      <c r="C889" s="10"/>
      <c r="D889" s="11"/>
      <c r="E889" s="10"/>
      <c r="F889" s="1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0"/>
      <c r="V889" s="11"/>
      <c r="W889" s="10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2.75" customHeight="1">
      <c r="A890" s="10"/>
      <c r="B890" s="11"/>
      <c r="C890" s="10"/>
      <c r="D890" s="11"/>
      <c r="E890" s="10"/>
      <c r="F890" s="1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0"/>
      <c r="V890" s="11"/>
      <c r="W890" s="10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2.75" customHeight="1">
      <c r="A891" s="10"/>
      <c r="B891" s="11"/>
      <c r="C891" s="10"/>
      <c r="D891" s="11"/>
      <c r="E891" s="10"/>
      <c r="F891" s="1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0"/>
      <c r="V891" s="11"/>
      <c r="W891" s="10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2.75" customHeight="1">
      <c r="A892" s="10"/>
      <c r="B892" s="11"/>
      <c r="C892" s="10"/>
      <c r="D892" s="11"/>
      <c r="E892" s="10"/>
      <c r="F892" s="1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0"/>
      <c r="V892" s="11"/>
      <c r="W892" s="10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2.75" customHeight="1">
      <c r="A893" s="10"/>
      <c r="B893" s="11"/>
      <c r="C893" s="10"/>
      <c r="D893" s="11"/>
      <c r="E893" s="10"/>
      <c r="F893" s="1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0"/>
      <c r="V893" s="11"/>
      <c r="W893" s="10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2.75" customHeight="1">
      <c r="A894" s="10"/>
      <c r="B894" s="11"/>
      <c r="C894" s="10"/>
      <c r="D894" s="11"/>
      <c r="E894" s="10"/>
      <c r="F894" s="1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0"/>
      <c r="V894" s="11"/>
      <c r="W894" s="10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2.75" customHeight="1">
      <c r="A895" s="10"/>
      <c r="B895" s="11"/>
      <c r="C895" s="10"/>
      <c r="D895" s="11"/>
      <c r="E895" s="10"/>
      <c r="F895" s="1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0"/>
      <c r="V895" s="11"/>
      <c r="W895" s="10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2.75" customHeight="1">
      <c r="A896" s="10"/>
      <c r="B896" s="11"/>
      <c r="C896" s="10"/>
      <c r="D896" s="11"/>
      <c r="E896" s="10"/>
      <c r="F896" s="1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0"/>
      <c r="V896" s="11"/>
      <c r="W896" s="10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2.75" customHeight="1">
      <c r="A897" s="10"/>
      <c r="B897" s="11"/>
      <c r="C897" s="10"/>
      <c r="D897" s="11"/>
      <c r="E897" s="10"/>
      <c r="F897" s="1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0"/>
      <c r="V897" s="11"/>
      <c r="W897" s="10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2.75" customHeight="1">
      <c r="A898" s="10"/>
      <c r="B898" s="11"/>
      <c r="C898" s="10"/>
      <c r="D898" s="11"/>
      <c r="E898" s="10"/>
      <c r="F898" s="1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0"/>
      <c r="V898" s="11"/>
      <c r="W898" s="10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2.75" customHeight="1">
      <c r="A899" s="10"/>
      <c r="B899" s="11"/>
      <c r="C899" s="10"/>
      <c r="D899" s="11"/>
      <c r="E899" s="10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0"/>
      <c r="V899" s="11"/>
      <c r="W899" s="10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2.75" customHeight="1">
      <c r="A900" s="10"/>
      <c r="B900" s="11"/>
      <c r="C900" s="10"/>
      <c r="D900" s="11"/>
      <c r="E900" s="10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0"/>
      <c r="V900" s="11"/>
      <c r="W900" s="10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2.75" customHeight="1">
      <c r="A901" s="10"/>
      <c r="B901" s="11"/>
      <c r="C901" s="10"/>
      <c r="D901" s="11"/>
      <c r="E901" s="10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0"/>
      <c r="V901" s="11"/>
      <c r="W901" s="10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2.75" customHeight="1">
      <c r="A902" s="10"/>
      <c r="B902" s="11"/>
      <c r="C902" s="10"/>
      <c r="D902" s="11"/>
      <c r="E902" s="10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0"/>
      <c r="V902" s="11"/>
      <c r="W902" s="10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2.75" customHeight="1">
      <c r="A903" s="10"/>
      <c r="B903" s="11"/>
      <c r="C903" s="10"/>
      <c r="D903" s="11"/>
      <c r="E903" s="10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0"/>
      <c r="V903" s="11"/>
      <c r="W903" s="10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2.75" customHeight="1">
      <c r="A904" s="10"/>
      <c r="B904" s="11"/>
      <c r="C904" s="10"/>
      <c r="D904" s="11"/>
      <c r="E904" s="10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0"/>
      <c r="V904" s="11"/>
      <c r="W904" s="10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2.75" customHeight="1">
      <c r="A905" s="10"/>
      <c r="B905" s="11"/>
      <c r="C905" s="10"/>
      <c r="D905" s="11"/>
      <c r="E905" s="10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0"/>
      <c r="V905" s="11"/>
      <c r="W905" s="10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2.75" customHeight="1">
      <c r="A906" s="10"/>
      <c r="B906" s="11"/>
      <c r="C906" s="10"/>
      <c r="D906" s="11"/>
      <c r="E906" s="10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0"/>
      <c r="V906" s="11"/>
      <c r="W906" s="10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2.75" customHeight="1">
      <c r="A907" s="10"/>
      <c r="B907" s="11"/>
      <c r="C907" s="10"/>
      <c r="D907" s="11"/>
      <c r="E907" s="10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0"/>
      <c r="V907" s="11"/>
      <c r="W907" s="10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2.75" customHeight="1">
      <c r="A908" s="10"/>
      <c r="B908" s="11"/>
      <c r="C908" s="10"/>
      <c r="D908" s="11"/>
      <c r="E908" s="10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0"/>
      <c r="V908" s="11"/>
      <c r="W908" s="10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2.75" customHeight="1">
      <c r="A909" s="10"/>
      <c r="B909" s="11"/>
      <c r="C909" s="10"/>
      <c r="D909" s="11"/>
      <c r="E909" s="10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0"/>
      <c r="V909" s="11"/>
      <c r="W909" s="10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2.75" customHeight="1">
      <c r="A910" s="10"/>
      <c r="B910" s="11"/>
      <c r="C910" s="10"/>
      <c r="D910" s="11"/>
      <c r="E910" s="10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0"/>
      <c r="V910" s="11"/>
      <c r="W910" s="10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2.75" customHeight="1">
      <c r="A911" s="10"/>
      <c r="B911" s="11"/>
      <c r="C911" s="10"/>
      <c r="D911" s="11"/>
      <c r="E911" s="10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0"/>
      <c r="V911" s="11"/>
      <c r="W911" s="10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2.75" customHeight="1">
      <c r="A912" s="10"/>
      <c r="B912" s="11"/>
      <c r="C912" s="10"/>
      <c r="D912" s="11"/>
      <c r="E912" s="10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0"/>
      <c r="V912" s="11"/>
      <c r="W912" s="10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2.75" customHeight="1">
      <c r="A913" s="10"/>
      <c r="B913" s="11"/>
      <c r="C913" s="10"/>
      <c r="D913" s="11"/>
      <c r="E913" s="10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0"/>
      <c r="V913" s="11"/>
      <c r="W913" s="10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2.75" customHeight="1">
      <c r="A914" s="10"/>
      <c r="B914" s="11"/>
      <c r="C914" s="10"/>
      <c r="D914" s="11"/>
      <c r="E914" s="10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0"/>
      <c r="V914" s="11"/>
      <c r="W914" s="10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2.75" customHeight="1">
      <c r="A915" s="10"/>
      <c r="B915" s="11"/>
      <c r="C915" s="10"/>
      <c r="D915" s="11"/>
      <c r="E915" s="10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0"/>
      <c r="V915" s="11"/>
      <c r="W915" s="10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2.75" customHeight="1">
      <c r="A916" s="10"/>
      <c r="B916" s="11"/>
      <c r="C916" s="10"/>
      <c r="D916" s="11"/>
      <c r="E916" s="10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0"/>
      <c r="V916" s="11"/>
      <c r="W916" s="10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2.75" customHeight="1">
      <c r="A917" s="10"/>
      <c r="B917" s="11"/>
      <c r="C917" s="10"/>
      <c r="D917" s="11"/>
      <c r="E917" s="10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0"/>
      <c r="V917" s="11"/>
      <c r="W917" s="10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2.75" customHeight="1">
      <c r="A918" s="10"/>
      <c r="B918" s="11"/>
      <c r="C918" s="10"/>
      <c r="D918" s="11"/>
      <c r="E918" s="10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0"/>
      <c r="V918" s="11"/>
      <c r="W918" s="10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2.75" customHeight="1">
      <c r="A919" s="10"/>
      <c r="B919" s="11"/>
      <c r="C919" s="10"/>
      <c r="D919" s="11"/>
      <c r="E919" s="10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0"/>
      <c r="V919" s="11"/>
      <c r="W919" s="10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2.75" customHeight="1">
      <c r="A920" s="10"/>
      <c r="B920" s="11"/>
      <c r="C920" s="10"/>
      <c r="D920" s="11"/>
      <c r="E920" s="10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0"/>
      <c r="V920" s="11"/>
      <c r="W920" s="10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2.75" customHeight="1">
      <c r="A921" s="10"/>
      <c r="B921" s="11"/>
      <c r="C921" s="10"/>
      <c r="D921" s="11"/>
      <c r="E921" s="10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0"/>
      <c r="V921" s="11"/>
      <c r="W921" s="10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2.75" customHeight="1">
      <c r="A922" s="10"/>
      <c r="B922" s="11"/>
      <c r="C922" s="10"/>
      <c r="D922" s="11"/>
      <c r="E922" s="10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0"/>
      <c r="V922" s="11"/>
      <c r="W922" s="10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2.75" customHeight="1">
      <c r="A923" s="10"/>
      <c r="B923" s="11"/>
      <c r="C923" s="10"/>
      <c r="D923" s="11"/>
      <c r="E923" s="10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0"/>
      <c r="V923" s="11"/>
      <c r="W923" s="10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2.75" customHeight="1">
      <c r="A924" s="10"/>
      <c r="B924" s="11"/>
      <c r="C924" s="10"/>
      <c r="D924" s="11"/>
      <c r="E924" s="10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0"/>
      <c r="V924" s="11"/>
      <c r="W924" s="10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2.75" customHeight="1">
      <c r="A925" s="10"/>
      <c r="B925" s="11"/>
      <c r="C925" s="10"/>
      <c r="D925" s="11"/>
      <c r="E925" s="10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0"/>
      <c r="V925" s="11"/>
      <c r="W925" s="10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2.75" customHeight="1">
      <c r="A926" s="10"/>
      <c r="B926" s="11"/>
      <c r="C926" s="10"/>
      <c r="D926" s="11"/>
      <c r="E926" s="10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0"/>
      <c r="V926" s="11"/>
      <c r="W926" s="10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2.75" customHeight="1">
      <c r="A927" s="10"/>
      <c r="B927" s="11"/>
      <c r="C927" s="10"/>
      <c r="D927" s="11"/>
      <c r="E927" s="10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0"/>
      <c r="V927" s="11"/>
      <c r="W927" s="10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2.75" customHeight="1">
      <c r="A928" s="10"/>
      <c r="B928" s="11"/>
      <c r="C928" s="10"/>
      <c r="D928" s="11"/>
      <c r="E928" s="10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0"/>
      <c r="V928" s="11"/>
      <c r="W928" s="10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2.75" customHeight="1">
      <c r="A929" s="10"/>
      <c r="B929" s="11"/>
      <c r="C929" s="10"/>
      <c r="D929" s="11"/>
      <c r="E929" s="10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0"/>
      <c r="V929" s="11"/>
      <c r="W929" s="10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2.75" customHeight="1">
      <c r="A930" s="10"/>
      <c r="B930" s="11"/>
      <c r="C930" s="10"/>
      <c r="D930" s="11"/>
      <c r="E930" s="10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0"/>
      <c r="V930" s="11"/>
      <c r="W930" s="10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2.75" customHeight="1">
      <c r="A931" s="10"/>
      <c r="B931" s="11"/>
      <c r="C931" s="10"/>
      <c r="D931" s="11"/>
      <c r="E931" s="10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0"/>
      <c r="V931" s="11"/>
      <c r="W931" s="10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2.75" customHeight="1">
      <c r="A932" s="10"/>
      <c r="B932" s="11"/>
      <c r="C932" s="10"/>
      <c r="D932" s="11"/>
      <c r="E932" s="10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0"/>
      <c r="V932" s="11"/>
      <c r="W932" s="10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2.75" customHeight="1">
      <c r="A933" s="10"/>
      <c r="B933" s="11"/>
      <c r="C933" s="10"/>
      <c r="D933" s="11"/>
      <c r="E933" s="10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0"/>
      <c r="V933" s="11"/>
      <c r="W933" s="10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2.75" customHeight="1">
      <c r="A934" s="10"/>
      <c r="B934" s="11"/>
      <c r="C934" s="10"/>
      <c r="D934" s="11"/>
      <c r="E934" s="10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0"/>
      <c r="V934" s="11"/>
      <c r="W934" s="10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2.75" customHeight="1">
      <c r="A935" s="10"/>
      <c r="B935" s="11"/>
      <c r="C935" s="10"/>
      <c r="D935" s="11"/>
      <c r="E935" s="10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0"/>
      <c r="V935" s="11"/>
      <c r="W935" s="10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2.75" customHeight="1">
      <c r="A936" s="10"/>
      <c r="B936" s="11"/>
      <c r="C936" s="10"/>
      <c r="D936" s="11"/>
      <c r="E936" s="10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0"/>
      <c r="V936" s="11"/>
      <c r="W936" s="10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2.75" customHeight="1">
      <c r="A937" s="10"/>
      <c r="B937" s="11"/>
      <c r="C937" s="10"/>
      <c r="D937" s="11"/>
      <c r="E937" s="10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0"/>
      <c r="V937" s="11"/>
      <c r="W937" s="10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2.75" customHeight="1">
      <c r="A938" s="10"/>
      <c r="B938" s="11"/>
      <c r="C938" s="10"/>
      <c r="D938" s="11"/>
      <c r="E938" s="10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0"/>
      <c r="V938" s="11"/>
      <c r="W938" s="10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2.75" customHeight="1">
      <c r="A939" s="10"/>
      <c r="B939" s="11"/>
      <c r="C939" s="10"/>
      <c r="D939" s="11"/>
      <c r="E939" s="10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0"/>
      <c r="V939" s="11"/>
      <c r="W939" s="10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2.75" customHeight="1">
      <c r="A940" s="10"/>
      <c r="B940" s="11"/>
      <c r="C940" s="10"/>
      <c r="D940" s="11"/>
      <c r="E940" s="10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0"/>
      <c r="V940" s="11"/>
      <c r="W940" s="10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2.75" customHeight="1">
      <c r="A941" s="10"/>
      <c r="B941" s="11"/>
      <c r="C941" s="10"/>
      <c r="D941" s="11"/>
      <c r="E941" s="10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0"/>
      <c r="V941" s="11"/>
      <c r="W941" s="10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2.75" customHeight="1">
      <c r="A942" s="10"/>
      <c r="B942" s="11"/>
      <c r="C942" s="10"/>
      <c r="D942" s="11"/>
      <c r="E942" s="10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0"/>
      <c r="V942" s="11"/>
      <c r="W942" s="10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2.75" customHeight="1">
      <c r="A943" s="10"/>
      <c r="B943" s="11"/>
      <c r="C943" s="10"/>
      <c r="D943" s="11"/>
      <c r="E943" s="10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0"/>
      <c r="V943" s="11"/>
      <c r="W943" s="10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2.75" customHeight="1">
      <c r="A944" s="10"/>
      <c r="B944" s="11"/>
      <c r="C944" s="10"/>
      <c r="D944" s="11"/>
      <c r="E944" s="10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0"/>
      <c r="V944" s="11"/>
      <c r="W944" s="10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2.75" customHeight="1">
      <c r="A945" s="10"/>
      <c r="B945" s="11"/>
      <c r="C945" s="10"/>
      <c r="D945" s="11"/>
      <c r="E945" s="10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0"/>
      <c r="V945" s="11"/>
      <c r="W945" s="10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2.75" customHeight="1">
      <c r="A946" s="10"/>
      <c r="B946" s="11"/>
      <c r="C946" s="10"/>
      <c r="D946" s="11"/>
      <c r="E946" s="10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0"/>
      <c r="V946" s="11"/>
      <c r="W946" s="10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2.75" customHeight="1">
      <c r="A947" s="10"/>
      <c r="B947" s="11"/>
      <c r="C947" s="10"/>
      <c r="D947" s="11"/>
      <c r="E947" s="10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0"/>
      <c r="V947" s="11"/>
      <c r="W947" s="10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2.75" customHeight="1">
      <c r="A948" s="10"/>
      <c r="B948" s="11"/>
      <c r="C948" s="10"/>
      <c r="D948" s="11"/>
      <c r="E948" s="10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0"/>
      <c r="V948" s="11"/>
      <c r="W948" s="10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2.75" customHeight="1">
      <c r="A949" s="10"/>
      <c r="B949" s="11"/>
      <c r="C949" s="10"/>
      <c r="D949" s="11"/>
      <c r="E949" s="10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0"/>
      <c r="V949" s="11"/>
      <c r="W949" s="10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2.75" customHeight="1">
      <c r="A950" s="10"/>
      <c r="B950" s="11"/>
      <c r="C950" s="10"/>
      <c r="D950" s="11"/>
      <c r="E950" s="10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0"/>
      <c r="V950" s="11"/>
      <c r="W950" s="10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2.75" customHeight="1">
      <c r="A951" s="10"/>
      <c r="B951" s="11"/>
      <c r="C951" s="10"/>
      <c r="D951" s="11"/>
      <c r="E951" s="10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0"/>
      <c r="V951" s="11"/>
      <c r="W951" s="10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2.75" customHeight="1">
      <c r="A952" s="10"/>
      <c r="B952" s="11"/>
      <c r="C952" s="10"/>
      <c r="D952" s="11"/>
      <c r="E952" s="10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0"/>
      <c r="V952" s="11"/>
      <c r="W952" s="10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2.75" customHeight="1">
      <c r="A953" s="10"/>
      <c r="B953" s="11"/>
      <c r="C953" s="10"/>
      <c r="D953" s="11"/>
      <c r="E953" s="10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0"/>
      <c r="V953" s="11"/>
      <c r="W953" s="10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2.75" customHeight="1">
      <c r="A954" s="10"/>
      <c r="B954" s="11"/>
      <c r="C954" s="10"/>
      <c r="D954" s="11"/>
      <c r="E954" s="10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0"/>
      <c r="V954" s="11"/>
      <c r="W954" s="10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2.75" customHeight="1">
      <c r="A955" s="10"/>
      <c r="B955" s="11"/>
      <c r="C955" s="10"/>
      <c r="D955" s="11"/>
      <c r="E955" s="10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0"/>
      <c r="V955" s="11"/>
      <c r="W955" s="10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2.75" customHeight="1">
      <c r="A956" s="10"/>
      <c r="B956" s="11"/>
      <c r="C956" s="10"/>
      <c r="D956" s="11"/>
      <c r="E956" s="10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0"/>
      <c r="V956" s="11"/>
      <c r="W956" s="10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2.75" customHeight="1">
      <c r="A957" s="10"/>
      <c r="B957" s="11"/>
      <c r="C957" s="10"/>
      <c r="D957" s="11"/>
      <c r="E957" s="10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0"/>
      <c r="V957" s="11"/>
      <c r="W957" s="10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2.75" customHeight="1">
      <c r="A958" s="10"/>
      <c r="B958" s="11"/>
      <c r="C958" s="10"/>
      <c r="D958" s="11"/>
      <c r="E958" s="10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0"/>
      <c r="V958" s="11"/>
      <c r="W958" s="10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2.75" customHeight="1">
      <c r="A959" s="10"/>
      <c r="B959" s="11"/>
      <c r="C959" s="10"/>
      <c r="D959" s="11"/>
      <c r="E959" s="10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0"/>
      <c r="V959" s="11"/>
      <c r="W959" s="10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2.75" customHeight="1">
      <c r="A960" s="10"/>
      <c r="B960" s="11"/>
      <c r="C960" s="10"/>
      <c r="D960" s="11"/>
      <c r="E960" s="10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0"/>
      <c r="V960" s="11"/>
      <c r="W960" s="10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2.75" customHeight="1">
      <c r="A961" s="10"/>
      <c r="B961" s="11"/>
      <c r="C961" s="10"/>
      <c r="D961" s="11"/>
      <c r="E961" s="10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0"/>
      <c r="V961" s="11"/>
      <c r="W961" s="10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2.75" customHeight="1">
      <c r="A962" s="10"/>
      <c r="B962" s="11"/>
      <c r="C962" s="10"/>
      <c r="D962" s="11"/>
      <c r="E962" s="10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0"/>
      <c r="V962" s="11"/>
      <c r="W962" s="10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2.75" customHeight="1">
      <c r="A963" s="10"/>
      <c r="B963" s="11"/>
      <c r="C963" s="10"/>
      <c r="D963" s="11"/>
      <c r="E963" s="10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0"/>
      <c r="V963" s="11"/>
      <c r="W963" s="10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2.75" customHeight="1">
      <c r="A964" s="10"/>
      <c r="B964" s="11"/>
      <c r="C964" s="10"/>
      <c r="D964" s="11"/>
      <c r="E964" s="10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0"/>
      <c r="V964" s="11"/>
      <c r="W964" s="10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2.75" customHeight="1">
      <c r="A965" s="10"/>
      <c r="B965" s="11"/>
      <c r="C965" s="10"/>
      <c r="D965" s="11"/>
      <c r="E965" s="10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0"/>
      <c r="V965" s="11"/>
      <c r="W965" s="10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2.75" customHeight="1">
      <c r="A966" s="10"/>
      <c r="B966" s="11"/>
      <c r="C966" s="10"/>
      <c r="D966" s="11"/>
      <c r="E966" s="10"/>
      <c r="F966" s="1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0"/>
      <c r="V966" s="11"/>
      <c r="W966" s="10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2.75" customHeight="1">
      <c r="A967" s="10"/>
      <c r="B967" s="11"/>
      <c r="C967" s="10"/>
      <c r="D967" s="11"/>
      <c r="E967" s="10"/>
      <c r="F967" s="1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0"/>
      <c r="V967" s="11"/>
      <c r="W967" s="10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2.75" customHeight="1">
      <c r="A968" s="10"/>
      <c r="B968" s="11"/>
      <c r="C968" s="10"/>
      <c r="D968" s="11"/>
      <c r="E968" s="10"/>
      <c r="F968" s="1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0"/>
      <c r="V968" s="11"/>
      <c r="W968" s="10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2.75" customHeight="1">
      <c r="A969" s="10"/>
      <c r="B969" s="11"/>
      <c r="C969" s="10"/>
      <c r="D969" s="11"/>
      <c r="E969" s="10"/>
      <c r="F969" s="1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0"/>
      <c r="V969" s="11"/>
      <c r="W969" s="10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2.75" customHeight="1">
      <c r="A970" s="10"/>
      <c r="B970" s="11"/>
      <c r="C970" s="10"/>
      <c r="D970" s="11"/>
      <c r="E970" s="10"/>
      <c r="F970" s="1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0"/>
      <c r="V970" s="11"/>
      <c r="W970" s="10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2.75" customHeight="1">
      <c r="A971" s="10"/>
      <c r="B971" s="11"/>
      <c r="C971" s="10"/>
      <c r="D971" s="11"/>
      <c r="E971" s="10"/>
      <c r="F971" s="1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0"/>
      <c r="V971" s="11"/>
      <c r="W971" s="10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2.75" customHeight="1">
      <c r="A972" s="10"/>
      <c r="B972" s="11"/>
      <c r="C972" s="10"/>
      <c r="D972" s="11"/>
      <c r="E972" s="10"/>
      <c r="F972" s="1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0"/>
      <c r="V972" s="11"/>
      <c r="W972" s="10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2.75" customHeight="1">
      <c r="A973" s="10"/>
      <c r="B973" s="11"/>
      <c r="C973" s="10"/>
      <c r="D973" s="11"/>
      <c r="E973" s="10"/>
      <c r="F973" s="1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0"/>
      <c r="V973" s="11"/>
      <c r="W973" s="10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2.75" customHeight="1">
      <c r="A974" s="10"/>
      <c r="B974" s="11"/>
      <c r="C974" s="10"/>
      <c r="D974" s="11"/>
      <c r="E974" s="10"/>
      <c r="F974" s="1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0"/>
      <c r="V974" s="11"/>
      <c r="W974" s="10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2.75" customHeight="1">
      <c r="A975" s="10"/>
      <c r="B975" s="11"/>
      <c r="C975" s="10"/>
      <c r="D975" s="11"/>
      <c r="E975" s="10"/>
      <c r="F975" s="1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0"/>
      <c r="V975" s="11"/>
      <c r="W975" s="10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2.75" customHeight="1">
      <c r="A976" s="10"/>
      <c r="B976" s="11"/>
      <c r="C976" s="10"/>
      <c r="D976" s="11"/>
      <c r="E976" s="10"/>
      <c r="F976" s="1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0"/>
      <c r="V976" s="11"/>
      <c r="W976" s="10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2.75" customHeight="1">
      <c r="A977" s="10"/>
      <c r="B977" s="11"/>
      <c r="C977" s="10"/>
      <c r="D977" s="11"/>
      <c r="E977" s="10"/>
      <c r="F977" s="1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0"/>
      <c r="V977" s="11"/>
      <c r="W977" s="10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2.75" customHeight="1">
      <c r="A978" s="10"/>
      <c r="B978" s="11"/>
      <c r="C978" s="10"/>
      <c r="D978" s="11"/>
      <c r="E978" s="10"/>
      <c r="F978" s="1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0"/>
      <c r="V978" s="11"/>
      <c r="W978" s="10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2.75" customHeight="1">
      <c r="A979" s="10"/>
      <c r="B979" s="11"/>
      <c r="C979" s="10"/>
      <c r="D979" s="11"/>
      <c r="E979" s="10"/>
      <c r="F979" s="1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0"/>
      <c r="V979" s="11"/>
      <c r="W979" s="10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2.75" customHeight="1">
      <c r="A980" s="10"/>
      <c r="B980" s="11"/>
      <c r="C980" s="10"/>
      <c r="D980" s="11"/>
      <c r="E980" s="10"/>
      <c r="F980" s="1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0"/>
      <c r="V980" s="11"/>
      <c r="W980" s="10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2.75" customHeight="1">
      <c r="A981" s="10"/>
      <c r="B981" s="11"/>
      <c r="C981" s="10"/>
      <c r="D981" s="11"/>
      <c r="E981" s="10"/>
      <c r="F981" s="1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0"/>
      <c r="V981" s="11"/>
      <c r="W981" s="10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2.75" customHeight="1">
      <c r="A982" s="10"/>
      <c r="B982" s="11"/>
      <c r="C982" s="10"/>
      <c r="D982" s="11"/>
      <c r="E982" s="10"/>
      <c r="F982" s="1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0"/>
      <c r="V982" s="11"/>
      <c r="W982" s="10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2.75" customHeight="1">
      <c r="A983" s="10"/>
      <c r="B983" s="11"/>
      <c r="C983" s="10"/>
      <c r="D983" s="11"/>
      <c r="E983" s="10"/>
      <c r="F983" s="1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0"/>
      <c r="V983" s="11"/>
      <c r="W983" s="10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2.75" customHeight="1">
      <c r="A984" s="10"/>
      <c r="B984" s="11"/>
      <c r="C984" s="10"/>
      <c r="D984" s="11"/>
      <c r="E984" s="10"/>
      <c r="F984" s="1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0"/>
      <c r="V984" s="11"/>
      <c r="W984" s="10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2.75" customHeight="1">
      <c r="A985" s="10"/>
      <c r="B985" s="11"/>
      <c r="C985" s="10"/>
      <c r="D985" s="11"/>
      <c r="E985" s="10"/>
      <c r="F985" s="1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0"/>
      <c r="V985" s="11"/>
      <c r="W985" s="10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2.75" customHeight="1">
      <c r="A986" s="10"/>
      <c r="B986" s="11"/>
      <c r="C986" s="10"/>
      <c r="D986" s="11"/>
      <c r="E986" s="10"/>
      <c r="F986" s="1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0"/>
      <c r="V986" s="11"/>
      <c r="W986" s="10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2.75" customHeight="1">
      <c r="A987" s="10"/>
      <c r="B987" s="11"/>
      <c r="C987" s="10"/>
      <c r="D987" s="11"/>
      <c r="E987" s="10"/>
      <c r="F987" s="1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0"/>
      <c r="V987" s="11"/>
      <c r="W987" s="10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2.75" customHeight="1">
      <c r="A988" s="10"/>
      <c r="B988" s="11"/>
      <c r="C988" s="10"/>
      <c r="D988" s="11"/>
      <c r="E988" s="10"/>
      <c r="F988" s="1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0"/>
      <c r="V988" s="11"/>
      <c r="W988" s="10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2.75" customHeight="1">
      <c r="A989" s="10"/>
      <c r="B989" s="11"/>
      <c r="C989" s="10"/>
      <c r="D989" s="11"/>
      <c r="E989" s="10"/>
      <c r="F989" s="1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0"/>
      <c r="V989" s="11"/>
      <c r="W989" s="10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2.75" customHeight="1">
      <c r="A990" s="10"/>
      <c r="B990" s="11"/>
      <c r="C990" s="10"/>
      <c r="D990" s="11"/>
      <c r="E990" s="10"/>
      <c r="F990" s="1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0"/>
      <c r="V990" s="11"/>
      <c r="W990" s="10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2.75" customHeight="1">
      <c r="A991" s="10"/>
      <c r="B991" s="11"/>
      <c r="C991" s="10"/>
      <c r="D991" s="11"/>
      <c r="E991" s="10"/>
      <c r="F991" s="1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0"/>
      <c r="V991" s="11"/>
      <c r="W991" s="10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2.75" customHeight="1">
      <c r="A992" s="10"/>
      <c r="B992" s="11"/>
      <c r="C992" s="10"/>
      <c r="D992" s="11"/>
      <c r="E992" s="10"/>
      <c r="F992" s="1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0"/>
      <c r="V992" s="11"/>
      <c r="W992" s="10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2.75" customHeight="1">
      <c r="A993" s="10"/>
      <c r="B993" s="11"/>
      <c r="C993" s="10"/>
      <c r="D993" s="11"/>
      <c r="E993" s="10"/>
      <c r="F993" s="1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0"/>
      <c r="V993" s="11"/>
      <c r="W993" s="10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2.75" customHeight="1">
      <c r="A994" s="10"/>
      <c r="B994" s="11"/>
      <c r="C994" s="10"/>
      <c r="D994" s="11"/>
      <c r="E994" s="10"/>
      <c r="F994" s="1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0"/>
      <c r="V994" s="11"/>
      <c r="W994" s="10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2.75" customHeight="1">
      <c r="A995" s="10"/>
      <c r="B995" s="11"/>
      <c r="C995" s="10"/>
      <c r="D995" s="11"/>
      <c r="E995" s="10"/>
      <c r="F995" s="1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0"/>
      <c r="V995" s="11"/>
      <c r="W995" s="10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2.75" customHeight="1">
      <c r="A996" s="10"/>
      <c r="B996" s="11"/>
      <c r="C996" s="10"/>
      <c r="D996" s="11"/>
      <c r="E996" s="10"/>
      <c r="F996" s="1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0"/>
      <c r="V996" s="11"/>
      <c r="W996" s="10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2.75" customHeight="1">
      <c r="A997" s="10"/>
      <c r="B997" s="11"/>
      <c r="C997" s="10"/>
      <c r="D997" s="11"/>
      <c r="E997" s="10"/>
      <c r="F997" s="1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0"/>
      <c r="V997" s="11"/>
      <c r="W997" s="10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2.75" customHeight="1">
      <c r="A998" s="10"/>
      <c r="B998" s="11"/>
      <c r="C998" s="10"/>
      <c r="D998" s="11"/>
      <c r="E998" s="10"/>
      <c r="F998" s="1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0"/>
      <c r="V998" s="11"/>
      <c r="W998" s="10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2.75" customHeight="1">
      <c r="A999" s="10"/>
      <c r="B999" s="11"/>
      <c r="C999" s="10"/>
      <c r="D999" s="11"/>
      <c r="E999" s="10"/>
      <c r="F999" s="1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0"/>
      <c r="V999" s="11"/>
      <c r="W999" s="10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2.75" customHeight="1">
      <c r="A1000" s="10"/>
      <c r="B1000" s="11"/>
      <c r="C1000" s="10"/>
      <c r="D1000" s="11"/>
      <c r="E1000" s="10"/>
      <c r="F1000" s="1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0"/>
      <c r="V1000" s="11"/>
      <c r="W1000" s="10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5.13" defaultRowHeight="15.0"/>
  <cols>
    <col customWidth="1" min="1" max="1" width="4.0"/>
    <col customWidth="1" min="2" max="2" width="7.75"/>
    <col customWidth="1" min="3" max="3" width="10.88"/>
    <col customWidth="1" min="4" max="4" width="3.0"/>
    <col customWidth="1" min="5" max="5" width="2.63"/>
    <col customWidth="1" min="6" max="6" width="6.63"/>
    <col customWidth="1" min="7" max="12" width="3.63"/>
    <col customWidth="1" min="13" max="13" width="4.63"/>
    <col customWidth="1" min="14" max="19" width="4.5"/>
    <col customWidth="1" min="20" max="20" width="5.38"/>
    <col customWidth="1" min="21" max="21" width="3.13"/>
    <col customWidth="1" min="22" max="22" width="9.0"/>
    <col customWidth="1" min="23" max="23" width="3.13"/>
    <col customWidth="1" min="24" max="24" width="2.63"/>
    <col customWidth="1" min="25" max="25" width="7.25"/>
    <col customWidth="1" min="26" max="26" width="7.88"/>
    <col customWidth="1" min="27" max="3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3">
        <v>1.0</v>
      </c>
      <c r="B2" s="4" t="s">
        <v>26</v>
      </c>
      <c r="C2" s="3"/>
      <c r="D2" s="4">
        <v>7.0</v>
      </c>
      <c r="E2" s="3">
        <v>5.0</v>
      </c>
      <c r="F2" s="3">
        <f t="shared" ref="F2:F49" si="1">D2-E2</f>
        <v>2</v>
      </c>
      <c r="G2" s="5">
        <v>0.0</v>
      </c>
      <c r="H2" s="5">
        <v>0.0</v>
      </c>
      <c r="I2" s="5">
        <v>2.0</v>
      </c>
      <c r="J2" s="5">
        <v>2.0</v>
      </c>
      <c r="K2" s="5">
        <v>2.0</v>
      </c>
      <c r="L2" s="5">
        <v>2.0</v>
      </c>
      <c r="M2" s="4" t="s">
        <v>27</v>
      </c>
      <c r="N2" s="5">
        <f>(E2-1)+VLOOKUP(M2,Size,2,0)</f>
        <v>6</v>
      </c>
      <c r="O2" s="5">
        <f>VLOOKUP(E2,LevelData,4)</f>
        <v>5</v>
      </c>
      <c r="P2" s="5">
        <f>O2+VLOOKUP(M2,Size,3,0)</f>
        <v>7</v>
      </c>
      <c r="Q2" s="5">
        <f t="shared" ref="Q2:Q49" si="2">R2</f>
        <v>4</v>
      </c>
      <c r="R2" s="5">
        <f>VLOOKUP(E2,LevelData,2)</f>
        <v>4</v>
      </c>
      <c r="S2" s="5">
        <f t="shared" ref="S2:S49" si="3">R2</f>
        <v>4</v>
      </c>
      <c r="T2" s="4"/>
      <c r="U2" s="3"/>
      <c r="V2" s="6"/>
      <c r="W2" s="3"/>
      <c r="X2" s="4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3">
        <f t="shared" ref="A3:A49" si="4">A2+1</f>
        <v>2</v>
      </c>
      <c r="B3" s="4"/>
      <c r="C3" s="3"/>
      <c r="D3" s="4">
        <f t="shared" ref="D3:D49" si="5">D2+1</f>
        <v>8</v>
      </c>
      <c r="E3" s="3">
        <v>6.0</v>
      </c>
      <c r="F3" s="3">
        <f t="shared" si="1"/>
        <v>2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4" t="s">
        <v>27</v>
      </c>
      <c r="N3" s="5">
        <f>(E3-1)+VLOOKUP(M3,Size,2,0)</f>
        <v>7</v>
      </c>
      <c r="O3" s="5">
        <f>VLOOKUP(E3,LevelData,4)</f>
        <v>6</v>
      </c>
      <c r="P3" s="5">
        <f>O3+VLOOKUP(M3,Size,3,0)</f>
        <v>8</v>
      </c>
      <c r="Q3" s="5">
        <f t="shared" si="2"/>
        <v>5</v>
      </c>
      <c r="R3" s="5">
        <f>VLOOKUP(E3,LevelData,2)</f>
        <v>5</v>
      </c>
      <c r="S3" s="5">
        <f t="shared" si="3"/>
        <v>5</v>
      </c>
      <c r="T3" s="4"/>
      <c r="U3" s="3"/>
      <c r="V3" s="4"/>
      <c r="W3" s="3"/>
      <c r="X3" s="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3">
        <f t="shared" si="4"/>
        <v>3</v>
      </c>
      <c r="B4" s="4"/>
      <c r="C4" s="3"/>
      <c r="D4" s="4">
        <f t="shared" si="5"/>
        <v>9</v>
      </c>
      <c r="E4" s="3">
        <v>7.0</v>
      </c>
      <c r="F4" s="3">
        <f t="shared" si="1"/>
        <v>2</v>
      </c>
      <c r="G4" s="5">
        <v>1.0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4" t="s">
        <v>27</v>
      </c>
      <c r="N4" s="5">
        <f>(E4-1)+VLOOKUP(M4,Size,2,0)</f>
        <v>8</v>
      </c>
      <c r="O4" s="5">
        <f>VLOOKUP(E4,LevelData,4)</f>
        <v>7</v>
      </c>
      <c r="P4" s="5">
        <f>O4+VLOOKUP(M4,Size,3,0)</f>
        <v>9</v>
      </c>
      <c r="Q4" s="5">
        <f t="shared" si="2"/>
        <v>5</v>
      </c>
      <c r="R4" s="5">
        <f>VLOOKUP(E4,LevelData,2)</f>
        <v>5</v>
      </c>
      <c r="S4" s="5">
        <f t="shared" si="3"/>
        <v>5</v>
      </c>
      <c r="T4" s="4"/>
      <c r="U4" s="3"/>
      <c r="V4" s="4"/>
      <c r="W4" s="3"/>
      <c r="X4" s="4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2.75" customHeight="1">
      <c r="A5" s="7">
        <f t="shared" si="4"/>
        <v>4</v>
      </c>
      <c r="B5" s="8"/>
      <c r="C5" s="7"/>
      <c r="D5" s="8">
        <f t="shared" si="5"/>
        <v>10</v>
      </c>
      <c r="E5" s="7">
        <v>7.0</v>
      </c>
      <c r="F5" s="7">
        <f t="shared" si="1"/>
        <v>3</v>
      </c>
      <c r="G5" s="9">
        <v>0.0</v>
      </c>
      <c r="H5" s="9">
        <v>0.0</v>
      </c>
      <c r="I5" s="9">
        <v>0.0</v>
      </c>
      <c r="J5" s="9">
        <v>0.0</v>
      </c>
      <c r="K5" s="9">
        <v>0.0</v>
      </c>
      <c r="L5" s="9">
        <v>0.0</v>
      </c>
      <c r="M5" s="8" t="s">
        <v>27</v>
      </c>
      <c r="N5" s="9">
        <f>(E5-1)+VLOOKUP(M5,Size,2,0)</f>
        <v>8</v>
      </c>
      <c r="O5" s="9">
        <f>VLOOKUP(E5,LevelData,4)</f>
        <v>7</v>
      </c>
      <c r="P5" s="9">
        <f>O5+VLOOKUP(M5,Size,3,0)</f>
        <v>9</v>
      </c>
      <c r="Q5" s="9">
        <f t="shared" si="2"/>
        <v>5</v>
      </c>
      <c r="R5" s="9">
        <f>VLOOKUP(E5,LevelData,2)</f>
        <v>5</v>
      </c>
      <c r="S5" s="9">
        <f t="shared" si="3"/>
        <v>5</v>
      </c>
      <c r="T5" s="8"/>
      <c r="U5" s="7"/>
      <c r="V5" s="8"/>
      <c r="W5" s="7"/>
      <c r="X5" s="8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t="12.75" customHeight="1">
      <c r="A6" s="10">
        <f t="shared" si="4"/>
        <v>5</v>
      </c>
      <c r="B6" s="11" t="s">
        <v>35</v>
      </c>
      <c r="C6" s="10"/>
      <c r="D6" s="11">
        <f t="shared" si="5"/>
        <v>11</v>
      </c>
      <c r="E6" s="10">
        <v>8.0</v>
      </c>
      <c r="F6" s="10">
        <f t="shared" si="1"/>
        <v>3</v>
      </c>
      <c r="G6" s="12">
        <v>13.0</v>
      </c>
      <c r="H6" s="12">
        <v>10.0</v>
      </c>
      <c r="I6" s="12">
        <v>13.0</v>
      </c>
      <c r="J6" s="12">
        <v>12.0</v>
      </c>
      <c r="K6" s="12">
        <v>13.0</v>
      </c>
      <c r="L6" s="12">
        <v>12.0</v>
      </c>
      <c r="M6" s="11" t="s">
        <v>36</v>
      </c>
      <c r="N6" s="12">
        <f>(E6-1)+VLOOKUP(M6,Size,2,0)</f>
        <v>8</v>
      </c>
      <c r="O6" s="12">
        <f>VLOOKUP(E6,LevelData,4)</f>
        <v>8</v>
      </c>
      <c r="P6" s="12">
        <f>O6+VLOOKUP(M6,Size,3,0)</f>
        <v>9</v>
      </c>
      <c r="Q6" s="12">
        <f t="shared" si="2"/>
        <v>6</v>
      </c>
      <c r="R6" s="12">
        <f>VLOOKUP(E6,LevelData,2)</f>
        <v>6</v>
      </c>
      <c r="S6" s="12">
        <f t="shared" si="3"/>
        <v>6</v>
      </c>
      <c r="T6" s="11"/>
      <c r="U6" s="10"/>
      <c r="V6" s="11"/>
      <c r="W6" s="10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2.75" customHeight="1">
      <c r="A7" s="10">
        <f t="shared" si="4"/>
        <v>6</v>
      </c>
      <c r="B7" s="11"/>
      <c r="C7" s="10"/>
      <c r="D7" s="11">
        <f t="shared" si="5"/>
        <v>12</v>
      </c>
      <c r="E7" s="10">
        <v>9.0</v>
      </c>
      <c r="F7" s="10">
        <f t="shared" si="1"/>
        <v>3</v>
      </c>
      <c r="G7" s="12"/>
      <c r="H7" s="12"/>
      <c r="I7" s="12"/>
      <c r="J7" s="12"/>
      <c r="K7" s="12"/>
      <c r="L7" s="12"/>
      <c r="M7" s="11" t="s">
        <v>36</v>
      </c>
      <c r="N7" s="12">
        <f>(E7-1)+VLOOKUP(M7,Size,2,0)</f>
        <v>9</v>
      </c>
      <c r="O7" s="12">
        <f>VLOOKUP(E7,LevelData,4)</f>
        <v>9</v>
      </c>
      <c r="P7" s="12">
        <f>O7+VLOOKUP(M7,Size,3,0)</f>
        <v>10</v>
      </c>
      <c r="Q7" s="12">
        <f t="shared" si="2"/>
        <v>6</v>
      </c>
      <c r="R7" s="12">
        <f>VLOOKUP(E7,LevelData,2)</f>
        <v>6</v>
      </c>
      <c r="S7" s="12">
        <f t="shared" si="3"/>
        <v>6</v>
      </c>
      <c r="T7" s="11"/>
      <c r="U7" s="10"/>
      <c r="V7" s="11"/>
      <c r="W7" s="10"/>
      <c r="X7" s="11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2.75" customHeight="1">
      <c r="A8" s="10">
        <f t="shared" si="4"/>
        <v>7</v>
      </c>
      <c r="B8" s="11"/>
      <c r="C8" s="10"/>
      <c r="D8" s="11">
        <f t="shared" si="5"/>
        <v>13</v>
      </c>
      <c r="E8" s="10">
        <v>10.0</v>
      </c>
      <c r="F8" s="10">
        <f t="shared" si="1"/>
        <v>3</v>
      </c>
      <c r="G8" s="12"/>
      <c r="H8" s="12"/>
      <c r="I8" s="12"/>
      <c r="J8" s="12"/>
      <c r="K8" s="12"/>
      <c r="L8" s="12"/>
      <c r="M8" s="11" t="s">
        <v>36</v>
      </c>
      <c r="N8" s="12">
        <f>(E8-1)+VLOOKUP(M8,Size,2,0)</f>
        <v>10</v>
      </c>
      <c r="O8" s="12">
        <f>VLOOKUP(E8,LevelData,4)</f>
        <v>10</v>
      </c>
      <c r="P8" s="12">
        <f>O8+VLOOKUP(M8,Size,3,0)</f>
        <v>11</v>
      </c>
      <c r="Q8" s="12">
        <f t="shared" si="2"/>
        <v>7</v>
      </c>
      <c r="R8" s="12">
        <f>VLOOKUP(E8,LevelData,2)</f>
        <v>7</v>
      </c>
      <c r="S8" s="12">
        <f t="shared" si="3"/>
        <v>7</v>
      </c>
      <c r="T8" s="11"/>
      <c r="U8" s="10"/>
      <c r="V8" s="11"/>
      <c r="W8" s="10"/>
      <c r="X8" s="11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12.75" customHeight="1">
      <c r="A9" s="1">
        <f t="shared" si="4"/>
        <v>8</v>
      </c>
      <c r="B9" s="2"/>
      <c r="C9" s="1"/>
      <c r="D9" s="2">
        <f t="shared" si="5"/>
        <v>14</v>
      </c>
      <c r="E9" s="1">
        <v>10.0</v>
      </c>
      <c r="F9" s="1">
        <f t="shared" si="1"/>
        <v>4</v>
      </c>
      <c r="G9" s="13"/>
      <c r="H9" s="13"/>
      <c r="I9" s="13"/>
      <c r="J9" s="13"/>
      <c r="K9" s="13"/>
      <c r="L9" s="13"/>
      <c r="M9" s="2" t="s">
        <v>36</v>
      </c>
      <c r="N9" s="13">
        <f>(E9-1)+VLOOKUP(M9,Size,2,0)</f>
        <v>10</v>
      </c>
      <c r="O9" s="13">
        <f>VLOOKUP(E9,LevelData,4)</f>
        <v>10</v>
      </c>
      <c r="P9" s="13">
        <f>O9+VLOOKUP(M9,Size,3,0)</f>
        <v>11</v>
      </c>
      <c r="Q9" s="13">
        <f t="shared" si="2"/>
        <v>7</v>
      </c>
      <c r="R9" s="13">
        <f>VLOOKUP(E9,LevelData,2)</f>
        <v>7</v>
      </c>
      <c r="S9" s="13">
        <f t="shared" si="3"/>
        <v>7</v>
      </c>
      <c r="T9" s="2"/>
      <c r="U9" s="1"/>
      <c r="V9" s="2"/>
      <c r="W9" s="1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2.75" customHeight="1">
      <c r="A10" s="3">
        <f t="shared" si="4"/>
        <v>9</v>
      </c>
      <c r="B10" s="4" t="s">
        <v>39</v>
      </c>
      <c r="C10" s="3"/>
      <c r="D10" s="4">
        <f t="shared" si="5"/>
        <v>15</v>
      </c>
      <c r="E10" s="3">
        <v>11.0</v>
      </c>
      <c r="F10" s="3">
        <f t="shared" si="1"/>
        <v>4</v>
      </c>
      <c r="G10" s="5">
        <v>15.0</v>
      </c>
      <c r="H10" s="5">
        <v>10.0</v>
      </c>
      <c r="I10" s="5">
        <v>15.0</v>
      </c>
      <c r="J10" s="5">
        <v>14.0</v>
      </c>
      <c r="K10" s="5">
        <v>15.0</v>
      </c>
      <c r="L10" s="5">
        <v>14.0</v>
      </c>
      <c r="M10" s="4" t="s">
        <v>40</v>
      </c>
      <c r="N10" s="5">
        <f>(E10-1)+VLOOKUP(M10,Size,2,0)</f>
        <v>10</v>
      </c>
      <c r="O10" s="5">
        <f>VLOOKUP(E10,LevelData,4)</f>
        <v>11</v>
      </c>
      <c r="P10" s="5">
        <f>O10+VLOOKUP(M10,Size,3,0)</f>
        <v>11</v>
      </c>
      <c r="Q10" s="5">
        <f t="shared" si="2"/>
        <v>7</v>
      </c>
      <c r="R10" s="5">
        <f>VLOOKUP(E10,LevelData,2)</f>
        <v>7</v>
      </c>
      <c r="S10" s="5">
        <f t="shared" si="3"/>
        <v>7</v>
      </c>
      <c r="T10" s="4"/>
      <c r="U10" s="3"/>
      <c r="V10" s="4"/>
      <c r="W10" s="3"/>
      <c r="X10" s="4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3">
        <f t="shared" si="4"/>
        <v>10</v>
      </c>
      <c r="B11" s="4"/>
      <c r="C11" s="3"/>
      <c r="D11" s="4">
        <f t="shared" si="5"/>
        <v>16</v>
      </c>
      <c r="E11" s="3">
        <v>12.0</v>
      </c>
      <c r="F11" s="3">
        <f t="shared" si="1"/>
        <v>4</v>
      </c>
      <c r="G11" s="5"/>
      <c r="H11" s="5"/>
      <c r="I11" s="5"/>
      <c r="J11" s="5"/>
      <c r="K11" s="5"/>
      <c r="L11" s="5"/>
      <c r="M11" s="4" t="s">
        <v>40</v>
      </c>
      <c r="N11" s="5">
        <f>(E11-1)+VLOOKUP(M11,Size,2,0)</f>
        <v>11</v>
      </c>
      <c r="O11" s="5">
        <f>VLOOKUP(E11,LevelData,4)</f>
        <v>12</v>
      </c>
      <c r="P11" s="5">
        <f>O11+VLOOKUP(M11,Size,3,0)</f>
        <v>12</v>
      </c>
      <c r="Q11" s="5">
        <f t="shared" si="2"/>
        <v>8</v>
      </c>
      <c r="R11" s="5">
        <f>VLOOKUP(E11,LevelData,2)</f>
        <v>8</v>
      </c>
      <c r="S11" s="5">
        <f t="shared" si="3"/>
        <v>8</v>
      </c>
      <c r="T11" s="4"/>
      <c r="U11" s="3"/>
      <c r="V11" s="4"/>
      <c r="W11" s="3"/>
      <c r="X11" s="4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2.75" customHeight="1">
      <c r="A12" s="7">
        <f t="shared" si="4"/>
        <v>11</v>
      </c>
      <c r="B12" s="8"/>
      <c r="C12" s="7"/>
      <c r="D12" s="8">
        <f t="shared" si="5"/>
        <v>17</v>
      </c>
      <c r="E12" s="7">
        <v>13.0</v>
      </c>
      <c r="F12" s="7">
        <f t="shared" si="1"/>
        <v>4</v>
      </c>
      <c r="G12" s="9"/>
      <c r="H12" s="9"/>
      <c r="I12" s="9"/>
      <c r="J12" s="9"/>
      <c r="K12" s="9"/>
      <c r="L12" s="9"/>
      <c r="M12" s="8" t="s">
        <v>40</v>
      </c>
      <c r="N12" s="9">
        <f>(E12-1)+VLOOKUP(M12,Size,2,0)</f>
        <v>12</v>
      </c>
      <c r="O12" s="9">
        <f>VLOOKUP(E12,LevelData,4)</f>
        <v>13</v>
      </c>
      <c r="P12" s="9">
        <f>O12+VLOOKUP(M12,Size,3,0)</f>
        <v>13</v>
      </c>
      <c r="Q12" s="9">
        <f t="shared" si="2"/>
        <v>8</v>
      </c>
      <c r="R12" s="9">
        <f>VLOOKUP(E12,LevelData,2)</f>
        <v>8</v>
      </c>
      <c r="S12" s="9">
        <f t="shared" si="3"/>
        <v>8</v>
      </c>
      <c r="T12" s="8"/>
      <c r="U12" s="7"/>
      <c r="V12" s="8"/>
      <c r="W12" s="7"/>
      <c r="X12" s="8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ht="12.75" customHeight="1">
      <c r="A13" s="10">
        <f t="shared" si="4"/>
        <v>12</v>
      </c>
      <c r="B13" s="11" t="s">
        <v>44</v>
      </c>
      <c r="C13" s="10"/>
      <c r="D13" s="11">
        <f t="shared" si="5"/>
        <v>18</v>
      </c>
      <c r="E13" s="10">
        <v>14.0</v>
      </c>
      <c r="F13" s="10">
        <f t="shared" si="1"/>
        <v>4</v>
      </c>
      <c r="G13" s="12">
        <v>17.0</v>
      </c>
      <c r="H13" s="12">
        <v>10.0</v>
      </c>
      <c r="I13" s="12">
        <v>15.0</v>
      </c>
      <c r="J13" s="12">
        <v>14.0</v>
      </c>
      <c r="K13" s="12">
        <v>15.0</v>
      </c>
      <c r="L13" s="12">
        <v>14.0</v>
      </c>
      <c r="M13" s="11" t="s">
        <v>40</v>
      </c>
      <c r="N13" s="12">
        <f>(E13-1)+VLOOKUP(M13,Size,2,0)</f>
        <v>13</v>
      </c>
      <c r="O13" s="12">
        <f>VLOOKUP(E13,LevelData,4)</f>
        <v>14</v>
      </c>
      <c r="P13" s="12">
        <f>O13+VLOOKUP(M13,Size,3,0)</f>
        <v>14</v>
      </c>
      <c r="Q13" s="12">
        <f t="shared" si="2"/>
        <v>9</v>
      </c>
      <c r="R13" s="12">
        <f>VLOOKUP(E13,LevelData,2)</f>
        <v>9</v>
      </c>
      <c r="S13" s="12">
        <f t="shared" si="3"/>
        <v>9</v>
      </c>
      <c r="T13" s="11"/>
      <c r="U13" s="10"/>
      <c r="V13" s="11"/>
      <c r="W13" s="10"/>
      <c r="X13" s="11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12.75" customHeight="1">
      <c r="A14" s="10">
        <f t="shared" si="4"/>
        <v>13</v>
      </c>
      <c r="B14" s="11"/>
      <c r="C14" s="10">
        <v>26.0</v>
      </c>
      <c r="D14" s="11">
        <f t="shared" si="5"/>
        <v>19</v>
      </c>
      <c r="E14" s="10">
        <v>15.0</v>
      </c>
      <c r="F14" s="10">
        <f t="shared" si="1"/>
        <v>4</v>
      </c>
      <c r="G14" s="12"/>
      <c r="H14" s="12"/>
      <c r="I14" s="12"/>
      <c r="J14" s="12"/>
      <c r="K14" s="12"/>
      <c r="L14" s="12"/>
      <c r="M14" s="11" t="s">
        <v>40</v>
      </c>
      <c r="N14" s="12">
        <f>(E14-1)+VLOOKUP(M14,Size,2,0)</f>
        <v>14</v>
      </c>
      <c r="O14" s="12">
        <f>VLOOKUP(E14,LevelData,4)</f>
        <v>15</v>
      </c>
      <c r="P14" s="12">
        <f>O14+VLOOKUP(M14,Size,3,0)</f>
        <v>15</v>
      </c>
      <c r="Q14" s="12">
        <f t="shared" si="2"/>
        <v>9</v>
      </c>
      <c r="R14" s="12">
        <f>VLOOKUP(E14,LevelData,2)</f>
        <v>9</v>
      </c>
      <c r="S14" s="12">
        <f t="shared" si="3"/>
        <v>9</v>
      </c>
      <c r="T14" s="11"/>
      <c r="U14" s="10"/>
      <c r="V14" s="11"/>
      <c r="W14" s="10"/>
      <c r="X14" s="11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2.75" customHeight="1">
      <c r="A15" s="10">
        <f t="shared" si="4"/>
        <v>14</v>
      </c>
      <c r="B15" s="11"/>
      <c r="C15" s="10">
        <v>32.0</v>
      </c>
      <c r="D15" s="11">
        <f t="shared" si="5"/>
        <v>20</v>
      </c>
      <c r="E15" s="10">
        <v>16.0</v>
      </c>
      <c r="F15" s="10">
        <f t="shared" si="1"/>
        <v>4</v>
      </c>
      <c r="G15" s="12"/>
      <c r="H15" s="12"/>
      <c r="I15" s="12"/>
      <c r="J15" s="12"/>
      <c r="K15" s="12"/>
      <c r="L15" s="12"/>
      <c r="M15" s="11" t="s">
        <v>40</v>
      </c>
      <c r="N15" s="12">
        <f>(E15-1)+VLOOKUP(M15,Size,2,0)</f>
        <v>15</v>
      </c>
      <c r="O15" s="12">
        <f>VLOOKUP(E15,LevelData,4)</f>
        <v>16</v>
      </c>
      <c r="P15" s="12">
        <f>O15+VLOOKUP(M15,Size,3,0)</f>
        <v>16</v>
      </c>
      <c r="Q15" s="12">
        <f t="shared" si="2"/>
        <v>10</v>
      </c>
      <c r="R15" s="12">
        <f>VLOOKUP(E15,LevelData,2)</f>
        <v>10</v>
      </c>
      <c r="S15" s="12">
        <f t="shared" si="3"/>
        <v>10</v>
      </c>
      <c r="T15" s="11"/>
      <c r="U15" s="10"/>
      <c r="V15" s="11"/>
      <c r="W15" s="10"/>
      <c r="X15" s="11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2.75" customHeight="1">
      <c r="A16" s="1">
        <f t="shared" si="4"/>
        <v>15</v>
      </c>
      <c r="B16" s="2"/>
      <c r="C16" s="1">
        <v>39.0</v>
      </c>
      <c r="D16" s="2">
        <f t="shared" si="5"/>
        <v>21</v>
      </c>
      <c r="E16" s="1">
        <v>16.0</v>
      </c>
      <c r="F16" s="1">
        <f t="shared" si="1"/>
        <v>5</v>
      </c>
      <c r="G16" s="13"/>
      <c r="H16" s="13"/>
      <c r="I16" s="13"/>
      <c r="J16" s="13"/>
      <c r="K16" s="13"/>
      <c r="L16" s="13"/>
      <c r="M16" s="2" t="s">
        <v>40</v>
      </c>
      <c r="N16" s="13">
        <f>(E16-1)+VLOOKUP(M16,Size,2,0)</f>
        <v>15</v>
      </c>
      <c r="O16" s="13">
        <f>VLOOKUP(E16,LevelData,4)</f>
        <v>16</v>
      </c>
      <c r="P16" s="13">
        <f>O16+VLOOKUP(M16,Size,3,0)</f>
        <v>16</v>
      </c>
      <c r="Q16" s="13">
        <f t="shared" si="2"/>
        <v>10</v>
      </c>
      <c r="R16" s="13">
        <f>VLOOKUP(E16,LevelData,2)</f>
        <v>10</v>
      </c>
      <c r="S16" s="13">
        <f t="shared" si="3"/>
        <v>10</v>
      </c>
      <c r="T16" s="2"/>
      <c r="U16" s="1"/>
      <c r="V16" s="2"/>
      <c r="W16" s="1"/>
      <c r="X16" s="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12.75" customHeight="1">
      <c r="A17" s="3">
        <f t="shared" si="4"/>
        <v>16</v>
      </c>
      <c r="B17" s="4" t="s">
        <v>48</v>
      </c>
      <c r="C17" s="3">
        <v>45.0</v>
      </c>
      <c r="D17" s="4">
        <f t="shared" si="5"/>
        <v>22</v>
      </c>
      <c r="E17" s="3">
        <v>17.0</v>
      </c>
      <c r="F17" s="3">
        <f t="shared" si="1"/>
        <v>5</v>
      </c>
      <c r="G17" s="5">
        <v>19.0</v>
      </c>
      <c r="H17" s="5">
        <v>10.0</v>
      </c>
      <c r="I17" s="5">
        <v>17.0</v>
      </c>
      <c r="J17" s="5">
        <v>16.0</v>
      </c>
      <c r="K17" s="5">
        <v>17.0</v>
      </c>
      <c r="L17" s="5">
        <v>16.0</v>
      </c>
      <c r="M17" s="4" t="s">
        <v>49</v>
      </c>
      <c r="N17" s="5">
        <f>(E17-1)+VLOOKUP(M17,Size,2,0)</f>
        <v>15</v>
      </c>
      <c r="O17" s="5">
        <f>VLOOKUP(E17,LevelData,4)</f>
        <v>17</v>
      </c>
      <c r="P17" s="5">
        <f>O17+VLOOKUP(M17,Size,3,0)</f>
        <v>16</v>
      </c>
      <c r="Q17" s="5">
        <f t="shared" si="2"/>
        <v>10</v>
      </c>
      <c r="R17" s="5">
        <f>VLOOKUP(E17,LevelData,2)</f>
        <v>10</v>
      </c>
      <c r="S17" s="5">
        <f t="shared" si="3"/>
        <v>10</v>
      </c>
      <c r="T17" s="4"/>
      <c r="U17" s="3"/>
      <c r="V17" s="4">
        <f t="shared" ref="V17:V49" si="6">INT(10+(E17/2))</f>
        <v>18</v>
      </c>
      <c r="W17" s="3">
        <f t="shared" ref="W17:W49" si="7">INT((E17/2)+10)</f>
        <v>18</v>
      </c>
      <c r="X17" s="4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2.75" customHeight="1">
      <c r="A18" s="3">
        <f t="shared" si="4"/>
        <v>17</v>
      </c>
      <c r="B18" s="4"/>
      <c r="C18" s="3">
        <v>51.0</v>
      </c>
      <c r="D18" s="4">
        <f t="shared" si="5"/>
        <v>23</v>
      </c>
      <c r="E18" s="3">
        <v>18.0</v>
      </c>
      <c r="F18" s="3">
        <f t="shared" si="1"/>
        <v>5</v>
      </c>
      <c r="G18" s="5"/>
      <c r="H18" s="5"/>
      <c r="I18" s="5"/>
      <c r="J18" s="5"/>
      <c r="K18" s="5"/>
      <c r="L18" s="5"/>
      <c r="M18" s="4" t="s">
        <v>49</v>
      </c>
      <c r="N18" s="5">
        <f>(E18-1)+VLOOKUP(M18,Size,2,0)</f>
        <v>16</v>
      </c>
      <c r="O18" s="5">
        <f>VLOOKUP(E18,LevelData,4)</f>
        <v>18</v>
      </c>
      <c r="P18" s="5">
        <f>O18+VLOOKUP(M18,Size,3,0)</f>
        <v>17</v>
      </c>
      <c r="Q18" s="5">
        <f t="shared" si="2"/>
        <v>11</v>
      </c>
      <c r="R18" s="5">
        <f>VLOOKUP(E18,LevelData,2)</f>
        <v>11</v>
      </c>
      <c r="S18" s="5">
        <f t="shared" si="3"/>
        <v>11</v>
      </c>
      <c r="T18" s="4"/>
      <c r="U18" s="3"/>
      <c r="V18" s="4">
        <f t="shared" si="6"/>
        <v>19</v>
      </c>
      <c r="W18" s="3">
        <f t="shared" si="7"/>
        <v>19</v>
      </c>
      <c r="X18" s="4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3">
        <f t="shared" si="4"/>
        <v>18</v>
      </c>
      <c r="B19" s="4"/>
      <c r="C19" s="3">
        <v>63.0</v>
      </c>
      <c r="D19" s="4">
        <f t="shared" si="5"/>
        <v>24</v>
      </c>
      <c r="E19" s="3">
        <v>19.0</v>
      </c>
      <c r="F19" s="3">
        <f t="shared" si="1"/>
        <v>5</v>
      </c>
      <c r="G19" s="5"/>
      <c r="H19" s="5"/>
      <c r="I19" s="5"/>
      <c r="J19" s="5"/>
      <c r="K19" s="5"/>
      <c r="L19" s="5"/>
      <c r="M19" s="4" t="s">
        <v>49</v>
      </c>
      <c r="N19" s="5">
        <f>(E19-1)+VLOOKUP(M19,Size,2,0)</f>
        <v>17</v>
      </c>
      <c r="O19" s="5">
        <f>VLOOKUP(E19,LevelData,4)</f>
        <v>19</v>
      </c>
      <c r="P19" s="5">
        <f>O19+VLOOKUP(M19,Size,3,0)</f>
        <v>18</v>
      </c>
      <c r="Q19" s="5">
        <f t="shared" si="2"/>
        <v>11</v>
      </c>
      <c r="R19" s="5">
        <f>VLOOKUP(E19,LevelData,2)</f>
        <v>11</v>
      </c>
      <c r="S19" s="5">
        <f t="shared" si="3"/>
        <v>11</v>
      </c>
      <c r="T19" s="4"/>
      <c r="U19" s="3"/>
      <c r="V19" s="4">
        <f t="shared" si="6"/>
        <v>19</v>
      </c>
      <c r="W19" s="3">
        <f t="shared" si="7"/>
        <v>19</v>
      </c>
      <c r="X19" s="4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7">
        <f t="shared" si="4"/>
        <v>19</v>
      </c>
      <c r="B20" s="8"/>
      <c r="C20" s="7">
        <v>75.0</v>
      </c>
      <c r="D20" s="8">
        <f t="shared" si="5"/>
        <v>25</v>
      </c>
      <c r="E20" s="7">
        <v>19.0</v>
      </c>
      <c r="F20" s="7">
        <f t="shared" si="1"/>
        <v>6</v>
      </c>
      <c r="G20" s="9"/>
      <c r="H20" s="9"/>
      <c r="I20" s="9"/>
      <c r="J20" s="9"/>
      <c r="K20" s="9"/>
      <c r="L20" s="9"/>
      <c r="M20" s="8" t="s">
        <v>49</v>
      </c>
      <c r="N20" s="9">
        <f>(E20-1)+VLOOKUP(M20,Size,2,0)</f>
        <v>17</v>
      </c>
      <c r="O20" s="9">
        <f>VLOOKUP(E20,LevelData,4)</f>
        <v>19</v>
      </c>
      <c r="P20" s="9">
        <f>O20+VLOOKUP(M20,Size,3,0)</f>
        <v>18</v>
      </c>
      <c r="Q20" s="9">
        <f t="shared" si="2"/>
        <v>11</v>
      </c>
      <c r="R20" s="9">
        <f>VLOOKUP(E20,LevelData,2)</f>
        <v>11</v>
      </c>
      <c r="S20" s="9">
        <f t="shared" si="3"/>
        <v>11</v>
      </c>
      <c r="T20" s="8"/>
      <c r="U20" s="7"/>
      <c r="V20" s="8">
        <f t="shared" si="6"/>
        <v>19</v>
      </c>
      <c r="W20" s="7">
        <f t="shared" si="7"/>
        <v>19</v>
      </c>
      <c r="X20" s="8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ht="12.75" customHeight="1">
      <c r="A21" s="10">
        <f t="shared" si="4"/>
        <v>20</v>
      </c>
      <c r="B21" s="11" t="s">
        <v>53</v>
      </c>
      <c r="C21" s="10">
        <v>87.0</v>
      </c>
      <c r="D21" s="11">
        <f t="shared" si="5"/>
        <v>26</v>
      </c>
      <c r="E21" s="10">
        <v>20.0</v>
      </c>
      <c r="F21" s="10">
        <f t="shared" si="1"/>
        <v>6</v>
      </c>
      <c r="G21" s="12">
        <v>23.0</v>
      </c>
      <c r="H21" s="12">
        <v>10.0</v>
      </c>
      <c r="I21" s="12">
        <v>21.0</v>
      </c>
      <c r="J21" s="12">
        <v>18.0</v>
      </c>
      <c r="K21" s="12">
        <v>19.0</v>
      </c>
      <c r="L21" s="12">
        <v>18.0</v>
      </c>
      <c r="M21" s="11" t="s">
        <v>49</v>
      </c>
      <c r="N21" s="12">
        <f>(E21-1)+VLOOKUP(M21,Size,2,0)</f>
        <v>18</v>
      </c>
      <c r="O21" s="12">
        <f>VLOOKUP(E21,LevelData,4)</f>
        <v>20</v>
      </c>
      <c r="P21" s="12">
        <f>O21+VLOOKUP(M21,Size,3,0)</f>
        <v>19</v>
      </c>
      <c r="Q21" s="12">
        <f t="shared" si="2"/>
        <v>12</v>
      </c>
      <c r="R21" s="12">
        <f>VLOOKUP(E21,LevelData,2)</f>
        <v>12</v>
      </c>
      <c r="S21" s="12">
        <f t="shared" si="3"/>
        <v>12</v>
      </c>
      <c r="T21" s="11"/>
      <c r="U21" s="10"/>
      <c r="V21" s="11">
        <f t="shared" si="6"/>
        <v>20</v>
      </c>
      <c r="W21" s="10">
        <f t="shared" si="7"/>
        <v>20</v>
      </c>
      <c r="X21" s="11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12.75" customHeight="1">
      <c r="A22" s="10">
        <f t="shared" si="4"/>
        <v>21</v>
      </c>
      <c r="B22" s="11"/>
      <c r="C22" s="10">
        <v>101.0</v>
      </c>
      <c r="D22" s="11">
        <f t="shared" si="5"/>
        <v>27</v>
      </c>
      <c r="E22" s="10">
        <v>21.0</v>
      </c>
      <c r="F22" s="10">
        <f t="shared" si="1"/>
        <v>6</v>
      </c>
      <c r="G22" s="12"/>
      <c r="H22" s="12"/>
      <c r="I22" s="12"/>
      <c r="J22" s="12"/>
      <c r="K22" s="12"/>
      <c r="L22" s="12"/>
      <c r="M22" s="11" t="s">
        <v>49</v>
      </c>
      <c r="N22" s="12">
        <f>(E22-1)+VLOOKUP(M22,Size,2,0)</f>
        <v>19</v>
      </c>
      <c r="O22" s="12">
        <f>VLOOKUP(E22,LevelData,4)</f>
        <v>21</v>
      </c>
      <c r="P22" s="12">
        <f>O22+VLOOKUP(M22,Size,3,0)</f>
        <v>20</v>
      </c>
      <c r="Q22" s="12">
        <f t="shared" si="2"/>
        <v>12</v>
      </c>
      <c r="R22" s="12">
        <f>VLOOKUP(E22,LevelData,2)</f>
        <v>12</v>
      </c>
      <c r="S22" s="12">
        <f t="shared" si="3"/>
        <v>12</v>
      </c>
      <c r="T22" s="11"/>
      <c r="U22" s="10"/>
      <c r="V22" s="11">
        <f t="shared" si="6"/>
        <v>20</v>
      </c>
      <c r="W22" s="10">
        <f t="shared" si="7"/>
        <v>20</v>
      </c>
      <c r="X22" s="11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2.75" customHeight="1">
      <c r="A23" s="10">
        <f t="shared" si="4"/>
        <v>22</v>
      </c>
      <c r="B23" s="11"/>
      <c r="C23" s="10">
        <v>126.0</v>
      </c>
      <c r="D23" s="11">
        <f t="shared" si="5"/>
        <v>28</v>
      </c>
      <c r="E23" s="10">
        <v>22.0</v>
      </c>
      <c r="F23" s="10">
        <f t="shared" si="1"/>
        <v>6</v>
      </c>
      <c r="G23" s="12"/>
      <c r="H23" s="12"/>
      <c r="I23" s="12"/>
      <c r="J23" s="12"/>
      <c r="K23" s="12"/>
      <c r="L23" s="12"/>
      <c r="M23" s="11" t="s">
        <v>49</v>
      </c>
      <c r="N23" s="12">
        <f>(E23-1)+VLOOKUP(M23,Size,2,0)</f>
        <v>20</v>
      </c>
      <c r="O23" s="12">
        <f>VLOOKUP(E23,LevelData,4)</f>
        <v>22</v>
      </c>
      <c r="P23" s="12">
        <f>O23+VLOOKUP(M23,Size,3,0)</f>
        <v>21</v>
      </c>
      <c r="Q23" s="12">
        <f t="shared" si="2"/>
        <v>13</v>
      </c>
      <c r="R23" s="12">
        <f>VLOOKUP(E23,LevelData,2)</f>
        <v>13</v>
      </c>
      <c r="S23" s="12">
        <f t="shared" si="3"/>
        <v>13</v>
      </c>
      <c r="T23" s="11"/>
      <c r="U23" s="10"/>
      <c r="V23" s="11">
        <f t="shared" si="6"/>
        <v>21</v>
      </c>
      <c r="W23" s="10">
        <f t="shared" si="7"/>
        <v>21</v>
      </c>
      <c r="X23" s="11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12.75" customHeight="1">
      <c r="A24" s="1">
        <f t="shared" si="4"/>
        <v>23</v>
      </c>
      <c r="B24" s="2"/>
      <c r="C24" s="1">
        <v>151.0</v>
      </c>
      <c r="D24" s="2">
        <f t="shared" si="5"/>
        <v>29</v>
      </c>
      <c r="E24" s="1">
        <v>22.0</v>
      </c>
      <c r="F24" s="1">
        <f t="shared" si="1"/>
        <v>7</v>
      </c>
      <c r="G24" s="13"/>
      <c r="H24" s="13"/>
      <c r="I24" s="13"/>
      <c r="J24" s="13"/>
      <c r="K24" s="13"/>
      <c r="L24" s="13"/>
      <c r="M24" s="2" t="s">
        <v>49</v>
      </c>
      <c r="N24" s="13">
        <f>(E24-1)+VLOOKUP(M24,Size,2,0)</f>
        <v>20</v>
      </c>
      <c r="O24" s="13">
        <f>VLOOKUP(E24,LevelData,4)</f>
        <v>22</v>
      </c>
      <c r="P24" s="13">
        <f>O24+VLOOKUP(M24,Size,3,0)</f>
        <v>21</v>
      </c>
      <c r="Q24" s="13">
        <f t="shared" si="2"/>
        <v>13</v>
      </c>
      <c r="R24" s="13">
        <f>VLOOKUP(E24,LevelData,2)</f>
        <v>13</v>
      </c>
      <c r="S24" s="13">
        <f t="shared" si="3"/>
        <v>13</v>
      </c>
      <c r="T24" s="2"/>
      <c r="U24" s="1"/>
      <c r="V24" s="2">
        <f t="shared" si="6"/>
        <v>21</v>
      </c>
      <c r="W24" s="1">
        <f t="shared" si="7"/>
        <v>21</v>
      </c>
      <c r="X24" s="2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2.75" customHeight="1">
      <c r="A25" s="3">
        <f t="shared" si="4"/>
        <v>24</v>
      </c>
      <c r="B25" s="4" t="s">
        <v>57</v>
      </c>
      <c r="C25" s="3">
        <v>176.0</v>
      </c>
      <c r="D25" s="4">
        <f t="shared" si="5"/>
        <v>30</v>
      </c>
      <c r="E25" s="3">
        <v>23.0</v>
      </c>
      <c r="F25" s="3">
        <f t="shared" si="1"/>
        <v>7</v>
      </c>
      <c r="G25" s="5">
        <v>27.0</v>
      </c>
      <c r="H25" s="5">
        <v>10.0</v>
      </c>
      <c r="I25" s="5">
        <v>21.0</v>
      </c>
      <c r="J25" s="5">
        <v>18.0</v>
      </c>
      <c r="K25" s="5">
        <v>19.0</v>
      </c>
      <c r="L25" s="5">
        <v>18.0</v>
      </c>
      <c r="M25" s="4" t="s">
        <v>58</v>
      </c>
      <c r="N25" s="5">
        <f>(E25-1)+VLOOKUP(M25,Size,2,0)</f>
        <v>20</v>
      </c>
      <c r="O25" s="5">
        <f>VLOOKUP(E25,LevelData,4)</f>
        <v>23</v>
      </c>
      <c r="P25" s="5">
        <f>O25+VLOOKUP(M25,Size,3,0)</f>
        <v>21</v>
      </c>
      <c r="Q25" s="5">
        <f t="shared" si="2"/>
        <v>13</v>
      </c>
      <c r="R25" s="5">
        <f>VLOOKUP(E25,LevelData,2)</f>
        <v>13</v>
      </c>
      <c r="S25" s="5">
        <f t="shared" si="3"/>
        <v>13</v>
      </c>
      <c r="T25" s="4"/>
      <c r="U25" s="3"/>
      <c r="V25" s="4">
        <f t="shared" si="6"/>
        <v>21</v>
      </c>
      <c r="W25" s="3">
        <f t="shared" si="7"/>
        <v>21</v>
      </c>
      <c r="X25" s="4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2.75" customHeight="1">
      <c r="A26" s="3">
        <f t="shared" si="4"/>
        <v>25</v>
      </c>
      <c r="B26" s="4"/>
      <c r="C26" s="3">
        <v>201.0</v>
      </c>
      <c r="D26" s="4">
        <f t="shared" si="5"/>
        <v>31</v>
      </c>
      <c r="E26" s="3">
        <v>24.0</v>
      </c>
      <c r="F26" s="3">
        <f t="shared" si="1"/>
        <v>7</v>
      </c>
      <c r="G26" s="5"/>
      <c r="H26" s="5"/>
      <c r="I26" s="5"/>
      <c r="J26" s="5"/>
      <c r="K26" s="5"/>
      <c r="L26" s="5"/>
      <c r="M26" s="4" t="s">
        <v>58</v>
      </c>
      <c r="N26" s="5">
        <f>(E26-1)+VLOOKUP(M26,Size,2,0)</f>
        <v>21</v>
      </c>
      <c r="O26" s="5">
        <f>VLOOKUP(E26,LevelData,4)</f>
        <v>24</v>
      </c>
      <c r="P26" s="5">
        <f>O26+VLOOKUP(M26,Size,3,0)</f>
        <v>22</v>
      </c>
      <c r="Q26" s="5">
        <f t="shared" si="2"/>
        <v>14</v>
      </c>
      <c r="R26" s="5">
        <f>VLOOKUP(E26,LevelData,2)</f>
        <v>14</v>
      </c>
      <c r="S26" s="5">
        <f t="shared" si="3"/>
        <v>14</v>
      </c>
      <c r="T26" s="4"/>
      <c r="U26" s="3"/>
      <c r="V26" s="4">
        <f t="shared" si="6"/>
        <v>22</v>
      </c>
      <c r="W26" s="3">
        <f t="shared" si="7"/>
        <v>22</v>
      </c>
      <c r="X26" s="4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3">
        <f t="shared" si="4"/>
        <v>26</v>
      </c>
      <c r="B27" s="4"/>
      <c r="C27" s="3">
        <v>251.0</v>
      </c>
      <c r="D27" s="4">
        <f t="shared" si="5"/>
        <v>32</v>
      </c>
      <c r="E27" s="3">
        <v>25.0</v>
      </c>
      <c r="F27" s="3">
        <f t="shared" si="1"/>
        <v>7</v>
      </c>
      <c r="G27" s="5"/>
      <c r="H27" s="5"/>
      <c r="I27" s="5"/>
      <c r="J27" s="5"/>
      <c r="K27" s="5"/>
      <c r="L27" s="5"/>
      <c r="M27" s="4" t="s">
        <v>58</v>
      </c>
      <c r="N27" s="5">
        <f>(E27-1)+VLOOKUP(M27,Size,2,0)</f>
        <v>22</v>
      </c>
      <c r="O27" s="5">
        <f>VLOOKUP(E27,LevelData,4)</f>
        <v>25</v>
      </c>
      <c r="P27" s="5">
        <f>O27+VLOOKUP(M27,Size,3,0)</f>
        <v>23</v>
      </c>
      <c r="Q27" s="5">
        <f t="shared" si="2"/>
        <v>14</v>
      </c>
      <c r="R27" s="5">
        <f>VLOOKUP(E27,LevelData,2)</f>
        <v>14</v>
      </c>
      <c r="S27" s="5">
        <f t="shared" si="3"/>
        <v>14</v>
      </c>
      <c r="T27" s="4"/>
      <c r="U27" s="3"/>
      <c r="V27" s="4">
        <f t="shared" si="6"/>
        <v>22</v>
      </c>
      <c r="W27" s="3">
        <f t="shared" si="7"/>
        <v>22</v>
      </c>
      <c r="X27" s="4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7">
        <f t="shared" si="4"/>
        <v>27</v>
      </c>
      <c r="B28" s="8"/>
      <c r="C28" s="7">
        <v>301.0</v>
      </c>
      <c r="D28" s="8">
        <f t="shared" si="5"/>
        <v>33</v>
      </c>
      <c r="E28" s="7">
        <v>25.0</v>
      </c>
      <c r="F28" s="7">
        <f t="shared" si="1"/>
        <v>8</v>
      </c>
      <c r="G28" s="9"/>
      <c r="H28" s="9"/>
      <c r="I28" s="9"/>
      <c r="J28" s="9"/>
      <c r="K28" s="9"/>
      <c r="L28" s="9"/>
      <c r="M28" s="8" t="s">
        <v>58</v>
      </c>
      <c r="N28" s="9">
        <f>(E28-1)+VLOOKUP(M28,Size,2,0)</f>
        <v>22</v>
      </c>
      <c r="O28" s="9">
        <f>VLOOKUP(E28,LevelData,4)</f>
        <v>25</v>
      </c>
      <c r="P28" s="9">
        <f>O28+VLOOKUP(M28,Size,3,0)</f>
        <v>23</v>
      </c>
      <c r="Q28" s="9">
        <f t="shared" si="2"/>
        <v>14</v>
      </c>
      <c r="R28" s="9">
        <f>VLOOKUP(E28,LevelData,2)</f>
        <v>14</v>
      </c>
      <c r="S28" s="9">
        <f t="shared" si="3"/>
        <v>14</v>
      </c>
      <c r="T28" s="8"/>
      <c r="U28" s="7"/>
      <c r="V28" s="8">
        <f t="shared" si="6"/>
        <v>22</v>
      </c>
      <c r="W28" s="7">
        <f t="shared" si="7"/>
        <v>22</v>
      </c>
      <c r="X28" s="8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ht="12.75" customHeight="1">
      <c r="A29" s="10">
        <f t="shared" si="4"/>
        <v>28</v>
      </c>
      <c r="B29" s="11" t="s">
        <v>62</v>
      </c>
      <c r="C29" s="10">
        <v>351.0</v>
      </c>
      <c r="D29" s="11">
        <f t="shared" si="5"/>
        <v>34</v>
      </c>
      <c r="E29" s="10">
        <v>26.0</v>
      </c>
      <c r="F29" s="10">
        <f t="shared" si="1"/>
        <v>8</v>
      </c>
      <c r="G29" s="12">
        <v>29.0</v>
      </c>
      <c r="H29" s="12">
        <v>10.0</v>
      </c>
      <c r="I29" s="12">
        <v>21.0</v>
      </c>
      <c r="J29" s="12">
        <v>18.0</v>
      </c>
      <c r="K29" s="12">
        <v>19.0</v>
      </c>
      <c r="L29" s="12">
        <v>18.0</v>
      </c>
      <c r="M29" s="11" t="s">
        <v>58</v>
      </c>
      <c r="N29" s="12">
        <f>(E29-1)+VLOOKUP(M29,Size,2,0)</f>
        <v>23</v>
      </c>
      <c r="O29" s="12">
        <f>VLOOKUP(E29,LevelData,4)</f>
        <v>26</v>
      </c>
      <c r="P29" s="12">
        <f>O29+VLOOKUP(M29,Size,3,0)</f>
        <v>24</v>
      </c>
      <c r="Q29" s="12">
        <f t="shared" si="2"/>
        <v>15</v>
      </c>
      <c r="R29" s="12">
        <f>VLOOKUP(E29,LevelData,2)</f>
        <v>15</v>
      </c>
      <c r="S29" s="12">
        <f t="shared" si="3"/>
        <v>15</v>
      </c>
      <c r="T29" s="11"/>
      <c r="U29" s="10"/>
      <c r="V29" s="11">
        <f t="shared" si="6"/>
        <v>23</v>
      </c>
      <c r="W29" s="10">
        <f t="shared" si="7"/>
        <v>23</v>
      </c>
      <c r="X29" s="11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12.75" customHeight="1">
      <c r="A30" s="10">
        <f t="shared" si="4"/>
        <v>29</v>
      </c>
      <c r="B30" s="11"/>
      <c r="C30" s="10">
        <v>401.0</v>
      </c>
      <c r="D30" s="11">
        <f t="shared" si="5"/>
        <v>35</v>
      </c>
      <c r="E30" s="10">
        <v>27.0</v>
      </c>
      <c r="F30" s="10">
        <f t="shared" si="1"/>
        <v>8</v>
      </c>
      <c r="G30" s="12"/>
      <c r="H30" s="12"/>
      <c r="I30" s="12"/>
      <c r="J30" s="12"/>
      <c r="K30" s="12"/>
      <c r="L30" s="12"/>
      <c r="M30" s="11" t="s">
        <v>58</v>
      </c>
      <c r="N30" s="12">
        <f>(E30-1)+VLOOKUP(M30,Size,2,0)</f>
        <v>24</v>
      </c>
      <c r="O30" s="12">
        <f>VLOOKUP(E30,LevelData,4)</f>
        <v>27</v>
      </c>
      <c r="P30" s="12">
        <f>O30+VLOOKUP(M30,Size,3,0)</f>
        <v>25</v>
      </c>
      <c r="Q30" s="12">
        <f t="shared" si="2"/>
        <v>15</v>
      </c>
      <c r="R30" s="12">
        <f>VLOOKUP(E30,LevelData,2)</f>
        <v>15</v>
      </c>
      <c r="S30" s="12">
        <f t="shared" si="3"/>
        <v>15</v>
      </c>
      <c r="T30" s="11"/>
      <c r="U30" s="10"/>
      <c r="V30" s="11">
        <f t="shared" si="6"/>
        <v>23</v>
      </c>
      <c r="W30" s="10">
        <f t="shared" si="7"/>
        <v>23</v>
      </c>
      <c r="X30" s="11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2.75" customHeight="1">
      <c r="A31" s="10">
        <f t="shared" si="4"/>
        <v>30</v>
      </c>
      <c r="B31" s="11"/>
      <c r="C31" s="10">
        <v>451.0</v>
      </c>
      <c r="D31" s="11">
        <f t="shared" si="5"/>
        <v>36</v>
      </c>
      <c r="E31" s="10">
        <v>28.0</v>
      </c>
      <c r="F31" s="10">
        <f t="shared" si="1"/>
        <v>8</v>
      </c>
      <c r="G31" s="12"/>
      <c r="H31" s="12"/>
      <c r="I31" s="12"/>
      <c r="J31" s="12"/>
      <c r="K31" s="12"/>
      <c r="L31" s="12"/>
      <c r="M31" s="11" t="s">
        <v>58</v>
      </c>
      <c r="N31" s="12">
        <f>(E31-1)+VLOOKUP(M31,Size,2,0)</f>
        <v>25</v>
      </c>
      <c r="O31" s="12">
        <f>VLOOKUP(E31,LevelData,4)</f>
        <v>28</v>
      </c>
      <c r="P31" s="12">
        <f>O31+VLOOKUP(M31,Size,3,0)</f>
        <v>26</v>
      </c>
      <c r="Q31" s="12">
        <f t="shared" si="2"/>
        <v>16</v>
      </c>
      <c r="R31" s="12">
        <f>VLOOKUP(E31,LevelData,2)</f>
        <v>16</v>
      </c>
      <c r="S31" s="12">
        <f t="shared" si="3"/>
        <v>16</v>
      </c>
      <c r="T31" s="11"/>
      <c r="U31" s="10"/>
      <c r="V31" s="11">
        <f t="shared" si="6"/>
        <v>24</v>
      </c>
      <c r="W31" s="10">
        <f t="shared" si="7"/>
        <v>24</v>
      </c>
      <c r="X31" s="11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12.75" customHeight="1">
      <c r="A32" s="1">
        <f t="shared" si="4"/>
        <v>31</v>
      </c>
      <c r="B32" s="2"/>
      <c r="C32" s="1">
        <v>501.0</v>
      </c>
      <c r="D32" s="2">
        <f t="shared" si="5"/>
        <v>37</v>
      </c>
      <c r="E32" s="1">
        <v>28.0</v>
      </c>
      <c r="F32" s="1">
        <f t="shared" si="1"/>
        <v>9</v>
      </c>
      <c r="G32" s="13"/>
      <c r="H32" s="13"/>
      <c r="I32" s="13"/>
      <c r="J32" s="13"/>
      <c r="K32" s="13"/>
      <c r="L32" s="13"/>
      <c r="M32" s="2" t="s">
        <v>58</v>
      </c>
      <c r="N32" s="13">
        <f>(E32-1)+VLOOKUP(M32,Size,2,0)</f>
        <v>25</v>
      </c>
      <c r="O32" s="13">
        <f>VLOOKUP(E32,LevelData,4)</f>
        <v>28</v>
      </c>
      <c r="P32" s="13">
        <f>O32+VLOOKUP(M32,Size,3,0)</f>
        <v>26</v>
      </c>
      <c r="Q32" s="13">
        <f t="shared" si="2"/>
        <v>16</v>
      </c>
      <c r="R32" s="13">
        <f>VLOOKUP(E32,LevelData,2)</f>
        <v>16</v>
      </c>
      <c r="S32" s="13">
        <f t="shared" si="3"/>
        <v>16</v>
      </c>
      <c r="T32" s="2"/>
      <c r="U32" s="1"/>
      <c r="V32" s="2">
        <f t="shared" si="6"/>
        <v>24</v>
      </c>
      <c r="W32" s="1">
        <f t="shared" si="7"/>
        <v>24</v>
      </c>
      <c r="X32" s="2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2.75" customHeight="1">
      <c r="A33" s="3">
        <f t="shared" si="4"/>
        <v>32</v>
      </c>
      <c r="B33" s="4" t="s">
        <v>67</v>
      </c>
      <c r="C33" s="3">
        <v>551.0</v>
      </c>
      <c r="D33" s="4">
        <f t="shared" si="5"/>
        <v>38</v>
      </c>
      <c r="E33" s="3">
        <v>29.0</v>
      </c>
      <c r="F33" s="3">
        <f t="shared" si="1"/>
        <v>9</v>
      </c>
      <c r="G33" s="5">
        <v>31.0</v>
      </c>
      <c r="H33" s="5">
        <v>10.0</v>
      </c>
      <c r="I33" s="5">
        <v>23.0</v>
      </c>
      <c r="J33" s="5">
        <v>20.0</v>
      </c>
      <c r="K33" s="5">
        <v>21.0</v>
      </c>
      <c r="L33" s="5">
        <v>20.0</v>
      </c>
      <c r="M33" s="4" t="s">
        <v>58</v>
      </c>
      <c r="N33" s="5">
        <f>(E33-1)+VLOOKUP(M33,Size,2,0)</f>
        <v>26</v>
      </c>
      <c r="O33" s="5">
        <f>VLOOKUP(E33,LevelData,4)</f>
        <v>29</v>
      </c>
      <c r="P33" s="5">
        <f>O33+VLOOKUP(M33,Size,3,0)</f>
        <v>27</v>
      </c>
      <c r="Q33" s="5">
        <f t="shared" si="2"/>
        <v>16</v>
      </c>
      <c r="R33" s="5">
        <f>VLOOKUP(E33,LevelData,2)</f>
        <v>16</v>
      </c>
      <c r="S33" s="5">
        <f t="shared" si="3"/>
        <v>16</v>
      </c>
      <c r="T33" s="4"/>
      <c r="U33" s="3"/>
      <c r="V33" s="4">
        <f t="shared" si="6"/>
        <v>24</v>
      </c>
      <c r="W33" s="3">
        <f t="shared" si="7"/>
        <v>24</v>
      </c>
      <c r="X33" s="4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2.75" customHeight="1">
      <c r="A34" s="3">
        <f t="shared" si="4"/>
        <v>33</v>
      </c>
      <c r="B34" s="4"/>
      <c r="C34" s="3">
        <v>601.0</v>
      </c>
      <c r="D34" s="4">
        <f t="shared" si="5"/>
        <v>39</v>
      </c>
      <c r="E34" s="3">
        <v>30.0</v>
      </c>
      <c r="F34" s="3">
        <f t="shared" si="1"/>
        <v>9</v>
      </c>
      <c r="G34" s="5"/>
      <c r="H34" s="5"/>
      <c r="I34" s="5"/>
      <c r="J34" s="5"/>
      <c r="K34" s="5"/>
      <c r="L34" s="5"/>
      <c r="M34" s="4" t="s">
        <v>58</v>
      </c>
      <c r="N34" s="5">
        <f>(E34-1)+VLOOKUP(M34,Size,2,0)</f>
        <v>27</v>
      </c>
      <c r="O34" s="5">
        <f>VLOOKUP(E34,LevelData,4)</f>
        <v>30</v>
      </c>
      <c r="P34" s="5">
        <f>O34+VLOOKUP(M34,Size,3,0)</f>
        <v>28</v>
      </c>
      <c r="Q34" s="5">
        <f t="shared" si="2"/>
        <v>17</v>
      </c>
      <c r="R34" s="5">
        <f>VLOOKUP(E34,LevelData,2)</f>
        <v>17</v>
      </c>
      <c r="S34" s="5">
        <f t="shared" si="3"/>
        <v>17</v>
      </c>
      <c r="T34" s="4"/>
      <c r="U34" s="3"/>
      <c r="V34" s="4">
        <f t="shared" si="6"/>
        <v>25</v>
      </c>
      <c r="W34" s="3">
        <f t="shared" si="7"/>
        <v>25</v>
      </c>
      <c r="X34" s="4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3">
        <f t="shared" si="4"/>
        <v>34</v>
      </c>
      <c r="B35" s="4"/>
      <c r="C35" s="3">
        <v>651.0</v>
      </c>
      <c r="D35" s="4">
        <f t="shared" si="5"/>
        <v>40</v>
      </c>
      <c r="E35" s="3">
        <v>31.0</v>
      </c>
      <c r="F35" s="3">
        <f t="shared" si="1"/>
        <v>9</v>
      </c>
      <c r="G35" s="5"/>
      <c r="H35" s="5"/>
      <c r="I35" s="5"/>
      <c r="J35" s="5"/>
      <c r="K35" s="5"/>
      <c r="L35" s="5"/>
      <c r="M35" s="4" t="s">
        <v>58</v>
      </c>
      <c r="N35" s="5">
        <f>(E35-1)+VLOOKUP(M35,Size,2,0)</f>
        <v>28</v>
      </c>
      <c r="O35" s="5">
        <f>VLOOKUP(E35,LevelData,4)</f>
        <v>31</v>
      </c>
      <c r="P35" s="5">
        <f>O35+VLOOKUP(M35,Size,3,0)</f>
        <v>29</v>
      </c>
      <c r="Q35" s="5">
        <f t="shared" si="2"/>
        <v>17</v>
      </c>
      <c r="R35" s="5">
        <f>VLOOKUP(E35,LevelData,2)</f>
        <v>17</v>
      </c>
      <c r="S35" s="5">
        <f t="shared" si="3"/>
        <v>17</v>
      </c>
      <c r="T35" s="4"/>
      <c r="U35" s="3"/>
      <c r="V35" s="4">
        <f t="shared" si="6"/>
        <v>25</v>
      </c>
      <c r="W35" s="3">
        <f t="shared" si="7"/>
        <v>25</v>
      </c>
      <c r="X35" s="4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7">
        <f t="shared" si="4"/>
        <v>35</v>
      </c>
      <c r="B36" s="8"/>
      <c r="C36" s="7">
        <v>701.0</v>
      </c>
      <c r="D36" s="8">
        <f t="shared" si="5"/>
        <v>41</v>
      </c>
      <c r="E36" s="7">
        <v>31.0</v>
      </c>
      <c r="F36" s="7">
        <f t="shared" si="1"/>
        <v>10</v>
      </c>
      <c r="G36" s="9"/>
      <c r="H36" s="9"/>
      <c r="I36" s="9"/>
      <c r="J36" s="9"/>
      <c r="K36" s="9"/>
      <c r="L36" s="9"/>
      <c r="M36" s="8" t="s">
        <v>58</v>
      </c>
      <c r="N36" s="9">
        <f>(E36-1)+VLOOKUP(M36,Size,2,0)</f>
        <v>28</v>
      </c>
      <c r="O36" s="9">
        <f>VLOOKUP(E36,LevelData,4)</f>
        <v>31</v>
      </c>
      <c r="P36" s="9">
        <f>O36+VLOOKUP(M36,Size,3,0)</f>
        <v>29</v>
      </c>
      <c r="Q36" s="9">
        <f t="shared" si="2"/>
        <v>17</v>
      </c>
      <c r="R36" s="9">
        <f>VLOOKUP(E36,LevelData,2)</f>
        <v>17</v>
      </c>
      <c r="S36" s="9">
        <f t="shared" si="3"/>
        <v>17</v>
      </c>
      <c r="T36" s="8"/>
      <c r="U36" s="7"/>
      <c r="V36" s="8">
        <f t="shared" si="6"/>
        <v>25</v>
      </c>
      <c r="W36" s="7">
        <f t="shared" si="7"/>
        <v>25</v>
      </c>
      <c r="X36" s="8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12.75" customHeight="1">
      <c r="A37" s="10">
        <f t="shared" si="4"/>
        <v>36</v>
      </c>
      <c r="B37" s="11" t="s">
        <v>71</v>
      </c>
      <c r="C37" s="10">
        <v>751.0</v>
      </c>
      <c r="D37" s="11">
        <f t="shared" si="5"/>
        <v>42</v>
      </c>
      <c r="E37" s="10">
        <v>32.0</v>
      </c>
      <c r="F37" s="10">
        <f t="shared" si="1"/>
        <v>10</v>
      </c>
      <c r="G37" s="12">
        <v>33.0</v>
      </c>
      <c r="H37" s="12">
        <v>10.0</v>
      </c>
      <c r="I37" s="12">
        <v>23.0</v>
      </c>
      <c r="J37" s="12">
        <v>20.0</v>
      </c>
      <c r="K37" s="12">
        <v>21.0</v>
      </c>
      <c r="L37" s="12">
        <v>20.0</v>
      </c>
      <c r="M37" s="11" t="s">
        <v>58</v>
      </c>
      <c r="N37" s="12">
        <f>(E37-1)+VLOOKUP(M37,Size,2,0)</f>
        <v>29</v>
      </c>
      <c r="O37" s="12">
        <f>VLOOKUP(E37,LevelData,4)</f>
        <v>32</v>
      </c>
      <c r="P37" s="12">
        <f>O37+VLOOKUP(M37,Size,3,0)</f>
        <v>30</v>
      </c>
      <c r="Q37" s="12">
        <f t="shared" si="2"/>
        <v>18</v>
      </c>
      <c r="R37" s="12">
        <f>VLOOKUP(E37,LevelData,2)</f>
        <v>18</v>
      </c>
      <c r="S37" s="12">
        <f t="shared" si="3"/>
        <v>18</v>
      </c>
      <c r="T37" s="11"/>
      <c r="U37" s="10"/>
      <c r="V37" s="11">
        <f t="shared" si="6"/>
        <v>26</v>
      </c>
      <c r="W37" s="10">
        <f t="shared" si="7"/>
        <v>26</v>
      </c>
      <c r="X37" s="11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12.75" customHeight="1">
      <c r="A38" s="10">
        <f t="shared" si="4"/>
        <v>37</v>
      </c>
      <c r="B38" s="11"/>
      <c r="C38" s="10">
        <v>801.0</v>
      </c>
      <c r="D38" s="11">
        <f t="shared" si="5"/>
        <v>43</v>
      </c>
      <c r="E38" s="10">
        <v>33.0</v>
      </c>
      <c r="F38" s="10">
        <f t="shared" si="1"/>
        <v>10</v>
      </c>
      <c r="G38" s="12"/>
      <c r="H38" s="12"/>
      <c r="I38" s="12"/>
      <c r="J38" s="12"/>
      <c r="K38" s="12"/>
      <c r="L38" s="12"/>
      <c r="M38" s="11" t="s">
        <v>58</v>
      </c>
      <c r="N38" s="12">
        <f>(E38-1)+VLOOKUP(M38,Size,2,0)</f>
        <v>30</v>
      </c>
      <c r="O38" s="12">
        <f>VLOOKUP(E38,LevelData,4)</f>
        <v>33</v>
      </c>
      <c r="P38" s="12">
        <f>O38+VLOOKUP(M38,Size,3,0)</f>
        <v>31</v>
      </c>
      <c r="Q38" s="12">
        <f t="shared" si="2"/>
        <v>18</v>
      </c>
      <c r="R38" s="12">
        <f>VLOOKUP(E38,LevelData,2)</f>
        <v>18</v>
      </c>
      <c r="S38" s="12">
        <f t="shared" si="3"/>
        <v>18</v>
      </c>
      <c r="T38" s="11"/>
      <c r="U38" s="10"/>
      <c r="V38" s="11">
        <f t="shared" si="6"/>
        <v>26</v>
      </c>
      <c r="W38" s="10">
        <f t="shared" si="7"/>
        <v>26</v>
      </c>
      <c r="X38" s="11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2.75" customHeight="1">
      <c r="A39" s="10">
        <f t="shared" si="4"/>
        <v>38</v>
      </c>
      <c r="B39" s="11"/>
      <c r="C39" s="10">
        <v>851.0</v>
      </c>
      <c r="D39" s="11">
        <f t="shared" si="5"/>
        <v>44</v>
      </c>
      <c r="E39" s="10">
        <v>34.0</v>
      </c>
      <c r="F39" s="10">
        <f t="shared" si="1"/>
        <v>10</v>
      </c>
      <c r="G39" s="12"/>
      <c r="H39" s="12"/>
      <c r="I39" s="12"/>
      <c r="J39" s="12"/>
      <c r="K39" s="12"/>
      <c r="L39" s="12"/>
      <c r="M39" s="11" t="s">
        <v>58</v>
      </c>
      <c r="N39" s="12">
        <f>(E39-1)+VLOOKUP(M39,Size,2,0)</f>
        <v>31</v>
      </c>
      <c r="O39" s="12">
        <f>VLOOKUP(E39,LevelData,4)</f>
        <v>34</v>
      </c>
      <c r="P39" s="12">
        <f>O39+VLOOKUP(M39,Size,3,0)</f>
        <v>32</v>
      </c>
      <c r="Q39" s="12">
        <f t="shared" si="2"/>
        <v>19</v>
      </c>
      <c r="R39" s="12">
        <f>VLOOKUP(E39,LevelData,2)</f>
        <v>19</v>
      </c>
      <c r="S39" s="12">
        <f t="shared" si="3"/>
        <v>19</v>
      </c>
      <c r="T39" s="11"/>
      <c r="U39" s="10"/>
      <c r="V39" s="11">
        <f t="shared" si="6"/>
        <v>27</v>
      </c>
      <c r="W39" s="10">
        <f t="shared" si="7"/>
        <v>27</v>
      </c>
      <c r="X39" s="11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12.75" customHeight="1">
      <c r="A40" s="1">
        <f t="shared" si="4"/>
        <v>39</v>
      </c>
      <c r="B40" s="2"/>
      <c r="C40" s="1">
        <v>901.0</v>
      </c>
      <c r="D40" s="2">
        <f t="shared" si="5"/>
        <v>45</v>
      </c>
      <c r="E40" s="1">
        <v>34.0</v>
      </c>
      <c r="F40" s="1">
        <f t="shared" si="1"/>
        <v>11</v>
      </c>
      <c r="G40" s="13"/>
      <c r="H40" s="13"/>
      <c r="I40" s="13"/>
      <c r="J40" s="13"/>
      <c r="K40" s="13"/>
      <c r="L40" s="13"/>
      <c r="M40" s="2" t="s">
        <v>58</v>
      </c>
      <c r="N40" s="13">
        <f>(E40-1)+VLOOKUP(M40,Size,2,0)</f>
        <v>31</v>
      </c>
      <c r="O40" s="13">
        <f>VLOOKUP(E40,LevelData,4)</f>
        <v>34</v>
      </c>
      <c r="P40" s="13">
        <f>O40+VLOOKUP(M40,Size,3,0)</f>
        <v>32</v>
      </c>
      <c r="Q40" s="13">
        <f t="shared" si="2"/>
        <v>19</v>
      </c>
      <c r="R40" s="13">
        <f>VLOOKUP(E40,LevelData,2)</f>
        <v>19</v>
      </c>
      <c r="S40" s="13">
        <f t="shared" si="3"/>
        <v>19</v>
      </c>
      <c r="T40" s="2"/>
      <c r="U40" s="1"/>
      <c r="V40" s="2">
        <f t="shared" si="6"/>
        <v>27</v>
      </c>
      <c r="W40" s="1">
        <f t="shared" si="7"/>
        <v>27</v>
      </c>
      <c r="X40" s="2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2.75" customHeight="1">
      <c r="A41" s="3">
        <f t="shared" si="4"/>
        <v>40</v>
      </c>
      <c r="B41" s="4" t="s">
        <v>76</v>
      </c>
      <c r="C41" s="3">
        <v>851.0</v>
      </c>
      <c r="D41" s="4">
        <f t="shared" si="5"/>
        <v>46</v>
      </c>
      <c r="E41" s="3">
        <v>35.0</v>
      </c>
      <c r="F41" s="3">
        <f t="shared" si="1"/>
        <v>11</v>
      </c>
      <c r="G41" s="5">
        <v>35.0</v>
      </c>
      <c r="H41" s="5">
        <v>10.0</v>
      </c>
      <c r="I41" s="5">
        <v>25.0</v>
      </c>
      <c r="J41" s="5">
        <v>22.0</v>
      </c>
      <c r="K41" s="5">
        <v>23.0</v>
      </c>
      <c r="L41" s="5">
        <v>22.0</v>
      </c>
      <c r="M41" s="4" t="s">
        <v>77</v>
      </c>
      <c r="N41" s="5">
        <f>(E41-1)+VLOOKUP(M41,Size,2,0)</f>
        <v>30</v>
      </c>
      <c r="O41" s="5">
        <f>VLOOKUP(E41,LevelData,4)</f>
        <v>35</v>
      </c>
      <c r="P41" s="5">
        <f>O41+VLOOKUP(M41,Size,3,0)</f>
        <v>31</v>
      </c>
      <c r="Q41" s="5">
        <f t="shared" si="2"/>
        <v>19</v>
      </c>
      <c r="R41" s="5">
        <f>VLOOKUP(E41,LevelData,2)</f>
        <v>19</v>
      </c>
      <c r="S41" s="5">
        <f t="shared" si="3"/>
        <v>19</v>
      </c>
      <c r="T41" s="4"/>
      <c r="U41" s="3"/>
      <c r="V41" s="4">
        <f t="shared" si="6"/>
        <v>27</v>
      </c>
      <c r="W41" s="3">
        <f t="shared" si="7"/>
        <v>27</v>
      </c>
      <c r="X41" s="4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2.75" customHeight="1">
      <c r="A42" s="3">
        <f t="shared" si="4"/>
        <v>41</v>
      </c>
      <c r="B42" s="4"/>
      <c r="C42" s="3">
        <v>1001.0</v>
      </c>
      <c r="D42" s="4">
        <f t="shared" si="5"/>
        <v>47</v>
      </c>
      <c r="E42" s="3">
        <v>36.0</v>
      </c>
      <c r="F42" s="3">
        <f t="shared" si="1"/>
        <v>11</v>
      </c>
      <c r="G42" s="5"/>
      <c r="H42" s="5"/>
      <c r="I42" s="5"/>
      <c r="J42" s="5"/>
      <c r="K42" s="5"/>
      <c r="L42" s="5"/>
      <c r="M42" s="4" t="s">
        <v>77</v>
      </c>
      <c r="N42" s="5">
        <f>(E42-1)+VLOOKUP(M42,Size,2,0)</f>
        <v>31</v>
      </c>
      <c r="O42" s="5">
        <f>VLOOKUP(E42,LevelData,4)</f>
        <v>36</v>
      </c>
      <c r="P42" s="5">
        <f>O42+VLOOKUP(M42,Size,3,0)</f>
        <v>32</v>
      </c>
      <c r="Q42" s="5">
        <f t="shared" si="2"/>
        <v>20</v>
      </c>
      <c r="R42" s="5">
        <f>VLOOKUP(E42,LevelData,2)</f>
        <v>20</v>
      </c>
      <c r="S42" s="5">
        <f t="shared" si="3"/>
        <v>20</v>
      </c>
      <c r="T42" s="4"/>
      <c r="U42" s="3"/>
      <c r="V42" s="4">
        <f t="shared" si="6"/>
        <v>28</v>
      </c>
      <c r="W42" s="3">
        <f t="shared" si="7"/>
        <v>28</v>
      </c>
      <c r="X42" s="4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3">
        <f t="shared" si="4"/>
        <v>42</v>
      </c>
      <c r="B43" s="4"/>
      <c r="C43" s="3">
        <v>1051.0</v>
      </c>
      <c r="D43" s="4">
        <f t="shared" si="5"/>
        <v>48</v>
      </c>
      <c r="E43" s="3">
        <v>37.0</v>
      </c>
      <c r="F43" s="3">
        <f t="shared" si="1"/>
        <v>11</v>
      </c>
      <c r="G43" s="5"/>
      <c r="H43" s="5"/>
      <c r="I43" s="5"/>
      <c r="J43" s="5"/>
      <c r="K43" s="5"/>
      <c r="L43" s="5"/>
      <c r="M43" s="4" t="s">
        <v>77</v>
      </c>
      <c r="N43" s="5">
        <f>(E43-1)+VLOOKUP(M43,Size,2,0)</f>
        <v>32</v>
      </c>
      <c r="O43" s="5">
        <f>VLOOKUP(E43,LevelData,4)</f>
        <v>37</v>
      </c>
      <c r="P43" s="5">
        <f>O43+VLOOKUP(M43,Size,3,0)</f>
        <v>33</v>
      </c>
      <c r="Q43" s="5">
        <f t="shared" si="2"/>
        <v>20</v>
      </c>
      <c r="R43" s="5">
        <f>VLOOKUP(E43,LevelData,2)</f>
        <v>20</v>
      </c>
      <c r="S43" s="5">
        <f t="shared" si="3"/>
        <v>20</v>
      </c>
      <c r="T43" s="4"/>
      <c r="U43" s="3"/>
      <c r="V43" s="4">
        <f t="shared" si="6"/>
        <v>28</v>
      </c>
      <c r="W43" s="3">
        <f t="shared" si="7"/>
        <v>28</v>
      </c>
      <c r="X43" s="4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7">
        <f t="shared" si="4"/>
        <v>43</v>
      </c>
      <c r="B44" s="8"/>
      <c r="C44" s="7">
        <v>1101.0</v>
      </c>
      <c r="D44" s="8">
        <f t="shared" si="5"/>
        <v>49</v>
      </c>
      <c r="E44" s="7">
        <v>37.0</v>
      </c>
      <c r="F44" s="7">
        <f t="shared" si="1"/>
        <v>12</v>
      </c>
      <c r="G44" s="9"/>
      <c r="H44" s="9"/>
      <c r="I44" s="9"/>
      <c r="J44" s="9"/>
      <c r="K44" s="9"/>
      <c r="L44" s="9"/>
      <c r="M44" s="8" t="s">
        <v>77</v>
      </c>
      <c r="N44" s="9">
        <f>(E44-1)+VLOOKUP(M44,Size,2,0)</f>
        <v>32</v>
      </c>
      <c r="O44" s="9">
        <f>VLOOKUP(E44,LevelData,4)</f>
        <v>37</v>
      </c>
      <c r="P44" s="9">
        <f>O44+VLOOKUP(M44,Size,3,0)</f>
        <v>33</v>
      </c>
      <c r="Q44" s="9">
        <f t="shared" si="2"/>
        <v>20</v>
      </c>
      <c r="R44" s="9">
        <f>VLOOKUP(E44,LevelData,2)</f>
        <v>20</v>
      </c>
      <c r="S44" s="9">
        <f t="shared" si="3"/>
        <v>20</v>
      </c>
      <c r="T44" s="8"/>
      <c r="U44" s="7"/>
      <c r="V44" s="8">
        <f t="shared" si="6"/>
        <v>28</v>
      </c>
      <c r="W44" s="7">
        <f t="shared" si="7"/>
        <v>28</v>
      </c>
      <c r="X44" s="8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ht="12.75" customHeight="1">
      <c r="A45" s="10">
        <f t="shared" si="4"/>
        <v>44</v>
      </c>
      <c r="B45" s="11" t="s">
        <v>81</v>
      </c>
      <c r="C45" s="10">
        <v>1151.0</v>
      </c>
      <c r="D45" s="11">
        <f t="shared" si="5"/>
        <v>50</v>
      </c>
      <c r="E45" s="10">
        <v>38.0</v>
      </c>
      <c r="F45" s="10">
        <f t="shared" si="1"/>
        <v>12</v>
      </c>
      <c r="G45" s="12">
        <v>37.0</v>
      </c>
      <c r="H45" s="12">
        <v>10.0</v>
      </c>
      <c r="I45" s="12">
        <v>27.0</v>
      </c>
      <c r="J45" s="12">
        <v>22.0</v>
      </c>
      <c r="K45" s="12">
        <v>23.0</v>
      </c>
      <c r="L45" s="12">
        <v>22.0</v>
      </c>
      <c r="M45" s="11" t="s">
        <v>77</v>
      </c>
      <c r="N45" s="12">
        <f>(E45-1)+VLOOKUP(M45,Size,2,0)</f>
        <v>33</v>
      </c>
      <c r="O45" s="12">
        <f>VLOOKUP(E45,LevelData,4)</f>
        <v>38</v>
      </c>
      <c r="P45" s="12">
        <f>O45+VLOOKUP(M45,Size,3,0)</f>
        <v>34</v>
      </c>
      <c r="Q45" s="12">
        <f t="shared" si="2"/>
        <v>21</v>
      </c>
      <c r="R45" s="12">
        <f>VLOOKUP(E45,LevelData,2)</f>
        <v>21</v>
      </c>
      <c r="S45" s="12">
        <f t="shared" si="3"/>
        <v>21</v>
      </c>
      <c r="T45" s="11"/>
      <c r="U45" s="10"/>
      <c r="V45" s="11">
        <f t="shared" si="6"/>
        <v>29</v>
      </c>
      <c r="W45" s="10">
        <f t="shared" si="7"/>
        <v>29</v>
      </c>
      <c r="X45" s="11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12.75" customHeight="1">
      <c r="A46" s="10">
        <f t="shared" si="4"/>
        <v>45</v>
      </c>
      <c r="B46" s="11"/>
      <c r="C46" s="10">
        <v>1201.0</v>
      </c>
      <c r="D46" s="11">
        <f t="shared" si="5"/>
        <v>51</v>
      </c>
      <c r="E46" s="10">
        <v>39.0</v>
      </c>
      <c r="F46" s="10">
        <f t="shared" si="1"/>
        <v>12</v>
      </c>
      <c r="G46" s="12"/>
      <c r="H46" s="12"/>
      <c r="I46" s="12"/>
      <c r="J46" s="12"/>
      <c r="K46" s="12"/>
      <c r="L46" s="12"/>
      <c r="M46" s="11" t="s">
        <v>77</v>
      </c>
      <c r="N46" s="12">
        <f>(E46-1)+VLOOKUP(M46,Size,2,0)</f>
        <v>34</v>
      </c>
      <c r="O46" s="12">
        <f>VLOOKUP(E46,LevelData,4)</f>
        <v>39</v>
      </c>
      <c r="P46" s="12">
        <f>O46+VLOOKUP(M46,Size,3,0)</f>
        <v>35</v>
      </c>
      <c r="Q46" s="12">
        <f t="shared" si="2"/>
        <v>21</v>
      </c>
      <c r="R46" s="12">
        <f>VLOOKUP(E46,LevelData,2)</f>
        <v>21</v>
      </c>
      <c r="S46" s="12">
        <f t="shared" si="3"/>
        <v>21</v>
      </c>
      <c r="T46" s="11"/>
      <c r="U46" s="10"/>
      <c r="V46" s="11">
        <f t="shared" si="6"/>
        <v>29</v>
      </c>
      <c r="W46" s="10">
        <f t="shared" si="7"/>
        <v>29</v>
      </c>
      <c r="X46" s="11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2.75" customHeight="1">
      <c r="A47" s="10">
        <f t="shared" si="4"/>
        <v>46</v>
      </c>
      <c r="B47" s="11"/>
      <c r="C47" s="10" t="s">
        <v>84</v>
      </c>
      <c r="D47" s="11">
        <f t="shared" si="5"/>
        <v>52</v>
      </c>
      <c r="E47" s="10">
        <v>40.0</v>
      </c>
      <c r="F47" s="10">
        <f t="shared" si="1"/>
        <v>12</v>
      </c>
      <c r="G47" s="12"/>
      <c r="H47" s="12"/>
      <c r="I47" s="12"/>
      <c r="J47" s="12"/>
      <c r="K47" s="12"/>
      <c r="L47" s="12"/>
      <c r="M47" s="11" t="s">
        <v>77</v>
      </c>
      <c r="N47" s="12">
        <f>(E47-1)+VLOOKUP(M47,Size,2,0)</f>
        <v>35</v>
      </c>
      <c r="O47" s="12">
        <f>VLOOKUP(E47,LevelData,4)</f>
        <v>40</v>
      </c>
      <c r="P47" s="12">
        <f>O47+VLOOKUP(M47,Size,3,0)</f>
        <v>36</v>
      </c>
      <c r="Q47" s="12">
        <f t="shared" si="2"/>
        <v>22</v>
      </c>
      <c r="R47" s="12">
        <f>VLOOKUP(E47,LevelData,2)</f>
        <v>22</v>
      </c>
      <c r="S47" s="12">
        <f t="shared" si="3"/>
        <v>22</v>
      </c>
      <c r="T47" s="11"/>
      <c r="U47" s="10"/>
      <c r="V47" s="11">
        <f t="shared" si="6"/>
        <v>30</v>
      </c>
      <c r="W47" s="10">
        <f t="shared" si="7"/>
        <v>30</v>
      </c>
      <c r="X47" s="11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12.75" customHeight="1">
      <c r="A48" s="1">
        <f t="shared" si="4"/>
        <v>47</v>
      </c>
      <c r="B48" s="2"/>
      <c r="C48" s="1" t="s">
        <v>86</v>
      </c>
      <c r="D48" s="2">
        <f t="shared" si="5"/>
        <v>53</v>
      </c>
      <c r="E48" s="1">
        <v>40.0</v>
      </c>
      <c r="F48" s="1">
        <f t="shared" si="1"/>
        <v>13</v>
      </c>
      <c r="G48" s="13"/>
      <c r="H48" s="13"/>
      <c r="I48" s="13"/>
      <c r="J48" s="13"/>
      <c r="K48" s="13"/>
      <c r="L48" s="13"/>
      <c r="M48" s="2" t="s">
        <v>77</v>
      </c>
      <c r="N48" s="13">
        <f>(E48-1)+VLOOKUP(M48,Size,2,0)</f>
        <v>35</v>
      </c>
      <c r="O48" s="13">
        <f>VLOOKUP(E48,LevelData,4)</f>
        <v>40</v>
      </c>
      <c r="P48" s="13">
        <f>O48+VLOOKUP(M48,Size,3,0)</f>
        <v>36</v>
      </c>
      <c r="Q48" s="13">
        <f t="shared" si="2"/>
        <v>22</v>
      </c>
      <c r="R48" s="13">
        <f>VLOOKUP(E48,LevelData,2)</f>
        <v>22</v>
      </c>
      <c r="S48" s="13">
        <f t="shared" si="3"/>
        <v>22</v>
      </c>
      <c r="T48" s="2"/>
      <c r="U48" s="1"/>
      <c r="V48" s="2">
        <f t="shared" si="6"/>
        <v>30</v>
      </c>
      <c r="W48" s="1">
        <f t="shared" si="7"/>
        <v>30</v>
      </c>
      <c r="X48" s="2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2.75" customHeight="1">
      <c r="A49" s="3">
        <f t="shared" si="4"/>
        <v>48</v>
      </c>
      <c r="B49" s="4" t="s">
        <v>89</v>
      </c>
      <c r="C49" s="3" t="s">
        <v>88</v>
      </c>
      <c r="D49" s="4">
        <f t="shared" si="5"/>
        <v>54</v>
      </c>
      <c r="E49" s="3">
        <v>41.0</v>
      </c>
      <c r="F49" s="3">
        <f t="shared" si="1"/>
        <v>13</v>
      </c>
      <c r="G49" s="5"/>
      <c r="H49" s="5"/>
      <c r="I49" s="5"/>
      <c r="J49" s="5"/>
      <c r="K49" s="5"/>
      <c r="L49" s="5"/>
      <c r="M49" s="4" t="s">
        <v>77</v>
      </c>
      <c r="N49" s="5">
        <f>(E49-1)+VLOOKUP(M49,Size,2,0)</f>
        <v>36</v>
      </c>
      <c r="O49" s="5">
        <f>VLOOKUP(E49,LevelData,4)</f>
        <v>41</v>
      </c>
      <c r="P49" s="5">
        <f>O49+VLOOKUP(M49,Size,3,0)</f>
        <v>37</v>
      </c>
      <c r="Q49" s="5">
        <f t="shared" si="2"/>
        <v>22</v>
      </c>
      <c r="R49" s="5">
        <f>VLOOKUP(E49,LevelData,2)</f>
        <v>22</v>
      </c>
      <c r="S49" s="5">
        <f t="shared" si="3"/>
        <v>22</v>
      </c>
      <c r="T49" s="4"/>
      <c r="U49" s="3"/>
      <c r="V49" s="4">
        <f t="shared" si="6"/>
        <v>30</v>
      </c>
      <c r="W49" s="3">
        <f t="shared" si="7"/>
        <v>30</v>
      </c>
      <c r="X49" s="4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12.75" customHeight="1">
      <c r="A50" s="10"/>
      <c r="B50" s="11"/>
      <c r="C50" s="10"/>
      <c r="D50" s="11"/>
      <c r="E50" s="10"/>
      <c r="F50" s="10"/>
      <c r="G50" s="11"/>
      <c r="H50" s="11"/>
      <c r="I50" s="11"/>
      <c r="J50" s="11"/>
      <c r="K50" s="11"/>
      <c r="L50" s="11"/>
      <c r="M50" s="14" t="str">
        <f>HYPERLINK("http://www.geocities.com/galliard6/dragons_sheet.html","Back")</f>
        <v>Back</v>
      </c>
      <c r="N50" s="11"/>
      <c r="O50" s="11"/>
      <c r="P50" s="11"/>
      <c r="Q50" s="11"/>
      <c r="R50" s="11"/>
      <c r="S50" s="11"/>
      <c r="T50" s="11"/>
      <c r="U50" s="10"/>
      <c r="V50" s="11"/>
      <c r="W50" s="10"/>
      <c r="X50" s="11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12.75" customHeight="1">
      <c r="A51" s="10"/>
      <c r="B51" s="11"/>
      <c r="C51" s="10"/>
      <c r="D51" s="11"/>
      <c r="E51" s="10"/>
      <c r="F51" s="1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0"/>
      <c r="V51" s="11"/>
      <c r="W51" s="10"/>
      <c r="X51" s="1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2.75" customHeight="1">
      <c r="A52" s="10"/>
      <c r="B52" s="11"/>
      <c r="C52" s="10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/>
      <c r="V52" s="11"/>
      <c r="W52" s="10"/>
      <c r="X52" s="1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2.75" customHeight="1">
      <c r="A53" s="10"/>
      <c r="B53" s="11"/>
      <c r="C53" s="10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/>
      <c r="V53" s="11"/>
      <c r="W53" s="10"/>
      <c r="X53" s="11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2.75" customHeight="1">
      <c r="A54" s="10"/>
      <c r="B54" s="11"/>
      <c r="C54" s="10"/>
      <c r="D54" s="11"/>
      <c r="E54" s="10"/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1"/>
      <c r="W54" s="10"/>
      <c r="X54" s="11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2.75" customHeight="1">
      <c r="A55" s="10"/>
      <c r="B55" s="11"/>
      <c r="C55" s="10"/>
      <c r="D55" s="11"/>
      <c r="E55" s="10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/>
      <c r="V55" s="11"/>
      <c r="W55" s="10"/>
      <c r="X55" s="11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2.75" customHeight="1">
      <c r="A56" s="10"/>
      <c r="B56" s="11"/>
      <c r="C56" s="10"/>
      <c r="D56" s="11"/>
      <c r="E56" s="10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/>
      <c r="V56" s="11"/>
      <c r="W56" s="10"/>
      <c r="X56" s="11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2.75" customHeight="1">
      <c r="A57" s="10"/>
      <c r="B57" s="11"/>
      <c r="C57" s="10"/>
      <c r="D57" s="11"/>
      <c r="E57" s="10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/>
      <c r="V57" s="11"/>
      <c r="W57" s="10"/>
      <c r="X57" s="11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2.75" customHeight="1">
      <c r="A58" s="10"/>
      <c r="B58" s="11"/>
      <c r="C58" s="10"/>
      <c r="D58" s="11"/>
      <c r="E58" s="10"/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/>
      <c r="V58" s="11"/>
      <c r="W58" s="10"/>
      <c r="X58" s="11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2.75" customHeight="1">
      <c r="A59" s="10"/>
      <c r="B59" s="11"/>
      <c r="C59" s="10"/>
      <c r="D59" s="11"/>
      <c r="E59" s="10"/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/>
      <c r="V59" s="11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2.75" customHeight="1">
      <c r="A60" s="10"/>
      <c r="B60" s="11"/>
      <c r="C60" s="10"/>
      <c r="D60" s="11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/>
      <c r="V60" s="11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2.75" customHeight="1">
      <c r="A61" s="10"/>
      <c r="B61" s="11"/>
      <c r="C61" s="10"/>
      <c r="D61" s="11"/>
      <c r="E61" s="10"/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/>
      <c r="V61" s="11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2.75" customHeight="1">
      <c r="A62" s="10"/>
      <c r="B62" s="11"/>
      <c r="C62" s="10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/>
      <c r="V62" s="11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2.75" customHeight="1">
      <c r="A63" s="10"/>
      <c r="B63" s="11"/>
      <c r="C63" s="10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2.75" customHeight="1">
      <c r="A64" s="10"/>
      <c r="B64" s="11"/>
      <c r="C64" s="10"/>
      <c r="D64" s="11"/>
      <c r="E64" s="10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2.75" customHeight="1">
      <c r="A65" s="10"/>
      <c r="B65" s="11"/>
      <c r="C65" s="10"/>
      <c r="D65" s="11"/>
      <c r="E65" s="10"/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2.75" customHeight="1">
      <c r="A66" s="10"/>
      <c r="B66" s="11"/>
      <c r="C66" s="10"/>
      <c r="D66" s="11"/>
      <c r="E66" s="10"/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2.75" customHeight="1">
      <c r="A67" s="10"/>
      <c r="B67" s="11"/>
      <c r="C67" s="10"/>
      <c r="D67" s="11"/>
      <c r="E67" s="10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2.75" customHeight="1">
      <c r="A68" s="10"/>
      <c r="B68" s="11"/>
      <c r="C68" s="10"/>
      <c r="D68" s="11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2.75" customHeight="1">
      <c r="A69" s="10"/>
      <c r="B69" s="11"/>
      <c r="C69" s="10"/>
      <c r="D69" s="11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2.75" customHeight="1">
      <c r="A70" s="10"/>
      <c r="B70" s="11"/>
      <c r="C70" s="10"/>
      <c r="D70" s="11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2.75" customHeight="1">
      <c r="A71" s="10"/>
      <c r="B71" s="11"/>
      <c r="C71" s="10"/>
      <c r="D71" s="11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2.75" customHeight="1">
      <c r="A72" s="10"/>
      <c r="B72" s="11"/>
      <c r="C72" s="10"/>
      <c r="D72" s="11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2.75" customHeight="1">
      <c r="A73" s="10"/>
      <c r="B73" s="11"/>
      <c r="C73" s="10"/>
      <c r="D73" s="11"/>
      <c r="E73" s="10"/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2.75" customHeight="1">
      <c r="A74" s="10"/>
      <c r="B74" s="11"/>
      <c r="C74" s="10"/>
      <c r="D74" s="11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2.75" customHeight="1">
      <c r="A75" s="10"/>
      <c r="B75" s="11"/>
      <c r="C75" s="10"/>
      <c r="D75" s="11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2.75" customHeight="1">
      <c r="A76" s="10"/>
      <c r="B76" s="11"/>
      <c r="C76" s="10"/>
      <c r="D76" s="11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2.75" customHeight="1">
      <c r="A77" s="10"/>
      <c r="B77" s="11"/>
      <c r="C77" s="10"/>
      <c r="D77" s="11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2.75" customHeight="1">
      <c r="A78" s="10"/>
      <c r="B78" s="11"/>
      <c r="C78" s="10"/>
      <c r="D78" s="11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2.75" customHeight="1">
      <c r="A79" s="10"/>
      <c r="B79" s="11"/>
      <c r="C79" s="10"/>
      <c r="D79" s="11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2.75" customHeight="1">
      <c r="A80" s="10"/>
      <c r="B80" s="11"/>
      <c r="C80" s="10"/>
      <c r="D80" s="11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2.75" customHeight="1">
      <c r="A81" s="10"/>
      <c r="B81" s="11"/>
      <c r="C81" s="10"/>
      <c r="D81" s="11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2.75" customHeight="1">
      <c r="A82" s="10"/>
      <c r="B82" s="11"/>
      <c r="C82" s="10"/>
      <c r="D82" s="11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2.75" customHeight="1">
      <c r="A83" s="10"/>
      <c r="B83" s="11"/>
      <c r="C83" s="10"/>
      <c r="D83" s="11"/>
      <c r="E83" s="10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2.75" customHeight="1">
      <c r="A84" s="10"/>
      <c r="B84" s="11"/>
      <c r="C84" s="10"/>
      <c r="D84" s="11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2.75" customHeight="1">
      <c r="A85" s="10"/>
      <c r="B85" s="11"/>
      <c r="C85" s="10"/>
      <c r="D85" s="11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2.75" customHeight="1">
      <c r="A86" s="10"/>
      <c r="B86" s="11"/>
      <c r="C86" s="10"/>
      <c r="D86" s="11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2.75" customHeight="1">
      <c r="A87" s="10"/>
      <c r="B87" s="11"/>
      <c r="C87" s="10"/>
      <c r="D87" s="11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2.75" customHeight="1">
      <c r="A88" s="10"/>
      <c r="B88" s="11"/>
      <c r="C88" s="10"/>
      <c r="D88" s="11"/>
      <c r="E88" s="10"/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2.75" customHeight="1">
      <c r="A89" s="10"/>
      <c r="B89" s="11"/>
      <c r="C89" s="10"/>
      <c r="D89" s="11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2.75" customHeight="1">
      <c r="A90" s="10"/>
      <c r="B90" s="11"/>
      <c r="C90" s="10"/>
      <c r="D90" s="11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2.75" customHeight="1">
      <c r="A91" s="10"/>
      <c r="B91" s="11"/>
      <c r="C91" s="10"/>
      <c r="D91" s="11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2.75" customHeight="1">
      <c r="A92" s="10"/>
      <c r="B92" s="11"/>
      <c r="C92" s="10"/>
      <c r="D92" s="11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2.75" customHeight="1">
      <c r="A93" s="10"/>
      <c r="B93" s="11"/>
      <c r="C93" s="10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2.75" customHeight="1">
      <c r="A94" s="10"/>
      <c r="B94" s="11"/>
      <c r="C94" s="10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2.75" customHeight="1">
      <c r="A95" s="10"/>
      <c r="B95" s="11"/>
      <c r="C95" s="10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2.75" customHeight="1">
      <c r="A96" s="10"/>
      <c r="B96" s="11"/>
      <c r="C96" s="10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2.75" customHeight="1">
      <c r="A97" s="10"/>
      <c r="B97" s="11"/>
      <c r="C97" s="10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2.75" customHeight="1">
      <c r="A98" s="10"/>
      <c r="B98" s="11"/>
      <c r="C98" s="10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2.75" customHeight="1">
      <c r="A99" s="10"/>
      <c r="B99" s="11"/>
      <c r="C99" s="10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2.75" customHeight="1">
      <c r="A100" s="10"/>
      <c r="B100" s="11"/>
      <c r="C100" s="10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2.75" customHeight="1">
      <c r="A101" s="10"/>
      <c r="B101" s="11"/>
      <c r="C101" s="10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2.75" customHeight="1">
      <c r="A102" s="10"/>
      <c r="B102" s="11"/>
      <c r="C102" s="10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2.75" customHeight="1">
      <c r="A103" s="10"/>
      <c r="B103" s="11"/>
      <c r="C103" s="10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2.75" customHeight="1">
      <c r="A104" s="10"/>
      <c r="B104" s="11"/>
      <c r="C104" s="10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2.75" customHeight="1">
      <c r="A105" s="10"/>
      <c r="B105" s="11"/>
      <c r="C105" s="10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2.75" customHeight="1">
      <c r="A106" s="10"/>
      <c r="B106" s="11"/>
      <c r="C106" s="10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2.75" customHeight="1">
      <c r="A107" s="10"/>
      <c r="B107" s="11"/>
      <c r="C107" s="10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2.75" customHeight="1">
      <c r="A108" s="10"/>
      <c r="B108" s="11"/>
      <c r="C108" s="10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2.75" customHeight="1">
      <c r="A109" s="10"/>
      <c r="B109" s="11"/>
      <c r="C109" s="10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2.75" customHeight="1">
      <c r="A110" s="10"/>
      <c r="B110" s="11"/>
      <c r="C110" s="10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2.75" customHeight="1">
      <c r="A111" s="10"/>
      <c r="B111" s="11"/>
      <c r="C111" s="10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2.75" customHeight="1">
      <c r="A112" s="10"/>
      <c r="B112" s="11"/>
      <c r="C112" s="10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2.75" customHeight="1">
      <c r="A113" s="10"/>
      <c r="B113" s="11"/>
      <c r="C113" s="10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2.75" customHeight="1">
      <c r="A114" s="10"/>
      <c r="B114" s="11"/>
      <c r="C114" s="10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2.75" customHeight="1">
      <c r="A115" s="10"/>
      <c r="B115" s="11"/>
      <c r="C115" s="10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2.75" customHeight="1">
      <c r="A116" s="10"/>
      <c r="B116" s="11"/>
      <c r="C116" s="10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2.75" customHeight="1">
      <c r="A117" s="10"/>
      <c r="B117" s="11"/>
      <c r="C117" s="10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2.75" customHeight="1">
      <c r="A118" s="10"/>
      <c r="B118" s="11"/>
      <c r="C118" s="10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2.75" customHeight="1">
      <c r="A119" s="10"/>
      <c r="B119" s="11"/>
      <c r="C119" s="10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2.75" customHeight="1">
      <c r="A120" s="10"/>
      <c r="B120" s="11"/>
      <c r="C120" s="10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2.75" customHeight="1">
      <c r="A121" s="10"/>
      <c r="B121" s="11"/>
      <c r="C121" s="10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2.75" customHeight="1">
      <c r="A122" s="10"/>
      <c r="B122" s="11"/>
      <c r="C122" s="10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2.75" customHeight="1">
      <c r="A123" s="10"/>
      <c r="B123" s="11"/>
      <c r="C123" s="10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2.75" customHeight="1">
      <c r="A124" s="10"/>
      <c r="B124" s="11"/>
      <c r="C124" s="10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2.75" customHeight="1">
      <c r="A125" s="10"/>
      <c r="B125" s="11"/>
      <c r="C125" s="10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2.75" customHeight="1">
      <c r="A126" s="10"/>
      <c r="B126" s="11"/>
      <c r="C126" s="10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2.75" customHeight="1">
      <c r="A127" s="10"/>
      <c r="B127" s="11"/>
      <c r="C127" s="10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2.75" customHeight="1">
      <c r="A128" s="10"/>
      <c r="B128" s="11"/>
      <c r="C128" s="10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2.75" customHeight="1">
      <c r="A129" s="10"/>
      <c r="B129" s="11"/>
      <c r="C129" s="10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2.75" customHeight="1">
      <c r="A130" s="10"/>
      <c r="B130" s="11"/>
      <c r="C130" s="10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2.75" customHeight="1">
      <c r="A131" s="10"/>
      <c r="B131" s="11"/>
      <c r="C131" s="10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2.75" customHeight="1">
      <c r="A132" s="10"/>
      <c r="B132" s="11"/>
      <c r="C132" s="10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2.75" customHeight="1">
      <c r="A133" s="10"/>
      <c r="B133" s="11"/>
      <c r="C133" s="10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2.75" customHeight="1">
      <c r="A134" s="10"/>
      <c r="B134" s="11"/>
      <c r="C134" s="10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2.75" customHeight="1">
      <c r="A135" s="10"/>
      <c r="B135" s="11"/>
      <c r="C135" s="10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2.75" customHeight="1">
      <c r="A136" s="10"/>
      <c r="B136" s="11"/>
      <c r="C136" s="10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2.75" customHeight="1">
      <c r="A137" s="10"/>
      <c r="B137" s="11"/>
      <c r="C137" s="10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2.75" customHeight="1">
      <c r="A138" s="10"/>
      <c r="B138" s="11"/>
      <c r="C138" s="10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2.75" customHeight="1">
      <c r="A139" s="10"/>
      <c r="B139" s="11"/>
      <c r="C139" s="10"/>
      <c r="D139" s="11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2.75" customHeight="1">
      <c r="A140" s="10"/>
      <c r="B140" s="11"/>
      <c r="C140" s="10"/>
      <c r="D140" s="11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2.75" customHeight="1">
      <c r="A141" s="10"/>
      <c r="B141" s="11"/>
      <c r="C141" s="10"/>
      <c r="D141" s="11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2.75" customHeight="1">
      <c r="A142" s="10"/>
      <c r="B142" s="11"/>
      <c r="C142" s="10"/>
      <c r="D142" s="11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2.75" customHeight="1">
      <c r="A143" s="10"/>
      <c r="B143" s="11"/>
      <c r="C143" s="10"/>
      <c r="D143" s="11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2.75" customHeight="1">
      <c r="A144" s="10"/>
      <c r="B144" s="11"/>
      <c r="C144" s="10"/>
      <c r="D144" s="11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2.75" customHeight="1">
      <c r="A145" s="10"/>
      <c r="B145" s="11"/>
      <c r="C145" s="10"/>
      <c r="D145" s="11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/>
      <c r="V145" s="11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2.75" customHeight="1">
      <c r="A146" s="10"/>
      <c r="B146" s="11"/>
      <c r="C146" s="10"/>
      <c r="D146" s="11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/>
      <c r="V146" s="11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2.75" customHeight="1">
      <c r="A147" s="10"/>
      <c r="B147" s="11"/>
      <c r="C147" s="10"/>
      <c r="D147" s="11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/>
      <c r="V147" s="11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2.75" customHeight="1">
      <c r="A148" s="10"/>
      <c r="B148" s="11"/>
      <c r="C148" s="10"/>
      <c r="D148" s="11"/>
      <c r="E148" s="10"/>
      <c r="F148" s="1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/>
      <c r="V148" s="11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2.75" customHeight="1">
      <c r="A149" s="10"/>
      <c r="B149" s="11"/>
      <c r="C149" s="10"/>
      <c r="D149" s="11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2.75" customHeight="1">
      <c r="A150" s="10"/>
      <c r="B150" s="11"/>
      <c r="C150" s="10"/>
      <c r="D150" s="11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2.75" customHeight="1">
      <c r="A151" s="10"/>
      <c r="B151" s="11"/>
      <c r="C151" s="10"/>
      <c r="D151" s="11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2.75" customHeight="1">
      <c r="A152" s="10"/>
      <c r="B152" s="11"/>
      <c r="C152" s="10"/>
      <c r="D152" s="11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2.75" customHeight="1">
      <c r="A153" s="10"/>
      <c r="B153" s="11"/>
      <c r="C153" s="10"/>
      <c r="D153" s="11"/>
      <c r="E153" s="10"/>
      <c r="F153" s="1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2.75" customHeight="1">
      <c r="A154" s="10"/>
      <c r="B154" s="11"/>
      <c r="C154" s="10"/>
      <c r="D154" s="11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2.75" customHeight="1">
      <c r="A155" s="10"/>
      <c r="B155" s="11"/>
      <c r="C155" s="10"/>
      <c r="D155" s="11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  <c r="W155" s="10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2.75" customHeight="1">
      <c r="A156" s="10"/>
      <c r="B156" s="11"/>
      <c r="C156" s="10"/>
      <c r="D156" s="11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  <c r="W156" s="10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2.75" customHeight="1">
      <c r="A157" s="10"/>
      <c r="B157" s="11"/>
      <c r="C157" s="10"/>
      <c r="D157" s="11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  <c r="W157" s="10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2.75" customHeight="1">
      <c r="A158" s="10"/>
      <c r="B158" s="11"/>
      <c r="C158" s="10"/>
      <c r="D158" s="11"/>
      <c r="E158" s="10"/>
      <c r="F158" s="1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  <c r="W158" s="10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2.75" customHeight="1">
      <c r="A159" s="10"/>
      <c r="B159" s="11"/>
      <c r="C159" s="10"/>
      <c r="D159" s="11"/>
      <c r="E159" s="10"/>
      <c r="F159" s="1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2.75" customHeight="1">
      <c r="A160" s="10"/>
      <c r="B160" s="11"/>
      <c r="C160" s="10"/>
      <c r="D160" s="11"/>
      <c r="E160" s="10"/>
      <c r="F160" s="1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  <c r="W160" s="10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2.75" customHeight="1">
      <c r="A161" s="10"/>
      <c r="B161" s="11"/>
      <c r="C161" s="10"/>
      <c r="D161" s="11"/>
      <c r="E161" s="10"/>
      <c r="F161" s="1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/>
      <c r="V161" s="11"/>
      <c r="W161" s="10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2.75" customHeight="1">
      <c r="A162" s="10"/>
      <c r="B162" s="11"/>
      <c r="C162" s="10"/>
      <c r="D162" s="11"/>
      <c r="E162" s="10"/>
      <c r="F162" s="1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/>
      <c r="V162" s="11"/>
      <c r="W162" s="10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2.75" customHeight="1">
      <c r="A163" s="10"/>
      <c r="B163" s="11"/>
      <c r="C163" s="10"/>
      <c r="D163" s="11"/>
      <c r="E163" s="10"/>
      <c r="F163" s="1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/>
      <c r="V163" s="11"/>
      <c r="W163" s="10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2.75" customHeight="1">
      <c r="A164" s="10"/>
      <c r="B164" s="11"/>
      <c r="C164" s="10"/>
      <c r="D164" s="11"/>
      <c r="E164" s="10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  <c r="W164" s="10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2.75" customHeight="1">
      <c r="A165" s="10"/>
      <c r="B165" s="11"/>
      <c r="C165" s="10"/>
      <c r="D165" s="11"/>
      <c r="E165" s="10"/>
      <c r="F165" s="1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  <c r="W165" s="10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2.75" customHeight="1">
      <c r="A166" s="10"/>
      <c r="B166" s="11"/>
      <c r="C166" s="10"/>
      <c r="D166" s="11"/>
      <c r="E166" s="10"/>
      <c r="F166" s="1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/>
      <c r="V166" s="11"/>
      <c r="W166" s="10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2.75" customHeight="1">
      <c r="A167" s="10"/>
      <c r="B167" s="11"/>
      <c r="C167" s="10"/>
      <c r="D167" s="11"/>
      <c r="E167" s="10"/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/>
      <c r="V167" s="11"/>
      <c r="W167" s="10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2.75" customHeight="1">
      <c r="A168" s="10"/>
      <c r="B168" s="11"/>
      <c r="C168" s="10"/>
      <c r="D168" s="11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/>
      <c r="V168" s="11"/>
      <c r="W168" s="10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2.75" customHeight="1">
      <c r="A169" s="10"/>
      <c r="B169" s="11"/>
      <c r="C169" s="10"/>
      <c r="D169" s="11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/>
      <c r="V169" s="11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2.75" customHeight="1">
      <c r="A170" s="10"/>
      <c r="B170" s="11"/>
      <c r="C170" s="10"/>
      <c r="D170" s="11"/>
      <c r="E170" s="10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/>
      <c r="V170" s="11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2.75" customHeight="1">
      <c r="A171" s="10"/>
      <c r="B171" s="11"/>
      <c r="C171" s="10"/>
      <c r="D171" s="11"/>
      <c r="E171" s="10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/>
      <c r="V171" s="11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2.75" customHeight="1">
      <c r="A172" s="10"/>
      <c r="B172" s="11"/>
      <c r="C172" s="10"/>
      <c r="D172" s="11"/>
      <c r="E172" s="10"/>
      <c r="F172" s="1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/>
      <c r="V172" s="11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2.75" customHeight="1">
      <c r="A173" s="10"/>
      <c r="B173" s="11"/>
      <c r="C173" s="10"/>
      <c r="D173" s="11"/>
      <c r="E173" s="10"/>
      <c r="F173" s="1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/>
      <c r="V173" s="11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2.75" customHeight="1">
      <c r="A174" s="10"/>
      <c r="B174" s="11"/>
      <c r="C174" s="10"/>
      <c r="D174" s="11"/>
      <c r="E174" s="10"/>
      <c r="F174" s="1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/>
      <c r="V174" s="11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2.75" customHeight="1">
      <c r="A175" s="10"/>
      <c r="B175" s="11"/>
      <c r="C175" s="10"/>
      <c r="D175" s="11"/>
      <c r="E175" s="10"/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/>
      <c r="V175" s="11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2.75" customHeight="1">
      <c r="A176" s="10"/>
      <c r="B176" s="11"/>
      <c r="C176" s="10"/>
      <c r="D176" s="11"/>
      <c r="E176" s="10"/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/>
      <c r="V176" s="11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2.75" customHeight="1">
      <c r="A177" s="10"/>
      <c r="B177" s="11"/>
      <c r="C177" s="10"/>
      <c r="D177" s="11"/>
      <c r="E177" s="10"/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/>
      <c r="V177" s="11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2.75" customHeight="1">
      <c r="A178" s="10"/>
      <c r="B178" s="11"/>
      <c r="C178" s="10"/>
      <c r="D178" s="11"/>
      <c r="E178" s="10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/>
      <c r="V178" s="11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2.75" customHeight="1">
      <c r="A179" s="10"/>
      <c r="B179" s="11"/>
      <c r="C179" s="10"/>
      <c r="D179" s="11"/>
      <c r="E179" s="10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/>
      <c r="V179" s="11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2.75" customHeight="1">
      <c r="A180" s="10"/>
      <c r="B180" s="11"/>
      <c r="C180" s="10"/>
      <c r="D180" s="11"/>
      <c r="E180" s="10"/>
      <c r="F180" s="1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/>
      <c r="V180" s="11"/>
      <c r="W180" s="10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2.75" customHeight="1">
      <c r="A181" s="10"/>
      <c r="B181" s="11"/>
      <c r="C181" s="10"/>
      <c r="D181" s="11"/>
      <c r="E181" s="10"/>
      <c r="F181" s="1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/>
      <c r="V181" s="11"/>
      <c r="W181" s="10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2.75" customHeight="1">
      <c r="A182" s="10"/>
      <c r="B182" s="11"/>
      <c r="C182" s="10"/>
      <c r="D182" s="11"/>
      <c r="E182" s="10"/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/>
      <c r="V182" s="11"/>
      <c r="W182" s="10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2.75" customHeight="1">
      <c r="A183" s="10"/>
      <c r="B183" s="11"/>
      <c r="C183" s="10"/>
      <c r="D183" s="11"/>
      <c r="E183" s="10"/>
      <c r="F183" s="1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/>
      <c r="V183" s="11"/>
      <c r="W183" s="10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2.75" customHeight="1">
      <c r="A184" s="10"/>
      <c r="B184" s="11"/>
      <c r="C184" s="10"/>
      <c r="D184" s="11"/>
      <c r="E184" s="10"/>
      <c r="F184" s="1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/>
      <c r="V184" s="11"/>
      <c r="W184" s="10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2.75" customHeight="1">
      <c r="A185" s="10"/>
      <c r="B185" s="11"/>
      <c r="C185" s="10"/>
      <c r="D185" s="11"/>
      <c r="E185" s="10"/>
      <c r="F185" s="1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/>
      <c r="V185" s="11"/>
      <c r="W185" s="10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2.75" customHeight="1">
      <c r="A186" s="10"/>
      <c r="B186" s="11"/>
      <c r="C186" s="10"/>
      <c r="D186" s="11"/>
      <c r="E186" s="10"/>
      <c r="F186" s="1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/>
      <c r="V186" s="11"/>
      <c r="W186" s="10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2.75" customHeight="1">
      <c r="A187" s="10"/>
      <c r="B187" s="11"/>
      <c r="C187" s="10"/>
      <c r="D187" s="11"/>
      <c r="E187" s="10"/>
      <c r="F187" s="1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/>
      <c r="V187" s="11"/>
      <c r="W187" s="10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2.75" customHeight="1">
      <c r="A188" s="10"/>
      <c r="B188" s="11"/>
      <c r="C188" s="10"/>
      <c r="D188" s="11"/>
      <c r="E188" s="10"/>
      <c r="F188" s="1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/>
      <c r="V188" s="11"/>
      <c r="W188" s="10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2.75" customHeight="1">
      <c r="A189" s="10"/>
      <c r="B189" s="11"/>
      <c r="C189" s="10"/>
      <c r="D189" s="11"/>
      <c r="E189" s="10"/>
      <c r="F189" s="1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/>
      <c r="V189" s="11"/>
      <c r="W189" s="10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2.75" customHeight="1">
      <c r="A190" s="10"/>
      <c r="B190" s="11"/>
      <c r="C190" s="10"/>
      <c r="D190" s="11"/>
      <c r="E190" s="10"/>
      <c r="F190" s="1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/>
      <c r="V190" s="11"/>
      <c r="W190" s="10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2.75" customHeight="1">
      <c r="A191" s="10"/>
      <c r="B191" s="11"/>
      <c r="C191" s="10"/>
      <c r="D191" s="11"/>
      <c r="E191" s="10"/>
      <c r="F191" s="1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/>
      <c r="V191" s="11"/>
      <c r="W191" s="10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2.75" customHeight="1">
      <c r="A192" s="10"/>
      <c r="B192" s="11"/>
      <c r="C192" s="10"/>
      <c r="D192" s="11"/>
      <c r="E192" s="10"/>
      <c r="F192" s="1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/>
      <c r="V192" s="11"/>
      <c r="W192" s="10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2.75" customHeight="1">
      <c r="A193" s="10"/>
      <c r="B193" s="11"/>
      <c r="C193" s="10"/>
      <c r="D193" s="11"/>
      <c r="E193" s="10"/>
      <c r="F193" s="1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/>
      <c r="V193" s="11"/>
      <c r="W193" s="10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2.75" customHeight="1">
      <c r="A194" s="10"/>
      <c r="B194" s="11"/>
      <c r="C194" s="10"/>
      <c r="D194" s="11"/>
      <c r="E194" s="10"/>
      <c r="F194" s="1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/>
      <c r="V194" s="11"/>
      <c r="W194" s="10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2.75" customHeight="1">
      <c r="A195" s="10"/>
      <c r="B195" s="11"/>
      <c r="C195" s="10"/>
      <c r="D195" s="11"/>
      <c r="E195" s="10"/>
      <c r="F195" s="1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/>
      <c r="V195" s="11"/>
      <c r="W195" s="10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2.75" customHeight="1">
      <c r="A196" s="10"/>
      <c r="B196" s="11"/>
      <c r="C196" s="10"/>
      <c r="D196" s="11"/>
      <c r="E196" s="10"/>
      <c r="F196" s="1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/>
      <c r="V196" s="11"/>
      <c r="W196" s="10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2.75" customHeight="1">
      <c r="A197" s="10"/>
      <c r="B197" s="11"/>
      <c r="C197" s="10"/>
      <c r="D197" s="11"/>
      <c r="E197" s="10"/>
      <c r="F197" s="1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/>
      <c r="V197" s="11"/>
      <c r="W197" s="10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2.75" customHeight="1">
      <c r="A198" s="10"/>
      <c r="B198" s="11"/>
      <c r="C198" s="10"/>
      <c r="D198" s="11"/>
      <c r="E198" s="10"/>
      <c r="F198" s="1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/>
      <c r="V198" s="11"/>
      <c r="W198" s="10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2.75" customHeight="1">
      <c r="A199" s="10"/>
      <c r="B199" s="11"/>
      <c r="C199" s="10"/>
      <c r="D199" s="11"/>
      <c r="E199" s="10"/>
      <c r="F199" s="1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/>
      <c r="V199" s="11"/>
      <c r="W199" s="10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2.75" customHeight="1">
      <c r="A200" s="10"/>
      <c r="B200" s="11"/>
      <c r="C200" s="10"/>
      <c r="D200" s="11"/>
      <c r="E200" s="10"/>
      <c r="F200" s="1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/>
      <c r="V200" s="11"/>
      <c r="W200" s="10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2.75" customHeight="1">
      <c r="A201" s="10"/>
      <c r="B201" s="11"/>
      <c r="C201" s="10"/>
      <c r="D201" s="11"/>
      <c r="E201" s="10"/>
      <c r="F201" s="1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/>
      <c r="V201" s="11"/>
      <c r="W201" s="10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2.75" customHeight="1">
      <c r="A202" s="10"/>
      <c r="B202" s="11"/>
      <c r="C202" s="10"/>
      <c r="D202" s="11"/>
      <c r="E202" s="10"/>
      <c r="F202" s="1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/>
      <c r="V202" s="11"/>
      <c r="W202" s="10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2.75" customHeight="1">
      <c r="A203" s="10"/>
      <c r="B203" s="11"/>
      <c r="C203" s="10"/>
      <c r="D203" s="11"/>
      <c r="E203" s="10"/>
      <c r="F203" s="1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0"/>
      <c r="V203" s="11"/>
      <c r="W203" s="10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2.75" customHeight="1">
      <c r="A204" s="10"/>
      <c r="B204" s="11"/>
      <c r="C204" s="10"/>
      <c r="D204" s="11"/>
      <c r="E204" s="10"/>
      <c r="F204" s="1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0"/>
      <c r="V204" s="11"/>
      <c r="W204" s="10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2.75" customHeight="1">
      <c r="A205" s="10"/>
      <c r="B205" s="11"/>
      <c r="C205" s="10"/>
      <c r="D205" s="11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0"/>
      <c r="V205" s="11"/>
      <c r="W205" s="10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2.75" customHeight="1">
      <c r="A206" s="10"/>
      <c r="B206" s="11"/>
      <c r="C206" s="10"/>
      <c r="D206" s="11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0"/>
      <c r="V206" s="11"/>
      <c r="W206" s="10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2.75" customHeight="1">
      <c r="A207" s="10"/>
      <c r="B207" s="11"/>
      <c r="C207" s="10"/>
      <c r="D207" s="11"/>
      <c r="E207" s="10"/>
      <c r="F207" s="1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0"/>
      <c r="V207" s="11"/>
      <c r="W207" s="10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2.75" customHeight="1">
      <c r="A208" s="10"/>
      <c r="B208" s="11"/>
      <c r="C208" s="10"/>
      <c r="D208" s="11"/>
      <c r="E208" s="10"/>
      <c r="F208" s="1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0"/>
      <c r="V208" s="11"/>
      <c r="W208" s="10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2.75" customHeight="1">
      <c r="A209" s="10"/>
      <c r="B209" s="11"/>
      <c r="C209" s="10"/>
      <c r="D209" s="11"/>
      <c r="E209" s="10"/>
      <c r="F209" s="1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0"/>
      <c r="V209" s="11"/>
      <c r="W209" s="10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2.75" customHeight="1">
      <c r="A210" s="10"/>
      <c r="B210" s="11"/>
      <c r="C210" s="10"/>
      <c r="D210" s="11"/>
      <c r="E210" s="10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0"/>
      <c r="V210" s="11"/>
      <c r="W210" s="10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2.75" customHeight="1">
      <c r="A211" s="10"/>
      <c r="B211" s="11"/>
      <c r="C211" s="10"/>
      <c r="D211" s="11"/>
      <c r="E211" s="10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0"/>
      <c r="V211" s="11"/>
      <c r="W211" s="10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2.75" customHeight="1">
      <c r="A212" s="10"/>
      <c r="B212" s="11"/>
      <c r="C212" s="10"/>
      <c r="D212" s="11"/>
      <c r="E212" s="10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0"/>
      <c r="V212" s="11"/>
      <c r="W212" s="10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2.75" customHeight="1">
      <c r="A213" s="10"/>
      <c r="B213" s="11"/>
      <c r="C213" s="10"/>
      <c r="D213" s="11"/>
      <c r="E213" s="10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0"/>
      <c r="V213" s="11"/>
      <c r="W213" s="10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2.75" customHeight="1">
      <c r="A214" s="10"/>
      <c r="B214" s="11"/>
      <c r="C214" s="10"/>
      <c r="D214" s="11"/>
      <c r="E214" s="10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0"/>
      <c r="V214" s="11"/>
      <c r="W214" s="10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2.75" customHeight="1">
      <c r="A215" s="10"/>
      <c r="B215" s="11"/>
      <c r="C215" s="10"/>
      <c r="D215" s="11"/>
      <c r="E215" s="10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0"/>
      <c r="V215" s="11"/>
      <c r="W215" s="10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2.75" customHeight="1">
      <c r="A216" s="10"/>
      <c r="B216" s="11"/>
      <c r="C216" s="10"/>
      <c r="D216" s="11"/>
      <c r="E216" s="10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0"/>
      <c r="V216" s="11"/>
      <c r="W216" s="10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2.75" customHeight="1">
      <c r="A217" s="10"/>
      <c r="B217" s="11"/>
      <c r="C217" s="10"/>
      <c r="D217" s="11"/>
      <c r="E217" s="10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0"/>
      <c r="V217" s="11"/>
      <c r="W217" s="10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2.75" customHeight="1">
      <c r="A218" s="10"/>
      <c r="B218" s="11"/>
      <c r="C218" s="10"/>
      <c r="D218" s="11"/>
      <c r="E218" s="10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0"/>
      <c r="V218" s="11"/>
      <c r="W218" s="10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2.75" customHeight="1">
      <c r="A219" s="10"/>
      <c r="B219" s="11"/>
      <c r="C219" s="10"/>
      <c r="D219" s="11"/>
      <c r="E219" s="10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0"/>
      <c r="V219" s="11"/>
      <c r="W219" s="10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2.75" customHeight="1">
      <c r="A220" s="10"/>
      <c r="B220" s="11"/>
      <c r="C220" s="10"/>
      <c r="D220" s="11"/>
      <c r="E220" s="10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0"/>
      <c r="V220" s="11"/>
      <c r="W220" s="10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2.75" customHeight="1">
      <c r="A221" s="10"/>
      <c r="B221" s="11"/>
      <c r="C221" s="10"/>
      <c r="D221" s="11"/>
      <c r="E221" s="10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0"/>
      <c r="V221" s="11"/>
      <c r="W221" s="10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2.75" customHeight="1">
      <c r="A222" s="10"/>
      <c r="B222" s="11"/>
      <c r="C222" s="10"/>
      <c r="D222" s="11"/>
      <c r="E222" s="10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0"/>
      <c r="V222" s="11"/>
      <c r="W222" s="10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2.75" customHeight="1">
      <c r="A223" s="10"/>
      <c r="B223" s="11"/>
      <c r="C223" s="10"/>
      <c r="D223" s="11"/>
      <c r="E223" s="10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0"/>
      <c r="V223" s="11"/>
      <c r="W223" s="10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2.75" customHeight="1">
      <c r="A224" s="10"/>
      <c r="B224" s="11"/>
      <c r="C224" s="10"/>
      <c r="D224" s="11"/>
      <c r="E224" s="10"/>
      <c r="F224" s="1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0"/>
      <c r="V224" s="11"/>
      <c r="W224" s="10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2.75" customHeight="1">
      <c r="A225" s="10"/>
      <c r="B225" s="11"/>
      <c r="C225" s="10"/>
      <c r="D225" s="11"/>
      <c r="E225" s="10"/>
      <c r="F225" s="1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0"/>
      <c r="V225" s="11"/>
      <c r="W225" s="10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2.75" customHeight="1">
      <c r="A226" s="10"/>
      <c r="B226" s="11"/>
      <c r="C226" s="10"/>
      <c r="D226" s="11"/>
      <c r="E226" s="10"/>
      <c r="F226" s="1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0"/>
      <c r="V226" s="11"/>
      <c r="W226" s="10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2.75" customHeight="1">
      <c r="A227" s="10"/>
      <c r="B227" s="11"/>
      <c r="C227" s="10"/>
      <c r="D227" s="11"/>
      <c r="E227" s="10"/>
      <c r="F227" s="1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0"/>
      <c r="V227" s="11"/>
      <c r="W227" s="10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2.75" customHeight="1">
      <c r="A228" s="10"/>
      <c r="B228" s="11"/>
      <c r="C228" s="10"/>
      <c r="D228" s="11"/>
      <c r="E228" s="10"/>
      <c r="F228" s="1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0"/>
      <c r="V228" s="11"/>
      <c r="W228" s="10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2.75" customHeight="1">
      <c r="A229" s="10"/>
      <c r="B229" s="11"/>
      <c r="C229" s="10"/>
      <c r="D229" s="11"/>
      <c r="E229" s="10"/>
      <c r="F229" s="1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0"/>
      <c r="V229" s="11"/>
      <c r="W229" s="10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2.75" customHeight="1">
      <c r="A230" s="10"/>
      <c r="B230" s="11"/>
      <c r="C230" s="10"/>
      <c r="D230" s="11"/>
      <c r="E230" s="10"/>
      <c r="F230" s="1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0"/>
      <c r="V230" s="11"/>
      <c r="W230" s="10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2.75" customHeight="1">
      <c r="A231" s="10"/>
      <c r="B231" s="11"/>
      <c r="C231" s="10"/>
      <c r="D231" s="11"/>
      <c r="E231" s="10"/>
      <c r="F231" s="1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0"/>
      <c r="V231" s="11"/>
      <c r="W231" s="10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2.75" customHeight="1">
      <c r="A232" s="10"/>
      <c r="B232" s="11"/>
      <c r="C232" s="10"/>
      <c r="D232" s="11"/>
      <c r="E232" s="10"/>
      <c r="F232" s="1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0"/>
      <c r="V232" s="11"/>
      <c r="W232" s="10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2.75" customHeight="1">
      <c r="A233" s="10"/>
      <c r="B233" s="11"/>
      <c r="C233" s="10"/>
      <c r="D233" s="11"/>
      <c r="E233" s="10"/>
      <c r="F233" s="1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0"/>
      <c r="V233" s="11"/>
      <c r="W233" s="10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2.75" customHeight="1">
      <c r="A234" s="10"/>
      <c r="B234" s="11"/>
      <c r="C234" s="10"/>
      <c r="D234" s="11"/>
      <c r="E234" s="10"/>
      <c r="F234" s="1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0"/>
      <c r="V234" s="11"/>
      <c r="W234" s="10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2.75" customHeight="1">
      <c r="A235" s="10"/>
      <c r="B235" s="11"/>
      <c r="C235" s="10"/>
      <c r="D235" s="11"/>
      <c r="E235" s="10"/>
      <c r="F235" s="1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0"/>
      <c r="V235" s="11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2.75" customHeight="1">
      <c r="A236" s="10"/>
      <c r="B236" s="11"/>
      <c r="C236" s="10"/>
      <c r="D236" s="11"/>
      <c r="E236" s="10"/>
      <c r="F236" s="1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0"/>
      <c r="V236" s="11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2.75" customHeight="1">
      <c r="A237" s="10"/>
      <c r="B237" s="11"/>
      <c r="C237" s="10"/>
      <c r="D237" s="11"/>
      <c r="E237" s="10"/>
      <c r="F237" s="1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0"/>
      <c r="V237" s="11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2.75" customHeight="1">
      <c r="A238" s="10"/>
      <c r="B238" s="11"/>
      <c r="C238" s="10"/>
      <c r="D238" s="11"/>
      <c r="E238" s="10"/>
      <c r="F238" s="1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0"/>
      <c r="V238" s="11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2.75" customHeight="1">
      <c r="A239" s="10"/>
      <c r="B239" s="11"/>
      <c r="C239" s="10"/>
      <c r="D239" s="11"/>
      <c r="E239" s="10"/>
      <c r="F239" s="1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0"/>
      <c r="V239" s="11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2.75" customHeight="1">
      <c r="A240" s="10"/>
      <c r="B240" s="11"/>
      <c r="C240" s="10"/>
      <c r="D240" s="11"/>
      <c r="E240" s="10"/>
      <c r="F240" s="1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0"/>
      <c r="V240" s="11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2.75" customHeight="1">
      <c r="A241" s="10"/>
      <c r="B241" s="11"/>
      <c r="C241" s="10"/>
      <c r="D241" s="11"/>
      <c r="E241" s="10"/>
      <c r="F241" s="1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0"/>
      <c r="V241" s="11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2.75" customHeight="1">
      <c r="A242" s="10"/>
      <c r="B242" s="11"/>
      <c r="C242" s="10"/>
      <c r="D242" s="11"/>
      <c r="E242" s="10"/>
      <c r="F242" s="1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0"/>
      <c r="V242" s="11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2.75" customHeight="1">
      <c r="A243" s="10"/>
      <c r="B243" s="11"/>
      <c r="C243" s="10"/>
      <c r="D243" s="11"/>
      <c r="E243" s="10"/>
      <c r="F243" s="1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0"/>
      <c r="V243" s="11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2.75" customHeight="1">
      <c r="A244" s="10"/>
      <c r="B244" s="11"/>
      <c r="C244" s="10"/>
      <c r="D244" s="11"/>
      <c r="E244" s="10"/>
      <c r="F244" s="1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0"/>
      <c r="V244" s="11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2.75" customHeight="1">
      <c r="A245" s="10"/>
      <c r="B245" s="11"/>
      <c r="C245" s="10"/>
      <c r="D245" s="11"/>
      <c r="E245" s="10"/>
      <c r="F245" s="1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0"/>
      <c r="V245" s="11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2.75" customHeight="1">
      <c r="A246" s="10"/>
      <c r="B246" s="11"/>
      <c r="C246" s="10"/>
      <c r="D246" s="11"/>
      <c r="E246" s="10"/>
      <c r="F246" s="1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0"/>
      <c r="V246" s="11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2.75" customHeight="1">
      <c r="A247" s="10"/>
      <c r="B247" s="11"/>
      <c r="C247" s="10"/>
      <c r="D247" s="11"/>
      <c r="E247" s="10"/>
      <c r="F247" s="1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0"/>
      <c r="V247" s="11"/>
      <c r="W247" s="10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2.75" customHeight="1">
      <c r="A248" s="10"/>
      <c r="B248" s="11"/>
      <c r="C248" s="10"/>
      <c r="D248" s="11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0"/>
      <c r="V248" s="11"/>
      <c r="W248" s="10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2.75" customHeight="1">
      <c r="A249" s="10"/>
      <c r="B249" s="11"/>
      <c r="C249" s="10"/>
      <c r="D249" s="11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0"/>
      <c r="V249" s="11"/>
      <c r="W249" s="10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2.75" customHeight="1">
      <c r="A250" s="10"/>
      <c r="B250" s="11"/>
      <c r="C250" s="10"/>
      <c r="D250" s="11"/>
      <c r="E250" s="10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0"/>
      <c r="V250" s="11"/>
      <c r="W250" s="10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2.75" customHeight="1">
      <c r="A251" s="10"/>
      <c r="B251" s="11"/>
      <c r="C251" s="10"/>
      <c r="D251" s="11"/>
      <c r="E251" s="10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0"/>
      <c r="V251" s="11"/>
      <c r="W251" s="10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2.75" customHeight="1">
      <c r="A252" s="10"/>
      <c r="B252" s="11"/>
      <c r="C252" s="10"/>
      <c r="D252" s="11"/>
      <c r="E252" s="10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0"/>
      <c r="V252" s="11"/>
      <c r="W252" s="10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2.75" customHeight="1">
      <c r="A253" s="10"/>
      <c r="B253" s="11"/>
      <c r="C253" s="10"/>
      <c r="D253" s="11"/>
      <c r="E253" s="10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0"/>
      <c r="V253" s="11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2.75" customHeight="1">
      <c r="A254" s="10"/>
      <c r="B254" s="11"/>
      <c r="C254" s="10"/>
      <c r="D254" s="11"/>
      <c r="E254" s="10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0"/>
      <c r="V254" s="11"/>
      <c r="W254" s="10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2.75" customHeight="1">
      <c r="A255" s="10"/>
      <c r="B255" s="11"/>
      <c r="C255" s="10"/>
      <c r="D255" s="11"/>
      <c r="E255" s="10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0"/>
      <c r="V255" s="11"/>
      <c r="W255" s="10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2.75" customHeight="1">
      <c r="A256" s="10"/>
      <c r="B256" s="11"/>
      <c r="C256" s="10"/>
      <c r="D256" s="11"/>
      <c r="E256" s="10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0"/>
      <c r="V256" s="11"/>
      <c r="W256" s="10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2.75" customHeight="1">
      <c r="A257" s="10"/>
      <c r="B257" s="11"/>
      <c r="C257" s="10"/>
      <c r="D257" s="11"/>
      <c r="E257" s="10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0"/>
      <c r="V257" s="11"/>
      <c r="W257" s="10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2.75" customHeight="1">
      <c r="A258" s="10"/>
      <c r="B258" s="11"/>
      <c r="C258" s="10"/>
      <c r="D258" s="11"/>
      <c r="E258" s="10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0"/>
      <c r="V258" s="11"/>
      <c r="W258" s="10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2.75" customHeight="1">
      <c r="A259" s="10"/>
      <c r="B259" s="11"/>
      <c r="C259" s="10"/>
      <c r="D259" s="11"/>
      <c r="E259" s="10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0"/>
      <c r="V259" s="11"/>
      <c r="W259" s="10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2.75" customHeight="1">
      <c r="A260" s="10"/>
      <c r="B260" s="11"/>
      <c r="C260" s="10"/>
      <c r="D260" s="11"/>
      <c r="E260" s="10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0"/>
      <c r="V260" s="11"/>
      <c r="W260" s="10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2.75" customHeight="1">
      <c r="A261" s="10"/>
      <c r="B261" s="11"/>
      <c r="C261" s="10"/>
      <c r="D261" s="11"/>
      <c r="E261" s="10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0"/>
      <c r="V261" s="11"/>
      <c r="W261" s="10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2.75" customHeight="1">
      <c r="A262" s="10"/>
      <c r="B262" s="11"/>
      <c r="C262" s="10"/>
      <c r="D262" s="11"/>
      <c r="E262" s="10"/>
      <c r="F262" s="1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0"/>
      <c r="V262" s="11"/>
      <c r="W262" s="10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2.75" customHeight="1">
      <c r="A263" s="10"/>
      <c r="B263" s="11"/>
      <c r="C263" s="10"/>
      <c r="D263" s="11"/>
      <c r="E263" s="10"/>
      <c r="F263" s="1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0"/>
      <c r="V263" s="11"/>
      <c r="W263" s="10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2.75" customHeight="1">
      <c r="A264" s="10"/>
      <c r="B264" s="11"/>
      <c r="C264" s="10"/>
      <c r="D264" s="11"/>
      <c r="E264" s="10"/>
      <c r="F264" s="1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0"/>
      <c r="V264" s="11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2.75" customHeight="1">
      <c r="A265" s="10"/>
      <c r="B265" s="11"/>
      <c r="C265" s="10"/>
      <c r="D265" s="11"/>
      <c r="E265" s="10"/>
      <c r="F265" s="1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0"/>
      <c r="V265" s="11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2.75" customHeight="1">
      <c r="A266" s="10"/>
      <c r="B266" s="11"/>
      <c r="C266" s="10"/>
      <c r="D266" s="11"/>
      <c r="E266" s="10"/>
      <c r="F266" s="1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0"/>
      <c r="V266" s="11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2.75" customHeight="1">
      <c r="A267" s="10"/>
      <c r="B267" s="11"/>
      <c r="C267" s="10"/>
      <c r="D267" s="11"/>
      <c r="E267" s="10"/>
      <c r="F267" s="1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0"/>
      <c r="V267" s="11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2.75" customHeight="1">
      <c r="A268" s="10"/>
      <c r="B268" s="11"/>
      <c r="C268" s="10"/>
      <c r="D268" s="11"/>
      <c r="E268" s="10"/>
      <c r="F268" s="1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0"/>
      <c r="V268" s="11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2.75" customHeight="1">
      <c r="A269" s="10"/>
      <c r="B269" s="11"/>
      <c r="C269" s="10"/>
      <c r="D269" s="11"/>
      <c r="E269" s="10"/>
      <c r="F269" s="1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0"/>
      <c r="V269" s="11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2.75" customHeight="1">
      <c r="A270" s="10"/>
      <c r="B270" s="11"/>
      <c r="C270" s="10"/>
      <c r="D270" s="11"/>
      <c r="E270" s="10"/>
      <c r="F270" s="1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0"/>
      <c r="V270" s="11"/>
      <c r="W270" s="10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2.75" customHeight="1">
      <c r="A271" s="10"/>
      <c r="B271" s="11"/>
      <c r="C271" s="10"/>
      <c r="D271" s="11"/>
      <c r="E271" s="10"/>
      <c r="F271" s="1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0"/>
      <c r="V271" s="11"/>
      <c r="W271" s="10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2.75" customHeight="1">
      <c r="A272" s="10"/>
      <c r="B272" s="11"/>
      <c r="C272" s="10"/>
      <c r="D272" s="11"/>
      <c r="E272" s="10"/>
      <c r="F272" s="1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0"/>
      <c r="V272" s="11"/>
      <c r="W272" s="10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2.75" customHeight="1">
      <c r="A273" s="10"/>
      <c r="B273" s="11"/>
      <c r="C273" s="10"/>
      <c r="D273" s="11"/>
      <c r="E273" s="10"/>
      <c r="F273" s="1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0"/>
      <c r="V273" s="11"/>
      <c r="W273" s="10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2.75" customHeight="1">
      <c r="A274" s="10"/>
      <c r="B274" s="11"/>
      <c r="C274" s="10"/>
      <c r="D274" s="11"/>
      <c r="E274" s="10"/>
      <c r="F274" s="1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0"/>
      <c r="V274" s="11"/>
      <c r="W274" s="10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2.75" customHeight="1">
      <c r="A275" s="10"/>
      <c r="B275" s="11"/>
      <c r="C275" s="10"/>
      <c r="D275" s="11"/>
      <c r="E275" s="10"/>
      <c r="F275" s="1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0"/>
      <c r="V275" s="11"/>
      <c r="W275" s="10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2.75" customHeight="1">
      <c r="A276" s="10"/>
      <c r="B276" s="11"/>
      <c r="C276" s="10"/>
      <c r="D276" s="11"/>
      <c r="E276" s="10"/>
      <c r="F276" s="1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0"/>
      <c r="V276" s="11"/>
      <c r="W276" s="10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2.75" customHeight="1">
      <c r="A277" s="10"/>
      <c r="B277" s="11"/>
      <c r="C277" s="10"/>
      <c r="D277" s="11"/>
      <c r="E277" s="10"/>
      <c r="F277" s="1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0"/>
      <c r="V277" s="11"/>
      <c r="W277" s="10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2.75" customHeight="1">
      <c r="A278" s="10"/>
      <c r="B278" s="11"/>
      <c r="C278" s="10"/>
      <c r="D278" s="11"/>
      <c r="E278" s="10"/>
      <c r="F278" s="1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0"/>
      <c r="V278" s="11"/>
      <c r="W278" s="10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2.75" customHeight="1">
      <c r="A279" s="10"/>
      <c r="B279" s="11"/>
      <c r="C279" s="10"/>
      <c r="D279" s="11"/>
      <c r="E279" s="10"/>
      <c r="F279" s="1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0"/>
      <c r="V279" s="11"/>
      <c r="W279" s="10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2.75" customHeight="1">
      <c r="A280" s="10"/>
      <c r="B280" s="11"/>
      <c r="C280" s="10"/>
      <c r="D280" s="11"/>
      <c r="E280" s="10"/>
      <c r="F280" s="1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0"/>
      <c r="V280" s="11"/>
      <c r="W280" s="10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2.75" customHeight="1">
      <c r="A281" s="10"/>
      <c r="B281" s="11"/>
      <c r="C281" s="10"/>
      <c r="D281" s="11"/>
      <c r="E281" s="10"/>
      <c r="F281" s="1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0"/>
      <c r="V281" s="11"/>
      <c r="W281" s="10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2.75" customHeight="1">
      <c r="A282" s="10"/>
      <c r="B282" s="11"/>
      <c r="C282" s="10"/>
      <c r="D282" s="11"/>
      <c r="E282" s="10"/>
      <c r="F282" s="1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0"/>
      <c r="V282" s="11"/>
      <c r="W282" s="10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2.75" customHeight="1">
      <c r="A283" s="10"/>
      <c r="B283" s="11"/>
      <c r="C283" s="10"/>
      <c r="D283" s="11"/>
      <c r="E283" s="10"/>
      <c r="F283" s="1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0"/>
      <c r="V283" s="11"/>
      <c r="W283" s="10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2.75" customHeight="1">
      <c r="A284" s="10"/>
      <c r="B284" s="11"/>
      <c r="C284" s="10"/>
      <c r="D284" s="11"/>
      <c r="E284" s="10"/>
      <c r="F284" s="1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0"/>
      <c r="V284" s="11"/>
      <c r="W284" s="10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2.75" customHeight="1">
      <c r="A285" s="10"/>
      <c r="B285" s="11"/>
      <c r="C285" s="10"/>
      <c r="D285" s="11"/>
      <c r="E285" s="10"/>
      <c r="F285" s="1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0"/>
      <c r="V285" s="11"/>
      <c r="W285" s="10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2.75" customHeight="1">
      <c r="A286" s="10"/>
      <c r="B286" s="11"/>
      <c r="C286" s="10"/>
      <c r="D286" s="11"/>
      <c r="E286" s="10"/>
      <c r="F286" s="1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0"/>
      <c r="V286" s="11"/>
      <c r="W286" s="10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2.75" customHeight="1">
      <c r="A287" s="10"/>
      <c r="B287" s="11"/>
      <c r="C287" s="10"/>
      <c r="D287" s="11"/>
      <c r="E287" s="10"/>
      <c r="F287" s="1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0"/>
      <c r="V287" s="11"/>
      <c r="W287" s="10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2.75" customHeight="1">
      <c r="A288" s="10"/>
      <c r="B288" s="11"/>
      <c r="C288" s="10"/>
      <c r="D288" s="11"/>
      <c r="E288" s="10"/>
      <c r="F288" s="1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0"/>
      <c r="V288" s="11"/>
      <c r="W288" s="10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2.75" customHeight="1">
      <c r="A289" s="10"/>
      <c r="B289" s="11"/>
      <c r="C289" s="10"/>
      <c r="D289" s="11"/>
      <c r="E289" s="10"/>
      <c r="F289" s="1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0"/>
      <c r="V289" s="11"/>
      <c r="W289" s="10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2.75" customHeight="1">
      <c r="A290" s="10"/>
      <c r="B290" s="11"/>
      <c r="C290" s="10"/>
      <c r="D290" s="11"/>
      <c r="E290" s="10"/>
      <c r="F290" s="1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0"/>
      <c r="V290" s="11"/>
      <c r="W290" s="10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2.75" customHeight="1">
      <c r="A291" s="10"/>
      <c r="B291" s="11"/>
      <c r="C291" s="10"/>
      <c r="D291" s="11"/>
      <c r="E291" s="10"/>
      <c r="F291" s="1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0"/>
      <c r="V291" s="11"/>
      <c r="W291" s="10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2.75" customHeight="1">
      <c r="A292" s="10"/>
      <c r="B292" s="11"/>
      <c r="C292" s="10"/>
      <c r="D292" s="11"/>
      <c r="E292" s="10"/>
      <c r="F292" s="1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0"/>
      <c r="V292" s="11"/>
      <c r="W292" s="10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2.75" customHeight="1">
      <c r="A293" s="10"/>
      <c r="B293" s="11"/>
      <c r="C293" s="10"/>
      <c r="D293" s="11"/>
      <c r="E293" s="10"/>
      <c r="F293" s="1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0"/>
      <c r="V293" s="11"/>
      <c r="W293" s="10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2.75" customHeight="1">
      <c r="A294" s="10"/>
      <c r="B294" s="11"/>
      <c r="C294" s="10"/>
      <c r="D294" s="11"/>
      <c r="E294" s="10"/>
      <c r="F294" s="1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0"/>
      <c r="V294" s="11"/>
      <c r="W294" s="10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2.75" customHeight="1">
      <c r="A295" s="10"/>
      <c r="B295" s="11"/>
      <c r="C295" s="10"/>
      <c r="D295" s="11"/>
      <c r="E295" s="10"/>
      <c r="F295" s="1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0"/>
      <c r="V295" s="11"/>
      <c r="W295" s="10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2.75" customHeight="1">
      <c r="A296" s="10"/>
      <c r="B296" s="11"/>
      <c r="C296" s="10"/>
      <c r="D296" s="11"/>
      <c r="E296" s="10"/>
      <c r="F296" s="1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0"/>
      <c r="V296" s="11"/>
      <c r="W296" s="10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2.75" customHeight="1">
      <c r="A297" s="10"/>
      <c r="B297" s="11"/>
      <c r="C297" s="10"/>
      <c r="D297" s="11"/>
      <c r="E297" s="10"/>
      <c r="F297" s="1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0"/>
      <c r="V297" s="11"/>
      <c r="W297" s="10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2.75" customHeight="1">
      <c r="A298" s="10"/>
      <c r="B298" s="11"/>
      <c r="C298" s="10"/>
      <c r="D298" s="11"/>
      <c r="E298" s="10"/>
      <c r="F298" s="1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0"/>
      <c r="V298" s="11"/>
      <c r="W298" s="10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2.75" customHeight="1">
      <c r="A299" s="10"/>
      <c r="B299" s="11"/>
      <c r="C299" s="10"/>
      <c r="D299" s="11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0"/>
      <c r="V299" s="11"/>
      <c r="W299" s="10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2.75" customHeight="1">
      <c r="A300" s="10"/>
      <c r="B300" s="11"/>
      <c r="C300" s="10"/>
      <c r="D300" s="11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0"/>
      <c r="V300" s="11"/>
      <c r="W300" s="10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2.75" customHeight="1">
      <c r="A301" s="10"/>
      <c r="B301" s="11"/>
      <c r="C301" s="10"/>
      <c r="D301" s="11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0"/>
      <c r="V301" s="11"/>
      <c r="W301" s="10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2.75" customHeight="1">
      <c r="A302" s="10"/>
      <c r="B302" s="11"/>
      <c r="C302" s="10"/>
      <c r="D302" s="11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0"/>
      <c r="V302" s="11"/>
      <c r="W302" s="10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2.75" customHeight="1">
      <c r="A303" s="10"/>
      <c r="B303" s="11"/>
      <c r="C303" s="10"/>
      <c r="D303" s="11"/>
      <c r="E303" s="10"/>
      <c r="F303" s="1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0"/>
      <c r="V303" s="11"/>
      <c r="W303" s="10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2.75" customHeight="1">
      <c r="A304" s="10"/>
      <c r="B304" s="11"/>
      <c r="C304" s="10"/>
      <c r="D304" s="11"/>
      <c r="E304" s="10"/>
      <c r="F304" s="1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0"/>
      <c r="V304" s="11"/>
      <c r="W304" s="10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2.75" customHeight="1">
      <c r="A305" s="10"/>
      <c r="B305" s="11"/>
      <c r="C305" s="10"/>
      <c r="D305" s="11"/>
      <c r="E305" s="10"/>
      <c r="F305" s="1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0"/>
      <c r="V305" s="11"/>
      <c r="W305" s="10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2.75" customHeight="1">
      <c r="A306" s="10"/>
      <c r="B306" s="11"/>
      <c r="C306" s="10"/>
      <c r="D306" s="11"/>
      <c r="E306" s="10"/>
      <c r="F306" s="1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/>
      <c r="V306" s="11"/>
      <c r="W306" s="10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2.75" customHeight="1">
      <c r="A307" s="10"/>
      <c r="B307" s="11"/>
      <c r="C307" s="10"/>
      <c r="D307" s="11"/>
      <c r="E307" s="10"/>
      <c r="F307" s="1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0"/>
      <c r="V307" s="11"/>
      <c r="W307" s="10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2.75" customHeight="1">
      <c r="A308" s="10"/>
      <c r="B308" s="11"/>
      <c r="C308" s="10"/>
      <c r="D308" s="11"/>
      <c r="E308" s="10"/>
      <c r="F308" s="1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0"/>
      <c r="V308" s="11"/>
      <c r="W308" s="10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2.75" customHeight="1">
      <c r="A309" s="10"/>
      <c r="B309" s="11"/>
      <c r="C309" s="10"/>
      <c r="D309" s="11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0"/>
      <c r="V309" s="11"/>
      <c r="W309" s="10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2.75" customHeight="1">
      <c r="A310" s="10"/>
      <c r="B310" s="11"/>
      <c r="C310" s="10"/>
      <c r="D310" s="11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0"/>
      <c r="V310" s="11"/>
      <c r="W310" s="10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2.75" customHeight="1">
      <c r="A311" s="10"/>
      <c r="B311" s="11"/>
      <c r="C311" s="10"/>
      <c r="D311" s="11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0"/>
      <c r="V311" s="11"/>
      <c r="W311" s="10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2.75" customHeight="1">
      <c r="A312" s="10"/>
      <c r="B312" s="11"/>
      <c r="C312" s="10"/>
      <c r="D312" s="11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0"/>
      <c r="V312" s="11"/>
      <c r="W312" s="10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2.75" customHeight="1">
      <c r="A313" s="10"/>
      <c r="B313" s="11"/>
      <c r="C313" s="10"/>
      <c r="D313" s="11"/>
      <c r="E313" s="10"/>
      <c r="F313" s="1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0"/>
      <c r="V313" s="11"/>
      <c r="W313" s="10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2.75" customHeight="1">
      <c r="A314" s="10"/>
      <c r="B314" s="11"/>
      <c r="C314" s="10"/>
      <c r="D314" s="11"/>
      <c r="E314" s="10"/>
      <c r="F314" s="1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0"/>
      <c r="V314" s="11"/>
      <c r="W314" s="10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2.75" customHeight="1">
      <c r="A315" s="10"/>
      <c r="B315" s="11"/>
      <c r="C315" s="10"/>
      <c r="D315" s="11"/>
      <c r="E315" s="10"/>
      <c r="F315" s="1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0"/>
      <c r="V315" s="11"/>
      <c r="W315" s="10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2.75" customHeight="1">
      <c r="A316" s="10"/>
      <c r="B316" s="11"/>
      <c r="C316" s="10"/>
      <c r="D316" s="11"/>
      <c r="E316" s="10"/>
      <c r="F316" s="1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/>
      <c r="V316" s="11"/>
      <c r="W316" s="10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2.75" customHeight="1">
      <c r="A317" s="10"/>
      <c r="B317" s="11"/>
      <c r="C317" s="10"/>
      <c r="D317" s="11"/>
      <c r="E317" s="10"/>
      <c r="F317" s="1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0"/>
      <c r="V317" s="11"/>
      <c r="W317" s="10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2.75" customHeight="1">
      <c r="A318" s="10"/>
      <c r="B318" s="11"/>
      <c r="C318" s="10"/>
      <c r="D318" s="11"/>
      <c r="E318" s="10"/>
      <c r="F318" s="1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0"/>
      <c r="V318" s="11"/>
      <c r="W318" s="10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2.75" customHeight="1">
      <c r="A319" s="10"/>
      <c r="B319" s="11"/>
      <c r="C319" s="10"/>
      <c r="D319" s="11"/>
      <c r="E319" s="10"/>
      <c r="F319" s="1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0"/>
      <c r="V319" s="11"/>
      <c r="W319" s="10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2.75" customHeight="1">
      <c r="A320" s="10"/>
      <c r="B320" s="11"/>
      <c r="C320" s="10"/>
      <c r="D320" s="11"/>
      <c r="E320" s="10"/>
      <c r="F320" s="1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0"/>
      <c r="V320" s="11"/>
      <c r="W320" s="10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2.75" customHeight="1">
      <c r="A321" s="10"/>
      <c r="B321" s="11"/>
      <c r="C321" s="10"/>
      <c r="D321" s="11"/>
      <c r="E321" s="10"/>
      <c r="F321" s="1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0"/>
      <c r="V321" s="11"/>
      <c r="W321" s="10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2.75" customHeight="1">
      <c r="A322" s="10"/>
      <c r="B322" s="11"/>
      <c r="C322" s="10"/>
      <c r="D322" s="11"/>
      <c r="E322" s="10"/>
      <c r="F322" s="1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0"/>
      <c r="V322" s="11"/>
      <c r="W322" s="10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2.75" customHeight="1">
      <c r="A323" s="10"/>
      <c r="B323" s="11"/>
      <c r="C323" s="10"/>
      <c r="D323" s="11"/>
      <c r="E323" s="10"/>
      <c r="F323" s="1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0"/>
      <c r="V323" s="11"/>
      <c r="W323" s="10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2.75" customHeight="1">
      <c r="A324" s="10"/>
      <c r="B324" s="11"/>
      <c r="C324" s="10"/>
      <c r="D324" s="11"/>
      <c r="E324" s="10"/>
      <c r="F324" s="1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0"/>
      <c r="V324" s="11"/>
      <c r="W324" s="10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2.75" customHeight="1">
      <c r="A325" s="10"/>
      <c r="B325" s="11"/>
      <c r="C325" s="10"/>
      <c r="D325" s="11"/>
      <c r="E325" s="10"/>
      <c r="F325" s="1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0"/>
      <c r="V325" s="11"/>
      <c r="W325" s="10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2.75" customHeight="1">
      <c r="A326" s="10"/>
      <c r="B326" s="11"/>
      <c r="C326" s="10"/>
      <c r="D326" s="11"/>
      <c r="E326" s="10"/>
      <c r="F326" s="1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0"/>
      <c r="V326" s="11"/>
      <c r="W326" s="10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2.75" customHeight="1">
      <c r="A327" s="10"/>
      <c r="B327" s="11"/>
      <c r="C327" s="10"/>
      <c r="D327" s="11"/>
      <c r="E327" s="10"/>
      <c r="F327" s="1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0"/>
      <c r="V327" s="11"/>
      <c r="W327" s="10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2.75" customHeight="1">
      <c r="A328" s="10"/>
      <c r="B328" s="11"/>
      <c r="C328" s="10"/>
      <c r="D328" s="11"/>
      <c r="E328" s="10"/>
      <c r="F328" s="1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0"/>
      <c r="V328" s="11"/>
      <c r="W328" s="10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2.75" customHeight="1">
      <c r="A329" s="10"/>
      <c r="B329" s="11"/>
      <c r="C329" s="10"/>
      <c r="D329" s="11"/>
      <c r="E329" s="10"/>
      <c r="F329" s="1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0"/>
      <c r="V329" s="11"/>
      <c r="W329" s="10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2.75" customHeight="1">
      <c r="A330" s="10"/>
      <c r="B330" s="11"/>
      <c r="C330" s="10"/>
      <c r="D330" s="11"/>
      <c r="E330" s="10"/>
      <c r="F330" s="1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0"/>
      <c r="V330" s="11"/>
      <c r="W330" s="10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2.75" customHeight="1">
      <c r="A331" s="10"/>
      <c r="B331" s="11"/>
      <c r="C331" s="10"/>
      <c r="D331" s="11"/>
      <c r="E331" s="10"/>
      <c r="F331" s="1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0"/>
      <c r="V331" s="11"/>
      <c r="W331" s="10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2.75" customHeight="1">
      <c r="A332" s="10"/>
      <c r="B332" s="11"/>
      <c r="C332" s="10"/>
      <c r="D332" s="11"/>
      <c r="E332" s="10"/>
      <c r="F332" s="1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0"/>
      <c r="V332" s="11"/>
      <c r="W332" s="10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2.75" customHeight="1">
      <c r="A333" s="10"/>
      <c r="B333" s="11"/>
      <c r="C333" s="10"/>
      <c r="D333" s="11"/>
      <c r="E333" s="10"/>
      <c r="F333" s="1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0"/>
      <c r="V333" s="11"/>
      <c r="W333" s="10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2.75" customHeight="1">
      <c r="A334" s="10"/>
      <c r="B334" s="11"/>
      <c r="C334" s="10"/>
      <c r="D334" s="11"/>
      <c r="E334" s="10"/>
      <c r="F334" s="1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0"/>
      <c r="V334" s="11"/>
      <c r="W334" s="10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2.75" customHeight="1">
      <c r="A335" s="10"/>
      <c r="B335" s="11"/>
      <c r="C335" s="10"/>
      <c r="D335" s="11"/>
      <c r="E335" s="10"/>
      <c r="F335" s="1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0"/>
      <c r="V335" s="11"/>
      <c r="W335" s="10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2.75" customHeight="1">
      <c r="A336" s="10"/>
      <c r="B336" s="11"/>
      <c r="C336" s="10"/>
      <c r="D336" s="11"/>
      <c r="E336" s="10"/>
      <c r="F336" s="1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0"/>
      <c r="V336" s="11"/>
      <c r="W336" s="10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2.75" customHeight="1">
      <c r="A337" s="10"/>
      <c r="B337" s="11"/>
      <c r="C337" s="10"/>
      <c r="D337" s="11"/>
      <c r="E337" s="10"/>
      <c r="F337" s="1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0"/>
      <c r="V337" s="11"/>
      <c r="W337" s="10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2.75" customHeight="1">
      <c r="A338" s="10"/>
      <c r="B338" s="11"/>
      <c r="C338" s="10"/>
      <c r="D338" s="11"/>
      <c r="E338" s="10"/>
      <c r="F338" s="1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0"/>
      <c r="V338" s="11"/>
      <c r="W338" s="10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2.75" customHeight="1">
      <c r="A339" s="10"/>
      <c r="B339" s="11"/>
      <c r="C339" s="10"/>
      <c r="D339" s="11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0"/>
      <c r="V339" s="11"/>
      <c r="W339" s="10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2.75" customHeight="1">
      <c r="A340" s="10"/>
      <c r="B340" s="11"/>
      <c r="C340" s="10"/>
      <c r="D340" s="11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0"/>
      <c r="V340" s="11"/>
      <c r="W340" s="10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2.75" customHeight="1">
      <c r="A341" s="10"/>
      <c r="B341" s="11"/>
      <c r="C341" s="10"/>
      <c r="D341" s="11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0"/>
      <c r="V341" s="11"/>
      <c r="W341" s="10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2.75" customHeight="1">
      <c r="A342" s="10"/>
      <c r="B342" s="11"/>
      <c r="C342" s="10"/>
      <c r="D342" s="11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0"/>
      <c r="V342" s="11"/>
      <c r="W342" s="10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2.75" customHeight="1">
      <c r="A343" s="10"/>
      <c r="B343" s="11"/>
      <c r="C343" s="10"/>
      <c r="D343" s="11"/>
      <c r="E343" s="10"/>
      <c r="F343" s="1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0"/>
      <c r="V343" s="11"/>
      <c r="W343" s="10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2.75" customHeight="1">
      <c r="A344" s="10"/>
      <c r="B344" s="11"/>
      <c r="C344" s="10"/>
      <c r="D344" s="11"/>
      <c r="E344" s="10"/>
      <c r="F344" s="1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0"/>
      <c r="V344" s="11"/>
      <c r="W344" s="10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2.75" customHeight="1">
      <c r="A345" s="10"/>
      <c r="B345" s="11"/>
      <c r="C345" s="10"/>
      <c r="D345" s="11"/>
      <c r="E345" s="10"/>
      <c r="F345" s="1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0"/>
      <c r="V345" s="11"/>
      <c r="W345" s="10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2.75" customHeight="1">
      <c r="A346" s="10"/>
      <c r="B346" s="11"/>
      <c r="C346" s="10"/>
      <c r="D346" s="11"/>
      <c r="E346" s="10"/>
      <c r="F346" s="1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0"/>
      <c r="V346" s="11"/>
      <c r="W346" s="10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2.75" customHeight="1">
      <c r="A347" s="10"/>
      <c r="B347" s="11"/>
      <c r="C347" s="10"/>
      <c r="D347" s="11"/>
      <c r="E347" s="10"/>
      <c r="F347" s="1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0"/>
      <c r="V347" s="11"/>
      <c r="W347" s="10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2.75" customHeight="1">
      <c r="A348" s="10"/>
      <c r="B348" s="11"/>
      <c r="C348" s="10"/>
      <c r="D348" s="11"/>
      <c r="E348" s="10"/>
      <c r="F348" s="1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0"/>
      <c r="V348" s="11"/>
      <c r="W348" s="10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2.75" customHeight="1">
      <c r="A349" s="10"/>
      <c r="B349" s="11"/>
      <c r="C349" s="10"/>
      <c r="D349" s="11"/>
      <c r="E349" s="10"/>
      <c r="F349" s="1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0"/>
      <c r="V349" s="11"/>
      <c r="W349" s="10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2.75" customHeight="1">
      <c r="A350" s="10"/>
      <c r="B350" s="11"/>
      <c r="C350" s="10"/>
      <c r="D350" s="11"/>
      <c r="E350" s="10"/>
      <c r="F350" s="1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0"/>
      <c r="V350" s="11"/>
      <c r="W350" s="10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2.75" customHeight="1">
      <c r="A351" s="10"/>
      <c r="B351" s="11"/>
      <c r="C351" s="10"/>
      <c r="D351" s="11"/>
      <c r="E351" s="10"/>
      <c r="F351" s="1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0"/>
      <c r="V351" s="11"/>
      <c r="W351" s="10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2.75" customHeight="1">
      <c r="A352" s="10"/>
      <c r="B352" s="11"/>
      <c r="C352" s="10"/>
      <c r="D352" s="11"/>
      <c r="E352" s="10"/>
      <c r="F352" s="1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0"/>
      <c r="V352" s="11"/>
      <c r="W352" s="10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2.75" customHeight="1">
      <c r="A353" s="10"/>
      <c r="B353" s="11"/>
      <c r="C353" s="10"/>
      <c r="D353" s="11"/>
      <c r="E353" s="10"/>
      <c r="F353" s="1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0"/>
      <c r="V353" s="11"/>
      <c r="W353" s="10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2.75" customHeight="1">
      <c r="A354" s="10"/>
      <c r="B354" s="11"/>
      <c r="C354" s="10"/>
      <c r="D354" s="11"/>
      <c r="E354" s="10"/>
      <c r="F354" s="1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0"/>
      <c r="V354" s="11"/>
      <c r="W354" s="10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2.75" customHeight="1">
      <c r="A355" s="10"/>
      <c r="B355" s="11"/>
      <c r="C355" s="10"/>
      <c r="D355" s="11"/>
      <c r="E355" s="10"/>
      <c r="F355" s="1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0"/>
      <c r="V355" s="11"/>
      <c r="W355" s="10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2.75" customHeight="1">
      <c r="A356" s="10"/>
      <c r="B356" s="11"/>
      <c r="C356" s="10"/>
      <c r="D356" s="11"/>
      <c r="E356" s="10"/>
      <c r="F356" s="1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0"/>
      <c r="V356" s="11"/>
      <c r="W356" s="10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2.75" customHeight="1">
      <c r="A357" s="10"/>
      <c r="B357" s="11"/>
      <c r="C357" s="10"/>
      <c r="D357" s="11"/>
      <c r="E357" s="10"/>
      <c r="F357" s="1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0"/>
      <c r="V357" s="11"/>
      <c r="W357" s="10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2.75" customHeight="1">
      <c r="A358" s="10"/>
      <c r="B358" s="11"/>
      <c r="C358" s="10"/>
      <c r="D358" s="11"/>
      <c r="E358" s="10"/>
      <c r="F358" s="1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0"/>
      <c r="V358" s="11"/>
      <c r="W358" s="10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2.75" customHeight="1">
      <c r="A359" s="10"/>
      <c r="B359" s="11"/>
      <c r="C359" s="10"/>
      <c r="D359" s="11"/>
      <c r="E359" s="10"/>
      <c r="F359" s="1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0"/>
      <c r="V359" s="11"/>
      <c r="W359" s="10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2.75" customHeight="1">
      <c r="A360" s="10"/>
      <c r="B360" s="11"/>
      <c r="C360" s="10"/>
      <c r="D360" s="11"/>
      <c r="E360" s="10"/>
      <c r="F360" s="1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0"/>
      <c r="V360" s="11"/>
      <c r="W360" s="10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2.75" customHeight="1">
      <c r="A361" s="10"/>
      <c r="B361" s="11"/>
      <c r="C361" s="10"/>
      <c r="D361" s="11"/>
      <c r="E361" s="10"/>
      <c r="F361" s="1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0"/>
      <c r="V361" s="11"/>
      <c r="W361" s="10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2.75" customHeight="1">
      <c r="A362" s="10"/>
      <c r="B362" s="11"/>
      <c r="C362" s="10"/>
      <c r="D362" s="11"/>
      <c r="E362" s="10"/>
      <c r="F362" s="1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0"/>
      <c r="V362" s="11"/>
      <c r="W362" s="10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2.75" customHeight="1">
      <c r="A363" s="10"/>
      <c r="B363" s="11"/>
      <c r="C363" s="10"/>
      <c r="D363" s="11"/>
      <c r="E363" s="10"/>
      <c r="F363" s="1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0"/>
      <c r="V363" s="11"/>
      <c r="W363" s="10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2.75" customHeight="1">
      <c r="A364" s="10"/>
      <c r="B364" s="11"/>
      <c r="C364" s="10"/>
      <c r="D364" s="11"/>
      <c r="E364" s="10"/>
      <c r="F364" s="1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0"/>
      <c r="V364" s="11"/>
      <c r="W364" s="10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2.75" customHeight="1">
      <c r="A365" s="10"/>
      <c r="B365" s="11"/>
      <c r="C365" s="10"/>
      <c r="D365" s="11"/>
      <c r="E365" s="10"/>
      <c r="F365" s="1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0"/>
      <c r="V365" s="11"/>
      <c r="W365" s="10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2.75" customHeight="1">
      <c r="A366" s="10"/>
      <c r="B366" s="11"/>
      <c r="C366" s="10"/>
      <c r="D366" s="11"/>
      <c r="E366" s="10"/>
      <c r="F366" s="1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0"/>
      <c r="V366" s="11"/>
      <c r="W366" s="10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2.75" customHeight="1">
      <c r="A367" s="10"/>
      <c r="B367" s="11"/>
      <c r="C367" s="10"/>
      <c r="D367" s="11"/>
      <c r="E367" s="10"/>
      <c r="F367" s="1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0"/>
      <c r="V367" s="11"/>
      <c r="W367" s="10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2.75" customHeight="1">
      <c r="A368" s="10"/>
      <c r="B368" s="11"/>
      <c r="C368" s="10"/>
      <c r="D368" s="11"/>
      <c r="E368" s="10"/>
      <c r="F368" s="1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0"/>
      <c r="V368" s="11"/>
      <c r="W368" s="10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2.75" customHeight="1">
      <c r="A369" s="10"/>
      <c r="B369" s="11"/>
      <c r="C369" s="10"/>
      <c r="D369" s="11"/>
      <c r="E369" s="10"/>
      <c r="F369" s="1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0"/>
      <c r="V369" s="11"/>
      <c r="W369" s="10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2.75" customHeight="1">
      <c r="A370" s="10"/>
      <c r="B370" s="11"/>
      <c r="C370" s="10"/>
      <c r="D370" s="11"/>
      <c r="E370" s="10"/>
      <c r="F370" s="1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0"/>
      <c r="V370" s="11"/>
      <c r="W370" s="10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2.75" customHeight="1">
      <c r="A371" s="10"/>
      <c r="B371" s="11"/>
      <c r="C371" s="10"/>
      <c r="D371" s="11"/>
      <c r="E371" s="10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0"/>
      <c r="V371" s="11"/>
      <c r="W371" s="10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2.75" customHeight="1">
      <c r="A372" s="10"/>
      <c r="B372" s="11"/>
      <c r="C372" s="10"/>
      <c r="D372" s="11"/>
      <c r="E372" s="10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0"/>
      <c r="V372" s="11"/>
      <c r="W372" s="10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2.75" customHeight="1">
      <c r="A373" s="10"/>
      <c r="B373" s="11"/>
      <c r="C373" s="10"/>
      <c r="D373" s="11"/>
      <c r="E373" s="10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0"/>
      <c r="V373" s="11"/>
      <c r="W373" s="10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2.75" customHeight="1">
      <c r="A374" s="10"/>
      <c r="B374" s="11"/>
      <c r="C374" s="10"/>
      <c r="D374" s="11"/>
      <c r="E374" s="10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0"/>
      <c r="V374" s="11"/>
      <c r="W374" s="10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2.75" customHeight="1">
      <c r="A375" s="10"/>
      <c r="B375" s="11"/>
      <c r="C375" s="10"/>
      <c r="D375" s="11"/>
      <c r="E375" s="10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0"/>
      <c r="V375" s="11"/>
      <c r="W375" s="10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2.75" customHeight="1">
      <c r="A376" s="10"/>
      <c r="B376" s="11"/>
      <c r="C376" s="10"/>
      <c r="D376" s="11"/>
      <c r="E376" s="10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0"/>
      <c r="V376" s="11"/>
      <c r="W376" s="10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2.75" customHeight="1">
      <c r="A377" s="10"/>
      <c r="B377" s="11"/>
      <c r="C377" s="10"/>
      <c r="D377" s="11"/>
      <c r="E377" s="10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0"/>
      <c r="V377" s="11"/>
      <c r="W377" s="10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2.75" customHeight="1">
      <c r="A378" s="10"/>
      <c r="B378" s="11"/>
      <c r="C378" s="10"/>
      <c r="D378" s="11"/>
      <c r="E378" s="10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0"/>
      <c r="V378" s="11"/>
      <c r="W378" s="10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2.75" customHeight="1">
      <c r="A379" s="10"/>
      <c r="B379" s="11"/>
      <c r="C379" s="10"/>
      <c r="D379" s="11"/>
      <c r="E379" s="10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0"/>
      <c r="V379" s="11"/>
      <c r="W379" s="10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2.75" customHeight="1">
      <c r="A380" s="10"/>
      <c r="B380" s="11"/>
      <c r="C380" s="10"/>
      <c r="D380" s="11"/>
      <c r="E380" s="10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0"/>
      <c r="V380" s="11"/>
      <c r="W380" s="10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2.75" customHeight="1">
      <c r="A381" s="10"/>
      <c r="B381" s="11"/>
      <c r="C381" s="10"/>
      <c r="D381" s="11"/>
      <c r="E381" s="10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0"/>
      <c r="V381" s="11"/>
      <c r="W381" s="10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2.75" customHeight="1">
      <c r="A382" s="10"/>
      <c r="B382" s="11"/>
      <c r="C382" s="10"/>
      <c r="D382" s="11"/>
      <c r="E382" s="10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0"/>
      <c r="V382" s="11"/>
      <c r="W382" s="10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2.75" customHeight="1">
      <c r="A383" s="10"/>
      <c r="B383" s="11"/>
      <c r="C383" s="10"/>
      <c r="D383" s="11"/>
      <c r="E383" s="10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0"/>
      <c r="V383" s="11"/>
      <c r="W383" s="10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2.75" customHeight="1">
      <c r="A384" s="10"/>
      <c r="B384" s="11"/>
      <c r="C384" s="10"/>
      <c r="D384" s="11"/>
      <c r="E384" s="10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0"/>
      <c r="V384" s="11"/>
      <c r="W384" s="10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2.75" customHeight="1">
      <c r="A385" s="10"/>
      <c r="B385" s="11"/>
      <c r="C385" s="10"/>
      <c r="D385" s="11"/>
      <c r="E385" s="10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0"/>
      <c r="V385" s="11"/>
      <c r="W385" s="10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2.75" customHeight="1">
      <c r="A386" s="10"/>
      <c r="B386" s="11"/>
      <c r="C386" s="10"/>
      <c r="D386" s="11"/>
      <c r="E386" s="10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0"/>
      <c r="V386" s="11"/>
      <c r="W386" s="10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2.75" customHeight="1">
      <c r="A387" s="10"/>
      <c r="B387" s="11"/>
      <c r="C387" s="10"/>
      <c r="D387" s="11"/>
      <c r="E387" s="10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0"/>
      <c r="V387" s="11"/>
      <c r="W387" s="10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2.75" customHeight="1">
      <c r="A388" s="10"/>
      <c r="B388" s="11"/>
      <c r="C388" s="10"/>
      <c r="D388" s="11"/>
      <c r="E388" s="10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0"/>
      <c r="V388" s="11"/>
      <c r="W388" s="10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2.75" customHeight="1">
      <c r="A389" s="10"/>
      <c r="B389" s="11"/>
      <c r="C389" s="10"/>
      <c r="D389" s="11"/>
      <c r="E389" s="10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0"/>
      <c r="V389" s="11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2.75" customHeight="1">
      <c r="A390" s="10"/>
      <c r="B390" s="11"/>
      <c r="C390" s="10"/>
      <c r="D390" s="11"/>
      <c r="E390" s="10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0"/>
      <c r="V390" s="11"/>
      <c r="W390" s="10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2.75" customHeight="1">
      <c r="A391" s="10"/>
      <c r="B391" s="11"/>
      <c r="C391" s="10"/>
      <c r="D391" s="11"/>
      <c r="E391" s="10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0"/>
      <c r="V391" s="11"/>
      <c r="W391" s="10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2.75" customHeight="1">
      <c r="A392" s="10"/>
      <c r="B392" s="11"/>
      <c r="C392" s="10"/>
      <c r="D392" s="11"/>
      <c r="E392" s="10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0"/>
      <c r="V392" s="11"/>
      <c r="W392" s="10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2.75" customHeight="1">
      <c r="A393" s="10"/>
      <c r="B393" s="11"/>
      <c r="C393" s="10"/>
      <c r="D393" s="11"/>
      <c r="E393" s="10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0"/>
      <c r="V393" s="11"/>
      <c r="W393" s="10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2.75" customHeight="1">
      <c r="A394" s="10"/>
      <c r="B394" s="11"/>
      <c r="C394" s="10"/>
      <c r="D394" s="11"/>
      <c r="E394" s="10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0"/>
      <c r="V394" s="11"/>
      <c r="W394" s="10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2.75" customHeight="1">
      <c r="A395" s="10"/>
      <c r="B395" s="11"/>
      <c r="C395" s="10"/>
      <c r="D395" s="11"/>
      <c r="E395" s="10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0"/>
      <c r="V395" s="11"/>
      <c r="W395" s="10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2.75" customHeight="1">
      <c r="A396" s="10"/>
      <c r="B396" s="11"/>
      <c r="C396" s="10"/>
      <c r="D396" s="11"/>
      <c r="E396" s="10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0"/>
      <c r="V396" s="11"/>
      <c r="W396" s="10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2.75" customHeight="1">
      <c r="A397" s="10"/>
      <c r="B397" s="11"/>
      <c r="C397" s="10"/>
      <c r="D397" s="11"/>
      <c r="E397" s="10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0"/>
      <c r="V397" s="11"/>
      <c r="W397" s="10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2.75" customHeight="1">
      <c r="A398" s="10"/>
      <c r="B398" s="11"/>
      <c r="C398" s="10"/>
      <c r="D398" s="11"/>
      <c r="E398" s="10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0"/>
      <c r="V398" s="11"/>
      <c r="W398" s="10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2.75" customHeight="1">
      <c r="A399" s="10"/>
      <c r="B399" s="11"/>
      <c r="C399" s="10"/>
      <c r="D399" s="11"/>
      <c r="E399" s="10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0"/>
      <c r="V399" s="11"/>
      <c r="W399" s="10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2.75" customHeight="1">
      <c r="A400" s="10"/>
      <c r="B400" s="11"/>
      <c r="C400" s="10"/>
      <c r="D400" s="11"/>
      <c r="E400" s="10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0"/>
      <c r="V400" s="11"/>
      <c r="W400" s="10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2.75" customHeight="1">
      <c r="A401" s="10"/>
      <c r="B401" s="11"/>
      <c r="C401" s="10"/>
      <c r="D401" s="11"/>
      <c r="E401" s="10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0"/>
      <c r="V401" s="11"/>
      <c r="W401" s="10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2.75" customHeight="1">
      <c r="A402" s="10"/>
      <c r="B402" s="11"/>
      <c r="C402" s="10"/>
      <c r="D402" s="11"/>
      <c r="E402" s="10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0"/>
      <c r="V402" s="11"/>
      <c r="W402" s="10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2.75" customHeight="1">
      <c r="A403" s="10"/>
      <c r="B403" s="11"/>
      <c r="C403" s="10"/>
      <c r="D403" s="11"/>
      <c r="E403" s="10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0"/>
      <c r="V403" s="11"/>
      <c r="W403" s="10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2.75" customHeight="1">
      <c r="A404" s="10"/>
      <c r="B404" s="11"/>
      <c r="C404" s="10"/>
      <c r="D404" s="11"/>
      <c r="E404" s="10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0"/>
      <c r="V404" s="11"/>
      <c r="W404" s="10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2.75" customHeight="1">
      <c r="A405" s="10"/>
      <c r="B405" s="11"/>
      <c r="C405" s="10"/>
      <c r="D405" s="11"/>
      <c r="E405" s="10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0"/>
      <c r="V405" s="11"/>
      <c r="W405" s="10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2.75" customHeight="1">
      <c r="A406" s="10"/>
      <c r="B406" s="11"/>
      <c r="C406" s="10"/>
      <c r="D406" s="11"/>
      <c r="E406" s="10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0"/>
      <c r="V406" s="11"/>
      <c r="W406" s="10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2.75" customHeight="1">
      <c r="A407" s="10"/>
      <c r="B407" s="11"/>
      <c r="C407" s="10"/>
      <c r="D407" s="11"/>
      <c r="E407" s="10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0"/>
      <c r="V407" s="11"/>
      <c r="W407" s="10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2.75" customHeight="1">
      <c r="A408" s="10"/>
      <c r="B408" s="11"/>
      <c r="C408" s="10"/>
      <c r="D408" s="11"/>
      <c r="E408" s="10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0"/>
      <c r="V408" s="11"/>
      <c r="W408" s="10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2.75" customHeight="1">
      <c r="A409" s="10"/>
      <c r="B409" s="11"/>
      <c r="C409" s="10"/>
      <c r="D409" s="11"/>
      <c r="E409" s="10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0"/>
      <c r="V409" s="11"/>
      <c r="W409" s="10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2.75" customHeight="1">
      <c r="A410" s="10"/>
      <c r="B410" s="11"/>
      <c r="C410" s="10"/>
      <c r="D410" s="11"/>
      <c r="E410" s="10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0"/>
      <c r="V410" s="11"/>
      <c r="W410" s="10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2.75" customHeight="1">
      <c r="A411" s="10"/>
      <c r="B411" s="11"/>
      <c r="C411" s="10"/>
      <c r="D411" s="11"/>
      <c r="E411" s="10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0"/>
      <c r="V411" s="11"/>
      <c r="W411" s="10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2.75" customHeight="1">
      <c r="A412" s="10"/>
      <c r="B412" s="11"/>
      <c r="C412" s="10"/>
      <c r="D412" s="11"/>
      <c r="E412" s="10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0"/>
      <c r="V412" s="11"/>
      <c r="W412" s="10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2.75" customHeight="1">
      <c r="A413" s="10"/>
      <c r="B413" s="11"/>
      <c r="C413" s="10"/>
      <c r="D413" s="11"/>
      <c r="E413" s="10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0"/>
      <c r="V413" s="11"/>
      <c r="W413" s="10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2.75" customHeight="1">
      <c r="A414" s="10"/>
      <c r="B414" s="11"/>
      <c r="C414" s="10"/>
      <c r="D414" s="11"/>
      <c r="E414" s="10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0"/>
      <c r="V414" s="11"/>
      <c r="W414" s="10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2.75" customHeight="1">
      <c r="A415" s="10"/>
      <c r="B415" s="11"/>
      <c r="C415" s="10"/>
      <c r="D415" s="11"/>
      <c r="E415" s="10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0"/>
      <c r="V415" s="11"/>
      <c r="W415" s="10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2.75" customHeight="1">
      <c r="A416" s="10"/>
      <c r="B416" s="11"/>
      <c r="C416" s="10"/>
      <c r="D416" s="11"/>
      <c r="E416" s="10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0"/>
      <c r="V416" s="11"/>
      <c r="W416" s="10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2.75" customHeight="1">
      <c r="A417" s="10"/>
      <c r="B417" s="11"/>
      <c r="C417" s="10"/>
      <c r="D417" s="11"/>
      <c r="E417" s="10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0"/>
      <c r="V417" s="11"/>
      <c r="W417" s="10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2.75" customHeight="1">
      <c r="A418" s="10"/>
      <c r="B418" s="11"/>
      <c r="C418" s="10"/>
      <c r="D418" s="11"/>
      <c r="E418" s="10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0"/>
      <c r="V418" s="11"/>
      <c r="W418" s="10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2.75" customHeight="1">
      <c r="A419" s="10"/>
      <c r="B419" s="11"/>
      <c r="C419" s="10"/>
      <c r="D419" s="11"/>
      <c r="E419" s="10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0"/>
      <c r="V419" s="11"/>
      <c r="W419" s="10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2.75" customHeight="1">
      <c r="A420" s="10"/>
      <c r="B420" s="11"/>
      <c r="C420" s="10"/>
      <c r="D420" s="11"/>
      <c r="E420" s="10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0"/>
      <c r="V420" s="11"/>
      <c r="W420" s="10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2.75" customHeight="1">
      <c r="A421" s="10"/>
      <c r="B421" s="11"/>
      <c r="C421" s="10"/>
      <c r="D421" s="11"/>
      <c r="E421" s="10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0"/>
      <c r="V421" s="11"/>
      <c r="W421" s="10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2.75" customHeight="1">
      <c r="A422" s="10"/>
      <c r="B422" s="11"/>
      <c r="C422" s="10"/>
      <c r="D422" s="11"/>
      <c r="E422" s="10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0"/>
      <c r="V422" s="11"/>
      <c r="W422" s="10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2.75" customHeight="1">
      <c r="A423" s="10"/>
      <c r="B423" s="11"/>
      <c r="C423" s="10"/>
      <c r="D423" s="11"/>
      <c r="E423" s="10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0"/>
      <c r="V423" s="11"/>
      <c r="W423" s="10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2.75" customHeight="1">
      <c r="A424" s="10"/>
      <c r="B424" s="11"/>
      <c r="C424" s="10"/>
      <c r="D424" s="11"/>
      <c r="E424" s="10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0"/>
      <c r="V424" s="11"/>
      <c r="W424" s="10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2.75" customHeight="1">
      <c r="A425" s="10"/>
      <c r="B425" s="11"/>
      <c r="C425" s="10"/>
      <c r="D425" s="11"/>
      <c r="E425" s="10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0"/>
      <c r="V425" s="11"/>
      <c r="W425" s="10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2.75" customHeight="1">
      <c r="A426" s="10"/>
      <c r="B426" s="11"/>
      <c r="C426" s="10"/>
      <c r="D426" s="11"/>
      <c r="E426" s="10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0"/>
      <c r="V426" s="11"/>
      <c r="W426" s="10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2.75" customHeight="1">
      <c r="A427" s="10"/>
      <c r="B427" s="11"/>
      <c r="C427" s="10"/>
      <c r="D427" s="11"/>
      <c r="E427" s="10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0"/>
      <c r="V427" s="11"/>
      <c r="W427" s="10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2.75" customHeight="1">
      <c r="A428" s="10"/>
      <c r="B428" s="11"/>
      <c r="C428" s="10"/>
      <c r="D428" s="11"/>
      <c r="E428" s="10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0"/>
      <c r="V428" s="11"/>
      <c r="W428" s="10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2.75" customHeight="1">
      <c r="A429" s="10"/>
      <c r="B429" s="11"/>
      <c r="C429" s="10"/>
      <c r="D429" s="11"/>
      <c r="E429" s="10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0"/>
      <c r="V429" s="11"/>
      <c r="W429" s="10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2.75" customHeight="1">
      <c r="A430" s="10"/>
      <c r="B430" s="11"/>
      <c r="C430" s="10"/>
      <c r="D430" s="11"/>
      <c r="E430" s="10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0"/>
      <c r="V430" s="11"/>
      <c r="W430" s="10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2.75" customHeight="1">
      <c r="A431" s="10"/>
      <c r="B431" s="11"/>
      <c r="C431" s="10"/>
      <c r="D431" s="11"/>
      <c r="E431" s="10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0"/>
      <c r="V431" s="11"/>
      <c r="W431" s="10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2.75" customHeight="1">
      <c r="A432" s="10"/>
      <c r="B432" s="11"/>
      <c r="C432" s="10"/>
      <c r="D432" s="11"/>
      <c r="E432" s="10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0"/>
      <c r="V432" s="11"/>
      <c r="W432" s="10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2.75" customHeight="1">
      <c r="A433" s="10"/>
      <c r="B433" s="11"/>
      <c r="C433" s="10"/>
      <c r="D433" s="11"/>
      <c r="E433" s="10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0"/>
      <c r="V433" s="11"/>
      <c r="W433" s="10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2.75" customHeight="1">
      <c r="A434" s="10"/>
      <c r="B434" s="11"/>
      <c r="C434" s="10"/>
      <c r="D434" s="11"/>
      <c r="E434" s="10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0"/>
      <c r="V434" s="11"/>
      <c r="W434" s="10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2.75" customHeight="1">
      <c r="A435" s="10"/>
      <c r="B435" s="11"/>
      <c r="C435" s="10"/>
      <c r="D435" s="11"/>
      <c r="E435" s="10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0"/>
      <c r="V435" s="11"/>
      <c r="W435" s="10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2.75" customHeight="1">
      <c r="A436" s="10"/>
      <c r="B436" s="11"/>
      <c r="C436" s="10"/>
      <c r="D436" s="11"/>
      <c r="E436" s="10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0"/>
      <c r="V436" s="11"/>
      <c r="W436" s="10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2.75" customHeight="1">
      <c r="A437" s="10"/>
      <c r="B437" s="11"/>
      <c r="C437" s="10"/>
      <c r="D437" s="11"/>
      <c r="E437" s="10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0"/>
      <c r="V437" s="11"/>
      <c r="W437" s="10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2.75" customHeight="1">
      <c r="A438" s="10"/>
      <c r="B438" s="11"/>
      <c r="C438" s="10"/>
      <c r="D438" s="11"/>
      <c r="E438" s="10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0"/>
      <c r="V438" s="11"/>
      <c r="W438" s="10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2.75" customHeight="1">
      <c r="A439" s="10"/>
      <c r="B439" s="11"/>
      <c r="C439" s="10"/>
      <c r="D439" s="11"/>
      <c r="E439" s="10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0"/>
      <c r="V439" s="11"/>
      <c r="W439" s="10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2.75" customHeight="1">
      <c r="A440" s="10"/>
      <c r="B440" s="11"/>
      <c r="C440" s="10"/>
      <c r="D440" s="11"/>
      <c r="E440" s="10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0"/>
      <c r="V440" s="11"/>
      <c r="W440" s="10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2.75" customHeight="1">
      <c r="A441" s="10"/>
      <c r="B441" s="11"/>
      <c r="C441" s="10"/>
      <c r="D441" s="11"/>
      <c r="E441" s="10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0"/>
      <c r="V441" s="11"/>
      <c r="W441" s="10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2.75" customHeight="1">
      <c r="A442" s="10"/>
      <c r="B442" s="11"/>
      <c r="C442" s="10"/>
      <c r="D442" s="11"/>
      <c r="E442" s="10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0"/>
      <c r="V442" s="11"/>
      <c r="W442" s="10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2.75" customHeight="1">
      <c r="A443" s="10"/>
      <c r="B443" s="11"/>
      <c r="C443" s="10"/>
      <c r="D443" s="11"/>
      <c r="E443" s="10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0"/>
      <c r="V443" s="11"/>
      <c r="W443" s="10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2.75" customHeight="1">
      <c r="A444" s="10"/>
      <c r="B444" s="11"/>
      <c r="C444" s="10"/>
      <c r="D444" s="11"/>
      <c r="E444" s="10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0"/>
      <c r="V444" s="11"/>
      <c r="W444" s="10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2.75" customHeight="1">
      <c r="A445" s="10"/>
      <c r="B445" s="11"/>
      <c r="C445" s="10"/>
      <c r="D445" s="11"/>
      <c r="E445" s="10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0"/>
      <c r="V445" s="11"/>
      <c r="W445" s="10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2.75" customHeight="1">
      <c r="A446" s="10"/>
      <c r="B446" s="11"/>
      <c r="C446" s="10"/>
      <c r="D446" s="11"/>
      <c r="E446" s="10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0"/>
      <c r="V446" s="11"/>
      <c r="W446" s="10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2.75" customHeight="1">
      <c r="A447" s="10"/>
      <c r="B447" s="11"/>
      <c r="C447" s="10"/>
      <c r="D447" s="11"/>
      <c r="E447" s="10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0"/>
      <c r="V447" s="11"/>
      <c r="W447" s="10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2.75" customHeight="1">
      <c r="A448" s="10"/>
      <c r="B448" s="11"/>
      <c r="C448" s="10"/>
      <c r="D448" s="11"/>
      <c r="E448" s="10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0"/>
      <c r="V448" s="11"/>
      <c r="W448" s="10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2.75" customHeight="1">
      <c r="A449" s="10"/>
      <c r="B449" s="11"/>
      <c r="C449" s="10"/>
      <c r="D449" s="11"/>
      <c r="E449" s="10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0"/>
      <c r="V449" s="11"/>
      <c r="W449" s="10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2.75" customHeight="1">
      <c r="A450" s="10"/>
      <c r="B450" s="11"/>
      <c r="C450" s="10"/>
      <c r="D450" s="11"/>
      <c r="E450" s="10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0"/>
      <c r="V450" s="11"/>
      <c r="W450" s="10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2.75" customHeight="1">
      <c r="A451" s="10"/>
      <c r="B451" s="11"/>
      <c r="C451" s="10"/>
      <c r="D451" s="11"/>
      <c r="E451" s="10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0"/>
      <c r="V451" s="11"/>
      <c r="W451" s="10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2.75" customHeight="1">
      <c r="A452" s="10"/>
      <c r="B452" s="11"/>
      <c r="C452" s="10"/>
      <c r="D452" s="11"/>
      <c r="E452" s="10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0"/>
      <c r="V452" s="11"/>
      <c r="W452" s="10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2.75" customHeight="1">
      <c r="A453" s="10"/>
      <c r="B453" s="11"/>
      <c r="C453" s="10"/>
      <c r="D453" s="11"/>
      <c r="E453" s="10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0"/>
      <c r="V453" s="11"/>
      <c r="W453" s="10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2.75" customHeight="1">
      <c r="A454" s="10"/>
      <c r="B454" s="11"/>
      <c r="C454" s="10"/>
      <c r="D454" s="11"/>
      <c r="E454" s="10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0"/>
      <c r="V454" s="11"/>
      <c r="W454" s="10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2.75" customHeight="1">
      <c r="A455" s="10"/>
      <c r="B455" s="11"/>
      <c r="C455" s="10"/>
      <c r="D455" s="11"/>
      <c r="E455" s="10"/>
      <c r="F455" s="1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0"/>
      <c r="V455" s="11"/>
      <c r="W455" s="10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2.75" customHeight="1">
      <c r="A456" s="10"/>
      <c r="B456" s="11"/>
      <c r="C456" s="10"/>
      <c r="D456" s="11"/>
      <c r="E456" s="10"/>
      <c r="F456" s="1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0"/>
      <c r="V456" s="11"/>
      <c r="W456" s="10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2.75" customHeight="1">
      <c r="A457" s="10"/>
      <c r="B457" s="11"/>
      <c r="C457" s="10"/>
      <c r="D457" s="11"/>
      <c r="E457" s="10"/>
      <c r="F457" s="1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0"/>
      <c r="V457" s="11"/>
      <c r="W457" s="10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2.75" customHeight="1">
      <c r="A458" s="10"/>
      <c r="B458" s="11"/>
      <c r="C458" s="10"/>
      <c r="D458" s="11"/>
      <c r="E458" s="10"/>
      <c r="F458" s="1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0"/>
      <c r="V458" s="11"/>
      <c r="W458" s="10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2.75" customHeight="1">
      <c r="A459" s="10"/>
      <c r="B459" s="11"/>
      <c r="C459" s="10"/>
      <c r="D459" s="11"/>
      <c r="E459" s="10"/>
      <c r="F459" s="1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0"/>
      <c r="V459" s="11"/>
      <c r="W459" s="10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2.75" customHeight="1">
      <c r="A460" s="10"/>
      <c r="B460" s="11"/>
      <c r="C460" s="10"/>
      <c r="D460" s="11"/>
      <c r="E460" s="10"/>
      <c r="F460" s="1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0"/>
      <c r="V460" s="11"/>
      <c r="W460" s="10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2.75" customHeight="1">
      <c r="A461" s="10"/>
      <c r="B461" s="11"/>
      <c r="C461" s="10"/>
      <c r="D461" s="11"/>
      <c r="E461" s="10"/>
      <c r="F461" s="1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0"/>
      <c r="V461" s="11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2.75" customHeight="1">
      <c r="A462" s="10"/>
      <c r="B462" s="11"/>
      <c r="C462" s="10"/>
      <c r="D462" s="11"/>
      <c r="E462" s="10"/>
      <c r="F462" s="1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0"/>
      <c r="V462" s="11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2.75" customHeight="1">
      <c r="A463" s="10"/>
      <c r="B463" s="11"/>
      <c r="C463" s="10"/>
      <c r="D463" s="11"/>
      <c r="E463" s="10"/>
      <c r="F463" s="1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0"/>
      <c r="V463" s="11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2.75" customHeight="1">
      <c r="A464" s="10"/>
      <c r="B464" s="11"/>
      <c r="C464" s="10"/>
      <c r="D464" s="11"/>
      <c r="E464" s="10"/>
      <c r="F464" s="1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0"/>
      <c r="V464" s="11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2.75" customHeight="1">
      <c r="A465" s="10"/>
      <c r="B465" s="11"/>
      <c r="C465" s="10"/>
      <c r="D465" s="11"/>
      <c r="E465" s="10"/>
      <c r="F465" s="1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0"/>
      <c r="V465" s="11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2.75" customHeight="1">
      <c r="A466" s="10"/>
      <c r="B466" s="11"/>
      <c r="C466" s="10"/>
      <c r="D466" s="11"/>
      <c r="E466" s="10"/>
      <c r="F466" s="1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0"/>
      <c r="V466" s="11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2.75" customHeight="1">
      <c r="A467" s="10"/>
      <c r="B467" s="11"/>
      <c r="C467" s="10"/>
      <c r="D467" s="11"/>
      <c r="E467" s="10"/>
      <c r="F467" s="1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0"/>
      <c r="V467" s="11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2.75" customHeight="1">
      <c r="A468" s="10"/>
      <c r="B468" s="11"/>
      <c r="C468" s="10"/>
      <c r="D468" s="11"/>
      <c r="E468" s="10"/>
      <c r="F468" s="1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0"/>
      <c r="V468" s="11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2.75" customHeight="1">
      <c r="A469" s="10"/>
      <c r="B469" s="11"/>
      <c r="C469" s="10"/>
      <c r="D469" s="11"/>
      <c r="E469" s="10"/>
      <c r="F469" s="1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0"/>
      <c r="V469" s="11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2.75" customHeight="1">
      <c r="A470" s="10"/>
      <c r="B470" s="11"/>
      <c r="C470" s="10"/>
      <c r="D470" s="11"/>
      <c r="E470" s="10"/>
      <c r="F470" s="1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0"/>
      <c r="V470" s="11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2.75" customHeight="1">
      <c r="A471" s="10"/>
      <c r="B471" s="11"/>
      <c r="C471" s="10"/>
      <c r="D471" s="11"/>
      <c r="E471" s="10"/>
      <c r="F471" s="1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0"/>
      <c r="V471" s="11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2.75" customHeight="1">
      <c r="A472" s="10"/>
      <c r="B472" s="11"/>
      <c r="C472" s="10"/>
      <c r="D472" s="11"/>
      <c r="E472" s="10"/>
      <c r="F472" s="1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0"/>
      <c r="V472" s="11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2.75" customHeight="1">
      <c r="A473" s="10"/>
      <c r="B473" s="11"/>
      <c r="C473" s="10"/>
      <c r="D473" s="11"/>
      <c r="E473" s="10"/>
      <c r="F473" s="1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0"/>
      <c r="V473" s="11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2.75" customHeight="1">
      <c r="A474" s="10"/>
      <c r="B474" s="11"/>
      <c r="C474" s="10"/>
      <c r="D474" s="11"/>
      <c r="E474" s="10"/>
      <c r="F474" s="1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0"/>
      <c r="V474" s="11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2.75" customHeight="1">
      <c r="A475" s="10"/>
      <c r="B475" s="11"/>
      <c r="C475" s="10"/>
      <c r="D475" s="11"/>
      <c r="E475" s="10"/>
      <c r="F475" s="1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0"/>
      <c r="V475" s="11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2.75" customHeight="1">
      <c r="A476" s="10"/>
      <c r="B476" s="11"/>
      <c r="C476" s="10"/>
      <c r="D476" s="11"/>
      <c r="E476" s="10"/>
      <c r="F476" s="1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0"/>
      <c r="V476" s="11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2.75" customHeight="1">
      <c r="A477" s="10"/>
      <c r="B477" s="11"/>
      <c r="C477" s="10"/>
      <c r="D477" s="11"/>
      <c r="E477" s="10"/>
      <c r="F477" s="1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0"/>
      <c r="V477" s="11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2.75" customHeight="1">
      <c r="A478" s="10"/>
      <c r="B478" s="11"/>
      <c r="C478" s="10"/>
      <c r="D478" s="11"/>
      <c r="E478" s="10"/>
      <c r="F478" s="1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0"/>
      <c r="V478" s="11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2.75" customHeight="1">
      <c r="A479" s="10"/>
      <c r="B479" s="11"/>
      <c r="C479" s="10"/>
      <c r="D479" s="11"/>
      <c r="E479" s="10"/>
      <c r="F479" s="1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0"/>
      <c r="V479" s="11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2.75" customHeight="1">
      <c r="A480" s="10"/>
      <c r="B480" s="11"/>
      <c r="C480" s="10"/>
      <c r="D480" s="11"/>
      <c r="E480" s="10"/>
      <c r="F480" s="1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0"/>
      <c r="V480" s="11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2.75" customHeight="1">
      <c r="A481" s="10"/>
      <c r="B481" s="11"/>
      <c r="C481" s="10"/>
      <c r="D481" s="11"/>
      <c r="E481" s="10"/>
      <c r="F481" s="1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0"/>
      <c r="V481" s="11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2.75" customHeight="1">
      <c r="A482" s="10"/>
      <c r="B482" s="11"/>
      <c r="C482" s="10"/>
      <c r="D482" s="11"/>
      <c r="E482" s="10"/>
      <c r="F482" s="1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0"/>
      <c r="V482" s="11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2.75" customHeight="1">
      <c r="A483" s="10"/>
      <c r="B483" s="11"/>
      <c r="C483" s="10"/>
      <c r="D483" s="11"/>
      <c r="E483" s="10"/>
      <c r="F483" s="1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0"/>
      <c r="V483" s="11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2.75" customHeight="1">
      <c r="A484" s="10"/>
      <c r="B484" s="11"/>
      <c r="C484" s="10"/>
      <c r="D484" s="11"/>
      <c r="E484" s="10"/>
      <c r="F484" s="1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0"/>
      <c r="V484" s="11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2.75" customHeight="1">
      <c r="A485" s="10"/>
      <c r="B485" s="11"/>
      <c r="C485" s="10"/>
      <c r="D485" s="11"/>
      <c r="E485" s="10"/>
      <c r="F485" s="1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0"/>
      <c r="V485" s="11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2.75" customHeight="1">
      <c r="A486" s="10"/>
      <c r="B486" s="11"/>
      <c r="C486" s="10"/>
      <c r="D486" s="11"/>
      <c r="E486" s="10"/>
      <c r="F486" s="1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0"/>
      <c r="V486" s="11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2.75" customHeight="1">
      <c r="A487" s="10"/>
      <c r="B487" s="11"/>
      <c r="C487" s="10"/>
      <c r="D487" s="11"/>
      <c r="E487" s="10"/>
      <c r="F487" s="1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0"/>
      <c r="V487" s="11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2.75" customHeight="1">
      <c r="A488" s="10"/>
      <c r="B488" s="11"/>
      <c r="C488" s="10"/>
      <c r="D488" s="11"/>
      <c r="E488" s="10"/>
      <c r="F488" s="1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0"/>
      <c r="V488" s="11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2.75" customHeight="1">
      <c r="A489" s="10"/>
      <c r="B489" s="11"/>
      <c r="C489" s="10"/>
      <c r="D489" s="11"/>
      <c r="E489" s="10"/>
      <c r="F489" s="1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0"/>
      <c r="V489" s="11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2.75" customHeight="1">
      <c r="A490" s="10"/>
      <c r="B490" s="11"/>
      <c r="C490" s="10"/>
      <c r="D490" s="11"/>
      <c r="E490" s="10"/>
      <c r="F490" s="1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0"/>
      <c r="V490" s="11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2.75" customHeight="1">
      <c r="A491" s="10"/>
      <c r="B491" s="11"/>
      <c r="C491" s="10"/>
      <c r="D491" s="11"/>
      <c r="E491" s="10"/>
      <c r="F491" s="1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0"/>
      <c r="V491" s="11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2.75" customHeight="1">
      <c r="A492" s="10"/>
      <c r="B492" s="11"/>
      <c r="C492" s="10"/>
      <c r="D492" s="11"/>
      <c r="E492" s="10"/>
      <c r="F492" s="1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0"/>
      <c r="V492" s="11"/>
      <c r="W492" s="10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2.75" customHeight="1">
      <c r="A493" s="10"/>
      <c r="B493" s="11"/>
      <c r="C493" s="10"/>
      <c r="D493" s="11"/>
      <c r="E493" s="10"/>
      <c r="F493" s="1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0"/>
      <c r="V493" s="11"/>
      <c r="W493" s="10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2.75" customHeight="1">
      <c r="A494" s="10"/>
      <c r="B494" s="11"/>
      <c r="C494" s="10"/>
      <c r="D494" s="11"/>
      <c r="E494" s="10"/>
      <c r="F494" s="1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0"/>
      <c r="V494" s="11"/>
      <c r="W494" s="10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2.75" customHeight="1">
      <c r="A495" s="10"/>
      <c r="B495" s="11"/>
      <c r="C495" s="10"/>
      <c r="D495" s="11"/>
      <c r="E495" s="10"/>
      <c r="F495" s="1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0"/>
      <c r="V495" s="11"/>
      <c r="W495" s="10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2.75" customHeight="1">
      <c r="A496" s="10"/>
      <c r="B496" s="11"/>
      <c r="C496" s="10"/>
      <c r="D496" s="11"/>
      <c r="E496" s="10"/>
      <c r="F496" s="1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0"/>
      <c r="V496" s="11"/>
      <c r="W496" s="10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2.75" customHeight="1">
      <c r="A497" s="10"/>
      <c r="B497" s="11"/>
      <c r="C497" s="10"/>
      <c r="D497" s="11"/>
      <c r="E497" s="10"/>
      <c r="F497" s="1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0"/>
      <c r="V497" s="11"/>
      <c r="W497" s="10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2.75" customHeight="1">
      <c r="A498" s="10"/>
      <c r="B498" s="11"/>
      <c r="C498" s="10"/>
      <c r="D498" s="11"/>
      <c r="E498" s="10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0"/>
      <c r="V498" s="11"/>
      <c r="W498" s="10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2.75" customHeight="1">
      <c r="A499" s="10"/>
      <c r="B499" s="11"/>
      <c r="C499" s="10"/>
      <c r="D499" s="11"/>
      <c r="E499" s="10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0"/>
      <c r="V499" s="11"/>
      <c r="W499" s="10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2.75" customHeight="1">
      <c r="A500" s="10"/>
      <c r="B500" s="11"/>
      <c r="C500" s="10"/>
      <c r="D500" s="11"/>
      <c r="E500" s="10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0"/>
      <c r="V500" s="11"/>
      <c r="W500" s="10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2.75" customHeight="1">
      <c r="A501" s="10"/>
      <c r="B501" s="11"/>
      <c r="C501" s="10"/>
      <c r="D501" s="11"/>
      <c r="E501" s="10"/>
      <c r="F501" s="1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0"/>
      <c r="V501" s="11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2.75" customHeight="1">
      <c r="A502" s="10"/>
      <c r="B502" s="11"/>
      <c r="C502" s="10"/>
      <c r="D502" s="11"/>
      <c r="E502" s="10"/>
      <c r="F502" s="1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0"/>
      <c r="V502" s="11"/>
      <c r="W502" s="10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2.75" customHeight="1">
      <c r="A503" s="10"/>
      <c r="B503" s="11"/>
      <c r="C503" s="10"/>
      <c r="D503" s="11"/>
      <c r="E503" s="10"/>
      <c r="F503" s="1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0"/>
      <c r="V503" s="11"/>
      <c r="W503" s="10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2.75" customHeight="1">
      <c r="A504" s="10"/>
      <c r="B504" s="11"/>
      <c r="C504" s="10"/>
      <c r="D504" s="11"/>
      <c r="E504" s="10"/>
      <c r="F504" s="1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0"/>
      <c r="V504" s="11"/>
      <c r="W504" s="10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2.75" customHeight="1">
      <c r="A505" s="10"/>
      <c r="B505" s="11"/>
      <c r="C505" s="10"/>
      <c r="D505" s="11"/>
      <c r="E505" s="10"/>
      <c r="F505" s="1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0"/>
      <c r="V505" s="11"/>
      <c r="W505" s="10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2.75" customHeight="1">
      <c r="A506" s="10"/>
      <c r="B506" s="11"/>
      <c r="C506" s="10"/>
      <c r="D506" s="11"/>
      <c r="E506" s="10"/>
      <c r="F506" s="1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0"/>
      <c r="V506" s="11"/>
      <c r="W506" s="10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2.75" customHeight="1">
      <c r="A507" s="10"/>
      <c r="B507" s="11"/>
      <c r="C507" s="10"/>
      <c r="D507" s="11"/>
      <c r="E507" s="10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0"/>
      <c r="V507" s="11"/>
      <c r="W507" s="10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2.75" customHeight="1">
      <c r="A508" s="10"/>
      <c r="B508" s="11"/>
      <c r="C508" s="10"/>
      <c r="D508" s="11"/>
      <c r="E508" s="10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0"/>
      <c r="V508" s="11"/>
      <c r="W508" s="10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2.75" customHeight="1">
      <c r="A509" s="10"/>
      <c r="B509" s="11"/>
      <c r="C509" s="10"/>
      <c r="D509" s="11"/>
      <c r="E509" s="10"/>
      <c r="F509" s="1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0"/>
      <c r="V509" s="11"/>
      <c r="W509" s="10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2.75" customHeight="1">
      <c r="A510" s="10"/>
      <c r="B510" s="11"/>
      <c r="C510" s="10"/>
      <c r="D510" s="11"/>
      <c r="E510" s="10"/>
      <c r="F510" s="1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0"/>
      <c r="V510" s="11"/>
      <c r="W510" s="10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2.75" customHeight="1">
      <c r="A511" s="10"/>
      <c r="B511" s="11"/>
      <c r="C511" s="10"/>
      <c r="D511" s="11"/>
      <c r="E511" s="10"/>
      <c r="F511" s="1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0"/>
      <c r="V511" s="11"/>
      <c r="W511" s="10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2.75" customHeight="1">
      <c r="A512" s="10"/>
      <c r="B512" s="11"/>
      <c r="C512" s="10"/>
      <c r="D512" s="11"/>
      <c r="E512" s="10"/>
      <c r="F512" s="1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0"/>
      <c r="V512" s="11"/>
      <c r="W512" s="10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2.75" customHeight="1">
      <c r="A513" s="10"/>
      <c r="B513" s="11"/>
      <c r="C513" s="10"/>
      <c r="D513" s="11"/>
      <c r="E513" s="10"/>
      <c r="F513" s="1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0"/>
      <c r="V513" s="11"/>
      <c r="W513" s="10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2.75" customHeight="1">
      <c r="A514" s="10"/>
      <c r="B514" s="11"/>
      <c r="C514" s="10"/>
      <c r="D514" s="11"/>
      <c r="E514" s="10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0"/>
      <c r="V514" s="11"/>
      <c r="W514" s="10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2.75" customHeight="1">
      <c r="A515" s="10"/>
      <c r="B515" s="11"/>
      <c r="C515" s="10"/>
      <c r="D515" s="11"/>
      <c r="E515" s="10"/>
      <c r="F515" s="1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0"/>
      <c r="V515" s="11"/>
      <c r="W515" s="10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2.75" customHeight="1">
      <c r="A516" s="10"/>
      <c r="B516" s="11"/>
      <c r="C516" s="10"/>
      <c r="D516" s="11"/>
      <c r="E516" s="10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0"/>
      <c r="V516" s="11"/>
      <c r="W516" s="10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2.75" customHeight="1">
      <c r="A517" s="10"/>
      <c r="B517" s="11"/>
      <c r="C517" s="10"/>
      <c r="D517" s="11"/>
      <c r="E517" s="10"/>
      <c r="F517" s="1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0"/>
      <c r="V517" s="11"/>
      <c r="W517" s="10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2.75" customHeight="1">
      <c r="A518" s="10"/>
      <c r="B518" s="11"/>
      <c r="C518" s="10"/>
      <c r="D518" s="11"/>
      <c r="E518" s="10"/>
      <c r="F518" s="1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0"/>
      <c r="V518" s="11"/>
      <c r="W518" s="10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2.75" customHeight="1">
      <c r="A519" s="10"/>
      <c r="B519" s="11"/>
      <c r="C519" s="10"/>
      <c r="D519" s="11"/>
      <c r="E519" s="10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0"/>
      <c r="V519" s="11"/>
      <c r="W519" s="10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2.75" customHeight="1">
      <c r="A520" s="10"/>
      <c r="B520" s="11"/>
      <c r="C520" s="10"/>
      <c r="D520" s="11"/>
      <c r="E520" s="10"/>
      <c r="F520" s="1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0"/>
      <c r="V520" s="11"/>
      <c r="W520" s="10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2.75" customHeight="1">
      <c r="A521" s="10"/>
      <c r="B521" s="11"/>
      <c r="C521" s="10"/>
      <c r="D521" s="11"/>
      <c r="E521" s="10"/>
      <c r="F521" s="1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0"/>
      <c r="V521" s="11"/>
      <c r="W521" s="10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2.75" customHeight="1">
      <c r="A522" s="10"/>
      <c r="B522" s="11"/>
      <c r="C522" s="10"/>
      <c r="D522" s="11"/>
      <c r="E522" s="10"/>
      <c r="F522" s="1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0"/>
      <c r="V522" s="11"/>
      <c r="W522" s="10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2.75" customHeight="1">
      <c r="A523" s="10"/>
      <c r="B523" s="11"/>
      <c r="C523" s="10"/>
      <c r="D523" s="11"/>
      <c r="E523" s="10"/>
      <c r="F523" s="1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0"/>
      <c r="V523" s="11"/>
      <c r="W523" s="10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2.75" customHeight="1">
      <c r="A524" s="10"/>
      <c r="B524" s="11"/>
      <c r="C524" s="10"/>
      <c r="D524" s="11"/>
      <c r="E524" s="10"/>
      <c r="F524" s="1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0"/>
      <c r="V524" s="11"/>
      <c r="W524" s="10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2.75" customHeight="1">
      <c r="A525" s="10"/>
      <c r="B525" s="11"/>
      <c r="C525" s="10"/>
      <c r="D525" s="11"/>
      <c r="E525" s="10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0"/>
      <c r="V525" s="11"/>
      <c r="W525" s="10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2.75" customHeight="1">
      <c r="A526" s="10"/>
      <c r="B526" s="11"/>
      <c r="C526" s="10"/>
      <c r="D526" s="11"/>
      <c r="E526" s="10"/>
      <c r="F526" s="1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0"/>
      <c r="V526" s="11"/>
      <c r="W526" s="10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2.75" customHeight="1">
      <c r="A527" s="10"/>
      <c r="B527" s="11"/>
      <c r="C527" s="10"/>
      <c r="D527" s="11"/>
      <c r="E527" s="10"/>
      <c r="F527" s="1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0"/>
      <c r="V527" s="11"/>
      <c r="W527" s="10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2.75" customHeight="1">
      <c r="A528" s="10"/>
      <c r="B528" s="11"/>
      <c r="C528" s="10"/>
      <c r="D528" s="11"/>
      <c r="E528" s="10"/>
      <c r="F528" s="1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0"/>
      <c r="V528" s="11"/>
      <c r="W528" s="10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2.75" customHeight="1">
      <c r="A529" s="10"/>
      <c r="B529" s="11"/>
      <c r="C529" s="10"/>
      <c r="D529" s="11"/>
      <c r="E529" s="10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0"/>
      <c r="V529" s="11"/>
      <c r="W529" s="10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2.75" customHeight="1">
      <c r="A530" s="10"/>
      <c r="B530" s="11"/>
      <c r="C530" s="10"/>
      <c r="D530" s="11"/>
      <c r="E530" s="10"/>
      <c r="F530" s="1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0"/>
      <c r="V530" s="11"/>
      <c r="W530" s="10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2.75" customHeight="1">
      <c r="A531" s="10"/>
      <c r="B531" s="11"/>
      <c r="C531" s="10"/>
      <c r="D531" s="11"/>
      <c r="E531" s="10"/>
      <c r="F531" s="1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0"/>
      <c r="V531" s="11"/>
      <c r="W531" s="10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2.75" customHeight="1">
      <c r="A532" s="10"/>
      <c r="B532" s="11"/>
      <c r="C532" s="10"/>
      <c r="D532" s="11"/>
      <c r="E532" s="10"/>
      <c r="F532" s="1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0"/>
      <c r="V532" s="11"/>
      <c r="W532" s="10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2.75" customHeight="1">
      <c r="A533" s="10"/>
      <c r="B533" s="11"/>
      <c r="C533" s="10"/>
      <c r="D533" s="11"/>
      <c r="E533" s="10"/>
      <c r="F533" s="1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0"/>
      <c r="V533" s="11"/>
      <c r="W533" s="10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2.75" customHeight="1">
      <c r="A534" s="10"/>
      <c r="B534" s="11"/>
      <c r="C534" s="10"/>
      <c r="D534" s="11"/>
      <c r="E534" s="10"/>
      <c r="F534" s="1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0"/>
      <c r="V534" s="11"/>
      <c r="W534" s="10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2.75" customHeight="1">
      <c r="A535" s="10"/>
      <c r="B535" s="11"/>
      <c r="C535" s="10"/>
      <c r="D535" s="11"/>
      <c r="E535" s="10"/>
      <c r="F535" s="1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0"/>
      <c r="V535" s="11"/>
      <c r="W535" s="10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2.75" customHeight="1">
      <c r="A536" s="10"/>
      <c r="B536" s="11"/>
      <c r="C536" s="10"/>
      <c r="D536" s="11"/>
      <c r="E536" s="10"/>
      <c r="F536" s="1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0"/>
      <c r="V536" s="11"/>
      <c r="W536" s="10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2.75" customHeight="1">
      <c r="A537" s="10"/>
      <c r="B537" s="11"/>
      <c r="C537" s="10"/>
      <c r="D537" s="11"/>
      <c r="E537" s="10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0"/>
      <c r="V537" s="11"/>
      <c r="W537" s="10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2.75" customHeight="1">
      <c r="A538" s="10"/>
      <c r="B538" s="11"/>
      <c r="C538" s="10"/>
      <c r="D538" s="11"/>
      <c r="E538" s="10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0"/>
      <c r="V538" s="11"/>
      <c r="W538" s="10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2.75" customHeight="1">
      <c r="A539" s="10"/>
      <c r="B539" s="11"/>
      <c r="C539" s="10"/>
      <c r="D539" s="11"/>
      <c r="E539" s="10"/>
      <c r="F539" s="1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0"/>
      <c r="V539" s="11"/>
      <c r="W539" s="10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2.75" customHeight="1">
      <c r="A540" s="10"/>
      <c r="B540" s="11"/>
      <c r="C540" s="10"/>
      <c r="D540" s="11"/>
      <c r="E540" s="10"/>
      <c r="F540" s="1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0"/>
      <c r="V540" s="11"/>
      <c r="W540" s="10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2.75" customHeight="1">
      <c r="A541" s="10"/>
      <c r="B541" s="11"/>
      <c r="C541" s="10"/>
      <c r="D541" s="11"/>
      <c r="E541" s="10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0"/>
      <c r="V541" s="11"/>
      <c r="W541" s="10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2.75" customHeight="1">
      <c r="A542" s="10"/>
      <c r="B542" s="11"/>
      <c r="C542" s="10"/>
      <c r="D542" s="11"/>
      <c r="E542" s="10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0"/>
      <c r="V542" s="11"/>
      <c r="W542" s="10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2.75" customHeight="1">
      <c r="A543" s="10"/>
      <c r="B543" s="11"/>
      <c r="C543" s="10"/>
      <c r="D543" s="11"/>
      <c r="E543" s="10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0"/>
      <c r="V543" s="11"/>
      <c r="W543" s="10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2.75" customHeight="1">
      <c r="A544" s="10"/>
      <c r="B544" s="11"/>
      <c r="C544" s="10"/>
      <c r="D544" s="11"/>
      <c r="E544" s="10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0"/>
      <c r="V544" s="11"/>
      <c r="W544" s="10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2.75" customHeight="1">
      <c r="A545" s="10"/>
      <c r="B545" s="11"/>
      <c r="C545" s="10"/>
      <c r="D545" s="11"/>
      <c r="E545" s="10"/>
      <c r="F545" s="1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0"/>
      <c r="V545" s="11"/>
      <c r="W545" s="10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2.75" customHeight="1">
      <c r="A546" s="10"/>
      <c r="B546" s="11"/>
      <c r="C546" s="10"/>
      <c r="D546" s="11"/>
      <c r="E546" s="10"/>
      <c r="F546" s="1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0"/>
      <c r="V546" s="11"/>
      <c r="W546" s="10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2.75" customHeight="1">
      <c r="A547" s="10"/>
      <c r="B547" s="11"/>
      <c r="C547" s="10"/>
      <c r="D547" s="11"/>
      <c r="E547" s="10"/>
      <c r="F547" s="1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0"/>
      <c r="V547" s="11"/>
      <c r="W547" s="10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2.75" customHeight="1">
      <c r="A548" s="10"/>
      <c r="B548" s="11"/>
      <c r="C548" s="10"/>
      <c r="D548" s="11"/>
      <c r="E548" s="10"/>
      <c r="F548" s="1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0"/>
      <c r="V548" s="11"/>
      <c r="W548" s="10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2.75" customHeight="1">
      <c r="A549" s="10"/>
      <c r="B549" s="11"/>
      <c r="C549" s="10"/>
      <c r="D549" s="11"/>
      <c r="E549" s="10"/>
      <c r="F549" s="1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0"/>
      <c r="V549" s="11"/>
      <c r="W549" s="10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2.75" customHeight="1">
      <c r="A550" s="10"/>
      <c r="B550" s="11"/>
      <c r="C550" s="10"/>
      <c r="D550" s="11"/>
      <c r="E550" s="10"/>
      <c r="F550" s="1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0"/>
      <c r="V550" s="11"/>
      <c r="W550" s="10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2.75" customHeight="1">
      <c r="A551" s="10"/>
      <c r="B551" s="11"/>
      <c r="C551" s="10"/>
      <c r="D551" s="11"/>
      <c r="E551" s="10"/>
      <c r="F551" s="1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0"/>
      <c r="V551" s="11"/>
      <c r="W551" s="10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2.75" customHeight="1">
      <c r="A552" s="10"/>
      <c r="B552" s="11"/>
      <c r="C552" s="10"/>
      <c r="D552" s="11"/>
      <c r="E552" s="10"/>
      <c r="F552" s="1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0"/>
      <c r="V552" s="11"/>
      <c r="W552" s="10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2.75" customHeight="1">
      <c r="A553" s="10"/>
      <c r="B553" s="11"/>
      <c r="C553" s="10"/>
      <c r="D553" s="11"/>
      <c r="E553" s="10"/>
      <c r="F553" s="1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0"/>
      <c r="V553" s="11"/>
      <c r="W553" s="10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2.75" customHeight="1">
      <c r="A554" s="10"/>
      <c r="B554" s="11"/>
      <c r="C554" s="10"/>
      <c r="D554" s="11"/>
      <c r="E554" s="10"/>
      <c r="F554" s="1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0"/>
      <c r="V554" s="11"/>
      <c r="W554" s="10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2.75" customHeight="1">
      <c r="A555" s="10"/>
      <c r="B555" s="11"/>
      <c r="C555" s="10"/>
      <c r="D555" s="11"/>
      <c r="E555" s="10"/>
      <c r="F555" s="1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0"/>
      <c r="V555" s="11"/>
      <c r="W555" s="10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2.75" customHeight="1">
      <c r="A556" s="10"/>
      <c r="B556" s="11"/>
      <c r="C556" s="10"/>
      <c r="D556" s="11"/>
      <c r="E556" s="10"/>
      <c r="F556" s="1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0"/>
      <c r="V556" s="11"/>
      <c r="W556" s="10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2.75" customHeight="1">
      <c r="A557" s="10"/>
      <c r="B557" s="11"/>
      <c r="C557" s="10"/>
      <c r="D557" s="11"/>
      <c r="E557" s="10"/>
      <c r="F557" s="1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0"/>
      <c r="V557" s="11"/>
      <c r="W557" s="10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2.75" customHeight="1">
      <c r="A558" s="10"/>
      <c r="B558" s="11"/>
      <c r="C558" s="10"/>
      <c r="D558" s="11"/>
      <c r="E558" s="10"/>
      <c r="F558" s="1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0"/>
      <c r="V558" s="11"/>
      <c r="W558" s="10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2.75" customHeight="1">
      <c r="A559" s="10"/>
      <c r="B559" s="11"/>
      <c r="C559" s="10"/>
      <c r="D559" s="11"/>
      <c r="E559" s="10"/>
      <c r="F559" s="1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0"/>
      <c r="V559" s="11"/>
      <c r="W559" s="10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2.75" customHeight="1">
      <c r="A560" s="10"/>
      <c r="B560" s="11"/>
      <c r="C560" s="10"/>
      <c r="D560" s="11"/>
      <c r="E560" s="10"/>
      <c r="F560" s="1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0"/>
      <c r="V560" s="11"/>
      <c r="W560" s="10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2.75" customHeight="1">
      <c r="A561" s="10"/>
      <c r="B561" s="11"/>
      <c r="C561" s="10"/>
      <c r="D561" s="11"/>
      <c r="E561" s="10"/>
      <c r="F561" s="1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0"/>
      <c r="V561" s="11"/>
      <c r="W561" s="10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2.75" customHeight="1">
      <c r="A562" s="10"/>
      <c r="B562" s="11"/>
      <c r="C562" s="10"/>
      <c r="D562" s="11"/>
      <c r="E562" s="10"/>
      <c r="F562" s="1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0"/>
      <c r="V562" s="11"/>
      <c r="W562" s="10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2.75" customHeight="1">
      <c r="A563" s="10"/>
      <c r="B563" s="11"/>
      <c r="C563" s="10"/>
      <c r="D563" s="11"/>
      <c r="E563" s="10"/>
      <c r="F563" s="1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0"/>
      <c r="V563" s="11"/>
      <c r="W563" s="10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2.75" customHeight="1">
      <c r="A564" s="10"/>
      <c r="B564" s="11"/>
      <c r="C564" s="10"/>
      <c r="D564" s="11"/>
      <c r="E564" s="10"/>
      <c r="F564" s="1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0"/>
      <c r="V564" s="11"/>
      <c r="W564" s="10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2.75" customHeight="1">
      <c r="A565" s="10"/>
      <c r="B565" s="11"/>
      <c r="C565" s="10"/>
      <c r="D565" s="11"/>
      <c r="E565" s="10"/>
      <c r="F565" s="1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0"/>
      <c r="V565" s="11"/>
      <c r="W565" s="10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2.75" customHeight="1">
      <c r="A566" s="10"/>
      <c r="B566" s="11"/>
      <c r="C566" s="10"/>
      <c r="D566" s="11"/>
      <c r="E566" s="10"/>
      <c r="F566" s="1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0"/>
      <c r="V566" s="11"/>
      <c r="W566" s="10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2.75" customHeight="1">
      <c r="A567" s="10"/>
      <c r="B567" s="11"/>
      <c r="C567" s="10"/>
      <c r="D567" s="11"/>
      <c r="E567" s="10"/>
      <c r="F567" s="1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0"/>
      <c r="V567" s="11"/>
      <c r="W567" s="10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2.75" customHeight="1">
      <c r="A568" s="10"/>
      <c r="B568" s="11"/>
      <c r="C568" s="10"/>
      <c r="D568" s="11"/>
      <c r="E568" s="10"/>
      <c r="F568" s="1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0"/>
      <c r="V568" s="11"/>
      <c r="W568" s="10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2.75" customHeight="1">
      <c r="A569" s="10"/>
      <c r="B569" s="11"/>
      <c r="C569" s="10"/>
      <c r="D569" s="11"/>
      <c r="E569" s="10"/>
      <c r="F569" s="1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0"/>
      <c r="V569" s="11"/>
      <c r="W569" s="10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2.75" customHeight="1">
      <c r="A570" s="10"/>
      <c r="B570" s="11"/>
      <c r="C570" s="10"/>
      <c r="D570" s="11"/>
      <c r="E570" s="10"/>
      <c r="F570" s="1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0"/>
      <c r="V570" s="11"/>
      <c r="W570" s="10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2.75" customHeight="1">
      <c r="A571" s="10"/>
      <c r="B571" s="11"/>
      <c r="C571" s="10"/>
      <c r="D571" s="11"/>
      <c r="E571" s="10"/>
      <c r="F571" s="1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0"/>
      <c r="V571" s="11"/>
      <c r="W571" s="10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2.75" customHeight="1">
      <c r="A572" s="10"/>
      <c r="B572" s="11"/>
      <c r="C572" s="10"/>
      <c r="D572" s="11"/>
      <c r="E572" s="10"/>
      <c r="F572" s="1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0"/>
      <c r="V572" s="11"/>
      <c r="W572" s="10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2.75" customHeight="1">
      <c r="A573" s="10"/>
      <c r="B573" s="11"/>
      <c r="C573" s="10"/>
      <c r="D573" s="11"/>
      <c r="E573" s="10"/>
      <c r="F573" s="1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0"/>
      <c r="V573" s="11"/>
      <c r="W573" s="10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2.75" customHeight="1">
      <c r="A574" s="10"/>
      <c r="B574" s="11"/>
      <c r="C574" s="10"/>
      <c r="D574" s="11"/>
      <c r="E574" s="10"/>
      <c r="F574" s="1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0"/>
      <c r="V574" s="11"/>
      <c r="W574" s="10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2.75" customHeight="1">
      <c r="A575" s="10"/>
      <c r="B575" s="11"/>
      <c r="C575" s="10"/>
      <c r="D575" s="11"/>
      <c r="E575" s="10"/>
      <c r="F575" s="1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0"/>
      <c r="V575" s="11"/>
      <c r="W575" s="10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2.75" customHeight="1">
      <c r="A576" s="10"/>
      <c r="B576" s="11"/>
      <c r="C576" s="10"/>
      <c r="D576" s="11"/>
      <c r="E576" s="10"/>
      <c r="F576" s="1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0"/>
      <c r="V576" s="11"/>
      <c r="W576" s="10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2.75" customHeight="1">
      <c r="A577" s="10"/>
      <c r="B577" s="11"/>
      <c r="C577" s="10"/>
      <c r="D577" s="11"/>
      <c r="E577" s="10"/>
      <c r="F577" s="1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0"/>
      <c r="V577" s="11"/>
      <c r="W577" s="10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2.75" customHeight="1">
      <c r="A578" s="10"/>
      <c r="B578" s="11"/>
      <c r="C578" s="10"/>
      <c r="D578" s="11"/>
      <c r="E578" s="10"/>
      <c r="F578" s="1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0"/>
      <c r="V578" s="11"/>
      <c r="W578" s="10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2.75" customHeight="1">
      <c r="A579" s="10"/>
      <c r="B579" s="11"/>
      <c r="C579" s="10"/>
      <c r="D579" s="11"/>
      <c r="E579" s="10"/>
      <c r="F579" s="1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0"/>
      <c r="V579" s="11"/>
      <c r="W579" s="10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2.75" customHeight="1">
      <c r="A580" s="10"/>
      <c r="B580" s="11"/>
      <c r="C580" s="10"/>
      <c r="D580" s="11"/>
      <c r="E580" s="10"/>
      <c r="F580" s="1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0"/>
      <c r="V580" s="11"/>
      <c r="W580" s="10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2.75" customHeight="1">
      <c r="A581" s="10"/>
      <c r="B581" s="11"/>
      <c r="C581" s="10"/>
      <c r="D581" s="11"/>
      <c r="E581" s="10"/>
      <c r="F581" s="1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0"/>
      <c r="V581" s="11"/>
      <c r="W581" s="10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2.75" customHeight="1">
      <c r="A582" s="10"/>
      <c r="B582" s="11"/>
      <c r="C582" s="10"/>
      <c r="D582" s="11"/>
      <c r="E582" s="10"/>
      <c r="F582" s="1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0"/>
      <c r="V582" s="11"/>
      <c r="W582" s="10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2.75" customHeight="1">
      <c r="A583" s="10"/>
      <c r="B583" s="11"/>
      <c r="C583" s="10"/>
      <c r="D583" s="11"/>
      <c r="E583" s="10"/>
      <c r="F583" s="1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0"/>
      <c r="V583" s="11"/>
      <c r="W583" s="10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2.75" customHeight="1">
      <c r="A584" s="10"/>
      <c r="B584" s="11"/>
      <c r="C584" s="10"/>
      <c r="D584" s="11"/>
      <c r="E584" s="10"/>
      <c r="F584" s="1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0"/>
      <c r="V584" s="11"/>
      <c r="W584" s="10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2.75" customHeight="1">
      <c r="A585" s="10"/>
      <c r="B585" s="11"/>
      <c r="C585" s="10"/>
      <c r="D585" s="11"/>
      <c r="E585" s="10"/>
      <c r="F585" s="1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0"/>
      <c r="V585" s="11"/>
      <c r="W585" s="10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2.75" customHeight="1">
      <c r="A586" s="10"/>
      <c r="B586" s="11"/>
      <c r="C586" s="10"/>
      <c r="D586" s="11"/>
      <c r="E586" s="10"/>
      <c r="F586" s="1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0"/>
      <c r="V586" s="11"/>
      <c r="W586" s="10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2.75" customHeight="1">
      <c r="A587" s="10"/>
      <c r="B587" s="11"/>
      <c r="C587" s="10"/>
      <c r="D587" s="11"/>
      <c r="E587" s="10"/>
      <c r="F587" s="1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0"/>
      <c r="V587" s="11"/>
      <c r="W587" s="10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2.75" customHeight="1">
      <c r="A588" s="10"/>
      <c r="B588" s="11"/>
      <c r="C588" s="10"/>
      <c r="D588" s="11"/>
      <c r="E588" s="10"/>
      <c r="F588" s="1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0"/>
      <c r="V588" s="11"/>
      <c r="W588" s="10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2.75" customHeight="1">
      <c r="A589" s="10"/>
      <c r="B589" s="11"/>
      <c r="C589" s="10"/>
      <c r="D589" s="11"/>
      <c r="E589" s="10"/>
      <c r="F589" s="1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0"/>
      <c r="V589" s="11"/>
      <c r="W589" s="10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2.75" customHeight="1">
      <c r="A590" s="10"/>
      <c r="B590" s="11"/>
      <c r="C590" s="10"/>
      <c r="D590" s="11"/>
      <c r="E590" s="10"/>
      <c r="F590" s="1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0"/>
      <c r="V590" s="11"/>
      <c r="W590" s="10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2.75" customHeight="1">
      <c r="A591" s="10"/>
      <c r="B591" s="11"/>
      <c r="C591" s="10"/>
      <c r="D591" s="11"/>
      <c r="E591" s="10"/>
      <c r="F591" s="1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0"/>
      <c r="V591" s="11"/>
      <c r="W591" s="10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2.75" customHeight="1">
      <c r="A592" s="10"/>
      <c r="B592" s="11"/>
      <c r="C592" s="10"/>
      <c r="D592" s="11"/>
      <c r="E592" s="10"/>
      <c r="F592" s="1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0"/>
      <c r="V592" s="11"/>
      <c r="W592" s="10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2.75" customHeight="1">
      <c r="A593" s="10"/>
      <c r="B593" s="11"/>
      <c r="C593" s="10"/>
      <c r="D593" s="11"/>
      <c r="E593" s="10"/>
      <c r="F593" s="1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0"/>
      <c r="V593" s="11"/>
      <c r="W593" s="10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2.75" customHeight="1">
      <c r="A594" s="10"/>
      <c r="B594" s="11"/>
      <c r="C594" s="10"/>
      <c r="D594" s="11"/>
      <c r="E594" s="10"/>
      <c r="F594" s="1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0"/>
      <c r="V594" s="11"/>
      <c r="W594" s="10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2.75" customHeight="1">
      <c r="A595" s="10"/>
      <c r="B595" s="11"/>
      <c r="C595" s="10"/>
      <c r="D595" s="11"/>
      <c r="E595" s="10"/>
      <c r="F595" s="1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0"/>
      <c r="V595" s="11"/>
      <c r="W595" s="10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2.75" customHeight="1">
      <c r="A596" s="10"/>
      <c r="B596" s="11"/>
      <c r="C596" s="10"/>
      <c r="D596" s="11"/>
      <c r="E596" s="10"/>
      <c r="F596" s="1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0"/>
      <c r="V596" s="11"/>
      <c r="W596" s="10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2.75" customHeight="1">
      <c r="A597" s="10"/>
      <c r="B597" s="11"/>
      <c r="C597" s="10"/>
      <c r="D597" s="11"/>
      <c r="E597" s="10"/>
      <c r="F597" s="1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0"/>
      <c r="V597" s="11"/>
      <c r="W597" s="10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2.75" customHeight="1">
      <c r="A598" s="10"/>
      <c r="B598" s="11"/>
      <c r="C598" s="10"/>
      <c r="D598" s="11"/>
      <c r="E598" s="10"/>
      <c r="F598" s="1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0"/>
      <c r="V598" s="11"/>
      <c r="W598" s="10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2.75" customHeight="1">
      <c r="A599" s="10"/>
      <c r="B599" s="11"/>
      <c r="C599" s="10"/>
      <c r="D599" s="11"/>
      <c r="E599" s="10"/>
      <c r="F599" s="1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0"/>
      <c r="V599" s="11"/>
      <c r="W599" s="10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2.75" customHeight="1">
      <c r="A600" s="10"/>
      <c r="B600" s="11"/>
      <c r="C600" s="10"/>
      <c r="D600" s="11"/>
      <c r="E600" s="10"/>
      <c r="F600" s="1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0"/>
      <c r="V600" s="11"/>
      <c r="W600" s="10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2.75" customHeight="1">
      <c r="A601" s="10"/>
      <c r="B601" s="11"/>
      <c r="C601" s="10"/>
      <c r="D601" s="11"/>
      <c r="E601" s="10"/>
      <c r="F601" s="1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0"/>
      <c r="V601" s="11"/>
      <c r="W601" s="10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2.75" customHeight="1">
      <c r="A602" s="10"/>
      <c r="B602" s="11"/>
      <c r="C602" s="10"/>
      <c r="D602" s="11"/>
      <c r="E602" s="10"/>
      <c r="F602" s="1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0"/>
      <c r="V602" s="11"/>
      <c r="W602" s="10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2.75" customHeight="1">
      <c r="A603" s="10"/>
      <c r="B603" s="11"/>
      <c r="C603" s="10"/>
      <c r="D603" s="11"/>
      <c r="E603" s="10"/>
      <c r="F603" s="1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0"/>
      <c r="V603" s="11"/>
      <c r="W603" s="10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2.75" customHeight="1">
      <c r="A604" s="10"/>
      <c r="B604" s="11"/>
      <c r="C604" s="10"/>
      <c r="D604" s="11"/>
      <c r="E604" s="10"/>
      <c r="F604" s="1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0"/>
      <c r="V604" s="11"/>
      <c r="W604" s="10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2.75" customHeight="1">
      <c r="A605" s="10"/>
      <c r="B605" s="11"/>
      <c r="C605" s="10"/>
      <c r="D605" s="11"/>
      <c r="E605" s="10"/>
      <c r="F605" s="1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0"/>
      <c r="V605" s="11"/>
      <c r="W605" s="10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2.75" customHeight="1">
      <c r="A606" s="10"/>
      <c r="B606" s="11"/>
      <c r="C606" s="10"/>
      <c r="D606" s="11"/>
      <c r="E606" s="10"/>
      <c r="F606" s="1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0"/>
      <c r="V606" s="11"/>
      <c r="W606" s="10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2.75" customHeight="1">
      <c r="A607" s="10"/>
      <c r="B607" s="11"/>
      <c r="C607" s="10"/>
      <c r="D607" s="11"/>
      <c r="E607" s="10"/>
      <c r="F607" s="1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0"/>
      <c r="V607" s="11"/>
      <c r="W607" s="10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2.75" customHeight="1">
      <c r="A608" s="10"/>
      <c r="B608" s="11"/>
      <c r="C608" s="10"/>
      <c r="D608" s="11"/>
      <c r="E608" s="10"/>
      <c r="F608" s="1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0"/>
      <c r="V608" s="11"/>
      <c r="W608" s="10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2.75" customHeight="1">
      <c r="A609" s="10"/>
      <c r="B609" s="11"/>
      <c r="C609" s="10"/>
      <c r="D609" s="11"/>
      <c r="E609" s="10"/>
      <c r="F609" s="1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0"/>
      <c r="V609" s="11"/>
      <c r="W609" s="10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2.75" customHeight="1">
      <c r="A610" s="10"/>
      <c r="B610" s="11"/>
      <c r="C610" s="10"/>
      <c r="D610" s="11"/>
      <c r="E610" s="10"/>
      <c r="F610" s="1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0"/>
      <c r="V610" s="11"/>
      <c r="W610" s="10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2.75" customHeight="1">
      <c r="A611" s="10"/>
      <c r="B611" s="11"/>
      <c r="C611" s="10"/>
      <c r="D611" s="11"/>
      <c r="E611" s="10"/>
      <c r="F611" s="1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0"/>
      <c r="V611" s="11"/>
      <c r="W611" s="10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2.75" customHeight="1">
      <c r="A612" s="10"/>
      <c r="B612" s="11"/>
      <c r="C612" s="10"/>
      <c r="D612" s="11"/>
      <c r="E612" s="10"/>
      <c r="F612" s="1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0"/>
      <c r="V612" s="11"/>
      <c r="W612" s="10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2.75" customHeight="1">
      <c r="A613" s="10"/>
      <c r="B613" s="11"/>
      <c r="C613" s="10"/>
      <c r="D613" s="11"/>
      <c r="E613" s="10"/>
      <c r="F613" s="1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0"/>
      <c r="V613" s="11"/>
      <c r="W613" s="10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2.75" customHeight="1">
      <c r="A614" s="10"/>
      <c r="B614" s="11"/>
      <c r="C614" s="10"/>
      <c r="D614" s="11"/>
      <c r="E614" s="10"/>
      <c r="F614" s="1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0"/>
      <c r="V614" s="11"/>
      <c r="W614" s="10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2.75" customHeight="1">
      <c r="A615" s="10"/>
      <c r="B615" s="11"/>
      <c r="C615" s="10"/>
      <c r="D615" s="11"/>
      <c r="E615" s="10"/>
      <c r="F615" s="1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0"/>
      <c r="V615" s="11"/>
      <c r="W615" s="10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2.75" customHeight="1">
      <c r="A616" s="10"/>
      <c r="B616" s="11"/>
      <c r="C616" s="10"/>
      <c r="D616" s="11"/>
      <c r="E616" s="10"/>
      <c r="F616" s="1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0"/>
      <c r="V616" s="11"/>
      <c r="W616" s="10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2.75" customHeight="1">
      <c r="A617" s="10"/>
      <c r="B617" s="11"/>
      <c r="C617" s="10"/>
      <c r="D617" s="11"/>
      <c r="E617" s="10"/>
      <c r="F617" s="1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0"/>
      <c r="V617" s="11"/>
      <c r="W617" s="10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2.75" customHeight="1">
      <c r="A618" s="10"/>
      <c r="B618" s="11"/>
      <c r="C618" s="10"/>
      <c r="D618" s="11"/>
      <c r="E618" s="10"/>
      <c r="F618" s="1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0"/>
      <c r="V618" s="11"/>
      <c r="W618" s="10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2.75" customHeight="1">
      <c r="A619" s="10"/>
      <c r="B619" s="11"/>
      <c r="C619" s="10"/>
      <c r="D619" s="11"/>
      <c r="E619" s="10"/>
      <c r="F619" s="1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0"/>
      <c r="V619" s="11"/>
      <c r="W619" s="10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2.75" customHeight="1">
      <c r="A620" s="10"/>
      <c r="B620" s="11"/>
      <c r="C620" s="10"/>
      <c r="D620" s="11"/>
      <c r="E620" s="10"/>
      <c r="F620" s="1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0"/>
      <c r="V620" s="11"/>
      <c r="W620" s="10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2.75" customHeight="1">
      <c r="A621" s="10"/>
      <c r="B621" s="11"/>
      <c r="C621" s="10"/>
      <c r="D621" s="11"/>
      <c r="E621" s="10"/>
      <c r="F621" s="1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0"/>
      <c r="V621" s="11"/>
      <c r="W621" s="10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2.75" customHeight="1">
      <c r="A622" s="10"/>
      <c r="B622" s="11"/>
      <c r="C622" s="10"/>
      <c r="D622" s="11"/>
      <c r="E622" s="10"/>
      <c r="F622" s="1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0"/>
      <c r="V622" s="11"/>
      <c r="W622" s="10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2.75" customHeight="1">
      <c r="A623" s="10"/>
      <c r="B623" s="11"/>
      <c r="C623" s="10"/>
      <c r="D623" s="11"/>
      <c r="E623" s="10"/>
      <c r="F623" s="1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0"/>
      <c r="V623" s="11"/>
      <c r="W623" s="10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2.75" customHeight="1">
      <c r="A624" s="10"/>
      <c r="B624" s="11"/>
      <c r="C624" s="10"/>
      <c r="D624" s="11"/>
      <c r="E624" s="10"/>
      <c r="F624" s="1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0"/>
      <c r="V624" s="11"/>
      <c r="W624" s="10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2.75" customHeight="1">
      <c r="A625" s="10"/>
      <c r="B625" s="11"/>
      <c r="C625" s="10"/>
      <c r="D625" s="11"/>
      <c r="E625" s="10"/>
      <c r="F625" s="1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0"/>
      <c r="V625" s="11"/>
      <c r="W625" s="10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2.75" customHeight="1">
      <c r="A626" s="10"/>
      <c r="B626" s="11"/>
      <c r="C626" s="10"/>
      <c r="D626" s="11"/>
      <c r="E626" s="10"/>
      <c r="F626" s="1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0"/>
      <c r="V626" s="11"/>
      <c r="W626" s="10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2.75" customHeight="1">
      <c r="A627" s="10"/>
      <c r="B627" s="11"/>
      <c r="C627" s="10"/>
      <c r="D627" s="11"/>
      <c r="E627" s="10"/>
      <c r="F627" s="1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0"/>
      <c r="V627" s="11"/>
      <c r="W627" s="10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2.75" customHeight="1">
      <c r="A628" s="10"/>
      <c r="B628" s="11"/>
      <c r="C628" s="10"/>
      <c r="D628" s="11"/>
      <c r="E628" s="10"/>
      <c r="F628" s="1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0"/>
      <c r="V628" s="11"/>
      <c r="W628" s="10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2.75" customHeight="1">
      <c r="A629" s="10"/>
      <c r="B629" s="11"/>
      <c r="C629" s="10"/>
      <c r="D629" s="11"/>
      <c r="E629" s="10"/>
      <c r="F629" s="1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0"/>
      <c r="V629" s="11"/>
      <c r="W629" s="10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2.75" customHeight="1">
      <c r="A630" s="10"/>
      <c r="B630" s="11"/>
      <c r="C630" s="10"/>
      <c r="D630" s="11"/>
      <c r="E630" s="10"/>
      <c r="F630" s="1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0"/>
      <c r="V630" s="11"/>
      <c r="W630" s="10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2.75" customHeight="1">
      <c r="A631" s="10"/>
      <c r="B631" s="11"/>
      <c r="C631" s="10"/>
      <c r="D631" s="11"/>
      <c r="E631" s="10"/>
      <c r="F631" s="1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0"/>
      <c r="V631" s="11"/>
      <c r="W631" s="10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2.75" customHeight="1">
      <c r="A632" s="10"/>
      <c r="B632" s="11"/>
      <c r="C632" s="10"/>
      <c r="D632" s="11"/>
      <c r="E632" s="10"/>
      <c r="F632" s="1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0"/>
      <c r="V632" s="11"/>
      <c r="W632" s="10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2.75" customHeight="1">
      <c r="A633" s="10"/>
      <c r="B633" s="11"/>
      <c r="C633" s="10"/>
      <c r="D633" s="11"/>
      <c r="E633" s="10"/>
      <c r="F633" s="1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0"/>
      <c r="V633" s="11"/>
      <c r="W633" s="10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2.75" customHeight="1">
      <c r="A634" s="10"/>
      <c r="B634" s="11"/>
      <c r="C634" s="10"/>
      <c r="D634" s="11"/>
      <c r="E634" s="10"/>
      <c r="F634" s="1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0"/>
      <c r="V634" s="11"/>
      <c r="W634" s="10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2.75" customHeight="1">
      <c r="A635" s="10"/>
      <c r="B635" s="11"/>
      <c r="C635" s="10"/>
      <c r="D635" s="11"/>
      <c r="E635" s="10"/>
      <c r="F635" s="1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0"/>
      <c r="V635" s="11"/>
      <c r="W635" s="10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2.75" customHeight="1">
      <c r="A636" s="10"/>
      <c r="B636" s="11"/>
      <c r="C636" s="10"/>
      <c r="D636" s="11"/>
      <c r="E636" s="10"/>
      <c r="F636" s="1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0"/>
      <c r="V636" s="11"/>
      <c r="W636" s="10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2.75" customHeight="1">
      <c r="A637" s="10"/>
      <c r="B637" s="11"/>
      <c r="C637" s="10"/>
      <c r="D637" s="11"/>
      <c r="E637" s="10"/>
      <c r="F637" s="1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0"/>
      <c r="V637" s="11"/>
      <c r="W637" s="10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2.75" customHeight="1">
      <c r="A638" s="10"/>
      <c r="B638" s="11"/>
      <c r="C638" s="10"/>
      <c r="D638" s="11"/>
      <c r="E638" s="10"/>
      <c r="F638" s="1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0"/>
      <c r="V638" s="11"/>
      <c r="W638" s="10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2.75" customHeight="1">
      <c r="A639" s="10"/>
      <c r="B639" s="11"/>
      <c r="C639" s="10"/>
      <c r="D639" s="11"/>
      <c r="E639" s="10"/>
      <c r="F639" s="1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0"/>
      <c r="V639" s="11"/>
      <c r="W639" s="10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2.75" customHeight="1">
      <c r="A640" s="10"/>
      <c r="B640" s="11"/>
      <c r="C640" s="10"/>
      <c r="D640" s="11"/>
      <c r="E640" s="10"/>
      <c r="F640" s="1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0"/>
      <c r="V640" s="11"/>
      <c r="W640" s="10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2.75" customHeight="1">
      <c r="A641" s="10"/>
      <c r="B641" s="11"/>
      <c r="C641" s="10"/>
      <c r="D641" s="11"/>
      <c r="E641" s="10"/>
      <c r="F641" s="1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0"/>
      <c r="V641" s="11"/>
      <c r="W641" s="10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2.75" customHeight="1">
      <c r="A642" s="10"/>
      <c r="B642" s="11"/>
      <c r="C642" s="10"/>
      <c r="D642" s="11"/>
      <c r="E642" s="10"/>
      <c r="F642" s="1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0"/>
      <c r="V642" s="11"/>
      <c r="W642" s="10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2.75" customHeight="1">
      <c r="A643" s="10"/>
      <c r="B643" s="11"/>
      <c r="C643" s="10"/>
      <c r="D643" s="11"/>
      <c r="E643" s="10"/>
      <c r="F643" s="1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0"/>
      <c r="V643" s="11"/>
      <c r="W643" s="10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2.75" customHeight="1">
      <c r="A644" s="10"/>
      <c r="B644" s="11"/>
      <c r="C644" s="10"/>
      <c r="D644" s="11"/>
      <c r="E644" s="10"/>
      <c r="F644" s="1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0"/>
      <c r="V644" s="11"/>
      <c r="W644" s="10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2.75" customHeight="1">
      <c r="A645" s="10"/>
      <c r="B645" s="11"/>
      <c r="C645" s="10"/>
      <c r="D645" s="11"/>
      <c r="E645" s="10"/>
      <c r="F645" s="1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0"/>
      <c r="V645" s="11"/>
      <c r="W645" s="10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2.75" customHeight="1">
      <c r="A646" s="10"/>
      <c r="B646" s="11"/>
      <c r="C646" s="10"/>
      <c r="D646" s="11"/>
      <c r="E646" s="10"/>
      <c r="F646" s="1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0"/>
      <c r="V646" s="11"/>
      <c r="W646" s="10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2.75" customHeight="1">
      <c r="A647" s="10"/>
      <c r="B647" s="11"/>
      <c r="C647" s="10"/>
      <c r="D647" s="11"/>
      <c r="E647" s="10"/>
      <c r="F647" s="1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0"/>
      <c r="V647" s="11"/>
      <c r="W647" s="10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2.75" customHeight="1">
      <c r="A648" s="10"/>
      <c r="B648" s="11"/>
      <c r="C648" s="10"/>
      <c r="D648" s="11"/>
      <c r="E648" s="10"/>
      <c r="F648" s="1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0"/>
      <c r="V648" s="11"/>
      <c r="W648" s="10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2.75" customHeight="1">
      <c r="A649" s="10"/>
      <c r="B649" s="11"/>
      <c r="C649" s="10"/>
      <c r="D649" s="11"/>
      <c r="E649" s="10"/>
      <c r="F649" s="1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0"/>
      <c r="V649" s="11"/>
      <c r="W649" s="10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2.75" customHeight="1">
      <c r="A650" s="10"/>
      <c r="B650" s="11"/>
      <c r="C650" s="10"/>
      <c r="D650" s="11"/>
      <c r="E650" s="10"/>
      <c r="F650" s="1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0"/>
      <c r="V650" s="11"/>
      <c r="W650" s="10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2.75" customHeight="1">
      <c r="A651" s="10"/>
      <c r="B651" s="11"/>
      <c r="C651" s="10"/>
      <c r="D651" s="11"/>
      <c r="E651" s="10"/>
      <c r="F651" s="1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0"/>
      <c r="V651" s="11"/>
      <c r="W651" s="10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2.75" customHeight="1">
      <c r="A652" s="10"/>
      <c r="B652" s="11"/>
      <c r="C652" s="10"/>
      <c r="D652" s="11"/>
      <c r="E652" s="10"/>
      <c r="F652" s="1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0"/>
      <c r="V652" s="11"/>
      <c r="W652" s="10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2.75" customHeight="1">
      <c r="A653" s="10"/>
      <c r="B653" s="11"/>
      <c r="C653" s="10"/>
      <c r="D653" s="11"/>
      <c r="E653" s="10"/>
      <c r="F653" s="1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0"/>
      <c r="V653" s="11"/>
      <c r="W653" s="10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2.75" customHeight="1">
      <c r="A654" s="10"/>
      <c r="B654" s="11"/>
      <c r="C654" s="10"/>
      <c r="D654" s="11"/>
      <c r="E654" s="10"/>
      <c r="F654" s="1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0"/>
      <c r="V654" s="11"/>
      <c r="W654" s="10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2.75" customHeight="1">
      <c r="A655" s="10"/>
      <c r="B655" s="11"/>
      <c r="C655" s="10"/>
      <c r="D655" s="11"/>
      <c r="E655" s="10"/>
      <c r="F655" s="1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0"/>
      <c r="V655" s="11"/>
      <c r="W655" s="10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2.75" customHeight="1">
      <c r="A656" s="10"/>
      <c r="B656" s="11"/>
      <c r="C656" s="10"/>
      <c r="D656" s="11"/>
      <c r="E656" s="10"/>
      <c r="F656" s="1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0"/>
      <c r="V656" s="11"/>
      <c r="W656" s="10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2.75" customHeight="1">
      <c r="A657" s="10"/>
      <c r="B657" s="11"/>
      <c r="C657" s="10"/>
      <c r="D657" s="11"/>
      <c r="E657" s="10"/>
      <c r="F657" s="1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0"/>
      <c r="V657" s="11"/>
      <c r="W657" s="10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2.75" customHeight="1">
      <c r="A658" s="10"/>
      <c r="B658" s="11"/>
      <c r="C658" s="10"/>
      <c r="D658" s="11"/>
      <c r="E658" s="10"/>
      <c r="F658" s="1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0"/>
      <c r="V658" s="11"/>
      <c r="W658" s="10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2.75" customHeight="1">
      <c r="A659" s="10"/>
      <c r="B659" s="11"/>
      <c r="C659" s="10"/>
      <c r="D659" s="11"/>
      <c r="E659" s="10"/>
      <c r="F659" s="1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0"/>
      <c r="V659" s="11"/>
      <c r="W659" s="10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2.75" customHeight="1">
      <c r="A660" s="10"/>
      <c r="B660" s="11"/>
      <c r="C660" s="10"/>
      <c r="D660" s="11"/>
      <c r="E660" s="10"/>
      <c r="F660" s="1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0"/>
      <c r="V660" s="11"/>
      <c r="W660" s="10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2.75" customHeight="1">
      <c r="A661" s="10"/>
      <c r="B661" s="11"/>
      <c r="C661" s="10"/>
      <c r="D661" s="11"/>
      <c r="E661" s="10"/>
      <c r="F661" s="1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0"/>
      <c r="V661" s="11"/>
      <c r="W661" s="10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2.75" customHeight="1">
      <c r="A662" s="10"/>
      <c r="B662" s="11"/>
      <c r="C662" s="10"/>
      <c r="D662" s="11"/>
      <c r="E662" s="10"/>
      <c r="F662" s="1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0"/>
      <c r="V662" s="11"/>
      <c r="W662" s="10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2.75" customHeight="1">
      <c r="A663" s="10"/>
      <c r="B663" s="11"/>
      <c r="C663" s="10"/>
      <c r="D663" s="11"/>
      <c r="E663" s="10"/>
      <c r="F663" s="1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0"/>
      <c r="V663" s="11"/>
      <c r="W663" s="10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2.75" customHeight="1">
      <c r="A664" s="10"/>
      <c r="B664" s="11"/>
      <c r="C664" s="10"/>
      <c r="D664" s="11"/>
      <c r="E664" s="10"/>
      <c r="F664" s="1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0"/>
      <c r="V664" s="11"/>
      <c r="W664" s="10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2.75" customHeight="1">
      <c r="A665" s="10"/>
      <c r="B665" s="11"/>
      <c r="C665" s="10"/>
      <c r="D665" s="11"/>
      <c r="E665" s="10"/>
      <c r="F665" s="1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0"/>
      <c r="V665" s="11"/>
      <c r="W665" s="10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2.75" customHeight="1">
      <c r="A666" s="10"/>
      <c r="B666" s="11"/>
      <c r="C666" s="10"/>
      <c r="D666" s="11"/>
      <c r="E666" s="10"/>
      <c r="F666" s="1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0"/>
      <c r="V666" s="11"/>
      <c r="W666" s="10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2.75" customHeight="1">
      <c r="A667" s="10"/>
      <c r="B667" s="11"/>
      <c r="C667" s="10"/>
      <c r="D667" s="11"/>
      <c r="E667" s="10"/>
      <c r="F667" s="1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0"/>
      <c r="V667" s="11"/>
      <c r="W667" s="10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2.75" customHeight="1">
      <c r="A668" s="10"/>
      <c r="B668" s="11"/>
      <c r="C668" s="10"/>
      <c r="D668" s="11"/>
      <c r="E668" s="10"/>
      <c r="F668" s="1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0"/>
      <c r="V668" s="11"/>
      <c r="W668" s="10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2.75" customHeight="1">
      <c r="A669" s="10"/>
      <c r="B669" s="11"/>
      <c r="C669" s="10"/>
      <c r="D669" s="11"/>
      <c r="E669" s="10"/>
      <c r="F669" s="1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0"/>
      <c r="V669" s="11"/>
      <c r="W669" s="10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2.75" customHeight="1">
      <c r="A670" s="10"/>
      <c r="B670" s="11"/>
      <c r="C670" s="10"/>
      <c r="D670" s="11"/>
      <c r="E670" s="10"/>
      <c r="F670" s="1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0"/>
      <c r="V670" s="11"/>
      <c r="W670" s="10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2.75" customHeight="1">
      <c r="A671" s="10"/>
      <c r="B671" s="11"/>
      <c r="C671" s="10"/>
      <c r="D671" s="11"/>
      <c r="E671" s="10"/>
      <c r="F671" s="1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0"/>
      <c r="V671" s="11"/>
      <c r="W671" s="10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2.75" customHeight="1">
      <c r="A672" s="10"/>
      <c r="B672" s="11"/>
      <c r="C672" s="10"/>
      <c r="D672" s="11"/>
      <c r="E672" s="10"/>
      <c r="F672" s="1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0"/>
      <c r="V672" s="11"/>
      <c r="W672" s="10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2.75" customHeight="1">
      <c r="A673" s="10"/>
      <c r="B673" s="11"/>
      <c r="C673" s="10"/>
      <c r="D673" s="11"/>
      <c r="E673" s="10"/>
      <c r="F673" s="1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0"/>
      <c r="V673" s="11"/>
      <c r="W673" s="10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2.75" customHeight="1">
      <c r="A674" s="10"/>
      <c r="B674" s="11"/>
      <c r="C674" s="10"/>
      <c r="D674" s="11"/>
      <c r="E674" s="10"/>
      <c r="F674" s="1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0"/>
      <c r="V674" s="11"/>
      <c r="W674" s="10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2.75" customHeight="1">
      <c r="A675" s="10"/>
      <c r="B675" s="11"/>
      <c r="C675" s="10"/>
      <c r="D675" s="11"/>
      <c r="E675" s="10"/>
      <c r="F675" s="1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0"/>
      <c r="V675" s="11"/>
      <c r="W675" s="10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2.75" customHeight="1">
      <c r="A676" s="10"/>
      <c r="B676" s="11"/>
      <c r="C676" s="10"/>
      <c r="D676" s="11"/>
      <c r="E676" s="10"/>
      <c r="F676" s="1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0"/>
      <c r="V676" s="11"/>
      <c r="W676" s="10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2.75" customHeight="1">
      <c r="A677" s="10"/>
      <c r="B677" s="11"/>
      <c r="C677" s="10"/>
      <c r="D677" s="11"/>
      <c r="E677" s="10"/>
      <c r="F677" s="1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0"/>
      <c r="V677" s="11"/>
      <c r="W677" s="10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2.75" customHeight="1">
      <c r="A678" s="10"/>
      <c r="B678" s="11"/>
      <c r="C678" s="10"/>
      <c r="D678" s="11"/>
      <c r="E678" s="10"/>
      <c r="F678" s="1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0"/>
      <c r="V678" s="11"/>
      <c r="W678" s="10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2.75" customHeight="1">
      <c r="A679" s="10"/>
      <c r="B679" s="11"/>
      <c r="C679" s="10"/>
      <c r="D679" s="11"/>
      <c r="E679" s="10"/>
      <c r="F679" s="1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0"/>
      <c r="V679" s="11"/>
      <c r="W679" s="10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2.75" customHeight="1">
      <c r="A680" s="10"/>
      <c r="B680" s="11"/>
      <c r="C680" s="10"/>
      <c r="D680" s="11"/>
      <c r="E680" s="10"/>
      <c r="F680" s="1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0"/>
      <c r="V680" s="11"/>
      <c r="W680" s="10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2.75" customHeight="1">
      <c r="A681" s="10"/>
      <c r="B681" s="11"/>
      <c r="C681" s="10"/>
      <c r="D681" s="11"/>
      <c r="E681" s="10"/>
      <c r="F681" s="1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0"/>
      <c r="V681" s="11"/>
      <c r="W681" s="10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2.75" customHeight="1">
      <c r="A682" s="10"/>
      <c r="B682" s="11"/>
      <c r="C682" s="10"/>
      <c r="D682" s="11"/>
      <c r="E682" s="10"/>
      <c r="F682" s="1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0"/>
      <c r="V682" s="11"/>
      <c r="W682" s="10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2.75" customHeight="1">
      <c r="A683" s="10"/>
      <c r="B683" s="11"/>
      <c r="C683" s="10"/>
      <c r="D683" s="11"/>
      <c r="E683" s="10"/>
      <c r="F683" s="1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0"/>
      <c r="V683" s="11"/>
      <c r="W683" s="10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2.75" customHeight="1">
      <c r="A684" s="10"/>
      <c r="B684" s="11"/>
      <c r="C684" s="10"/>
      <c r="D684" s="11"/>
      <c r="E684" s="10"/>
      <c r="F684" s="1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0"/>
      <c r="V684" s="11"/>
      <c r="W684" s="10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2.75" customHeight="1">
      <c r="A685" s="10"/>
      <c r="B685" s="11"/>
      <c r="C685" s="10"/>
      <c r="D685" s="11"/>
      <c r="E685" s="10"/>
      <c r="F685" s="1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0"/>
      <c r="V685" s="11"/>
      <c r="W685" s="10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2.75" customHeight="1">
      <c r="A686" s="10"/>
      <c r="B686" s="11"/>
      <c r="C686" s="10"/>
      <c r="D686" s="11"/>
      <c r="E686" s="10"/>
      <c r="F686" s="1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0"/>
      <c r="V686" s="11"/>
      <c r="W686" s="10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2.75" customHeight="1">
      <c r="A687" s="10"/>
      <c r="B687" s="11"/>
      <c r="C687" s="10"/>
      <c r="D687" s="11"/>
      <c r="E687" s="10"/>
      <c r="F687" s="1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0"/>
      <c r="V687" s="11"/>
      <c r="W687" s="10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2.75" customHeight="1">
      <c r="A688" s="10"/>
      <c r="B688" s="11"/>
      <c r="C688" s="10"/>
      <c r="D688" s="11"/>
      <c r="E688" s="10"/>
      <c r="F688" s="1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0"/>
      <c r="V688" s="11"/>
      <c r="W688" s="10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2.75" customHeight="1">
      <c r="A689" s="10"/>
      <c r="B689" s="11"/>
      <c r="C689" s="10"/>
      <c r="D689" s="11"/>
      <c r="E689" s="10"/>
      <c r="F689" s="1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0"/>
      <c r="V689" s="11"/>
      <c r="W689" s="10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2.75" customHeight="1">
      <c r="A690" s="10"/>
      <c r="B690" s="11"/>
      <c r="C690" s="10"/>
      <c r="D690" s="11"/>
      <c r="E690" s="10"/>
      <c r="F690" s="1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0"/>
      <c r="V690" s="11"/>
      <c r="W690" s="10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2.75" customHeight="1">
      <c r="A691" s="10"/>
      <c r="B691" s="11"/>
      <c r="C691" s="10"/>
      <c r="D691" s="11"/>
      <c r="E691" s="10"/>
      <c r="F691" s="1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0"/>
      <c r="V691" s="11"/>
      <c r="W691" s="10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2.75" customHeight="1">
      <c r="A692" s="10"/>
      <c r="B692" s="11"/>
      <c r="C692" s="10"/>
      <c r="D692" s="11"/>
      <c r="E692" s="10"/>
      <c r="F692" s="1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0"/>
      <c r="V692" s="11"/>
      <c r="W692" s="10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2.75" customHeight="1">
      <c r="A693" s="10"/>
      <c r="B693" s="11"/>
      <c r="C693" s="10"/>
      <c r="D693" s="11"/>
      <c r="E693" s="10"/>
      <c r="F693" s="1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0"/>
      <c r="V693" s="11"/>
      <c r="W693" s="10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2.75" customHeight="1">
      <c r="A694" s="10"/>
      <c r="B694" s="11"/>
      <c r="C694" s="10"/>
      <c r="D694" s="11"/>
      <c r="E694" s="10"/>
      <c r="F694" s="1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0"/>
      <c r="V694" s="11"/>
      <c r="W694" s="10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2.75" customHeight="1">
      <c r="A695" s="10"/>
      <c r="B695" s="11"/>
      <c r="C695" s="10"/>
      <c r="D695" s="11"/>
      <c r="E695" s="10"/>
      <c r="F695" s="1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0"/>
      <c r="V695" s="11"/>
      <c r="W695" s="10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2.75" customHeight="1">
      <c r="A696" s="10"/>
      <c r="B696" s="11"/>
      <c r="C696" s="10"/>
      <c r="D696" s="11"/>
      <c r="E696" s="10"/>
      <c r="F696" s="1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0"/>
      <c r="V696" s="11"/>
      <c r="W696" s="10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2.75" customHeight="1">
      <c r="A697" s="10"/>
      <c r="B697" s="11"/>
      <c r="C697" s="10"/>
      <c r="D697" s="11"/>
      <c r="E697" s="10"/>
      <c r="F697" s="1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0"/>
      <c r="V697" s="11"/>
      <c r="W697" s="10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2.75" customHeight="1">
      <c r="A698" s="10"/>
      <c r="B698" s="11"/>
      <c r="C698" s="10"/>
      <c r="D698" s="11"/>
      <c r="E698" s="10"/>
      <c r="F698" s="1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0"/>
      <c r="V698" s="11"/>
      <c r="W698" s="10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2.75" customHeight="1">
      <c r="A699" s="10"/>
      <c r="B699" s="11"/>
      <c r="C699" s="10"/>
      <c r="D699" s="11"/>
      <c r="E699" s="10"/>
      <c r="F699" s="1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0"/>
      <c r="V699" s="11"/>
      <c r="W699" s="10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2.75" customHeight="1">
      <c r="A700" s="10"/>
      <c r="B700" s="11"/>
      <c r="C700" s="10"/>
      <c r="D700" s="11"/>
      <c r="E700" s="10"/>
      <c r="F700" s="1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0"/>
      <c r="V700" s="11"/>
      <c r="W700" s="10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2.75" customHeight="1">
      <c r="A701" s="10"/>
      <c r="B701" s="11"/>
      <c r="C701" s="10"/>
      <c r="D701" s="11"/>
      <c r="E701" s="10"/>
      <c r="F701" s="1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0"/>
      <c r="V701" s="11"/>
      <c r="W701" s="10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2.75" customHeight="1">
      <c r="A702" s="10"/>
      <c r="B702" s="11"/>
      <c r="C702" s="10"/>
      <c r="D702" s="11"/>
      <c r="E702" s="10"/>
      <c r="F702" s="1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0"/>
      <c r="V702" s="11"/>
      <c r="W702" s="10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2.75" customHeight="1">
      <c r="A703" s="10"/>
      <c r="B703" s="11"/>
      <c r="C703" s="10"/>
      <c r="D703" s="11"/>
      <c r="E703" s="10"/>
      <c r="F703" s="1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0"/>
      <c r="V703" s="11"/>
      <c r="W703" s="10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2.75" customHeight="1">
      <c r="A704" s="10"/>
      <c r="B704" s="11"/>
      <c r="C704" s="10"/>
      <c r="D704" s="11"/>
      <c r="E704" s="10"/>
      <c r="F704" s="1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0"/>
      <c r="V704" s="11"/>
      <c r="W704" s="10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2.75" customHeight="1">
      <c r="A705" s="10"/>
      <c r="B705" s="11"/>
      <c r="C705" s="10"/>
      <c r="D705" s="11"/>
      <c r="E705" s="10"/>
      <c r="F705" s="1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0"/>
      <c r="V705" s="11"/>
      <c r="W705" s="10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2.75" customHeight="1">
      <c r="A706" s="10"/>
      <c r="B706" s="11"/>
      <c r="C706" s="10"/>
      <c r="D706" s="11"/>
      <c r="E706" s="10"/>
      <c r="F706" s="1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0"/>
      <c r="V706" s="11"/>
      <c r="W706" s="10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2.75" customHeight="1">
      <c r="A707" s="10"/>
      <c r="B707" s="11"/>
      <c r="C707" s="10"/>
      <c r="D707" s="11"/>
      <c r="E707" s="10"/>
      <c r="F707" s="1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0"/>
      <c r="V707" s="11"/>
      <c r="W707" s="10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2.75" customHeight="1">
      <c r="A708" s="10"/>
      <c r="B708" s="11"/>
      <c r="C708" s="10"/>
      <c r="D708" s="11"/>
      <c r="E708" s="10"/>
      <c r="F708" s="1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0"/>
      <c r="V708" s="11"/>
      <c r="W708" s="10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2.75" customHeight="1">
      <c r="A709" s="10"/>
      <c r="B709" s="11"/>
      <c r="C709" s="10"/>
      <c r="D709" s="11"/>
      <c r="E709" s="10"/>
      <c r="F709" s="1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0"/>
      <c r="V709" s="11"/>
      <c r="W709" s="10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2.75" customHeight="1">
      <c r="A710" s="10"/>
      <c r="B710" s="11"/>
      <c r="C710" s="10"/>
      <c r="D710" s="11"/>
      <c r="E710" s="10"/>
      <c r="F710" s="1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0"/>
      <c r="V710" s="11"/>
      <c r="W710" s="10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2.75" customHeight="1">
      <c r="A711" s="10"/>
      <c r="B711" s="11"/>
      <c r="C711" s="10"/>
      <c r="D711" s="11"/>
      <c r="E711" s="10"/>
      <c r="F711" s="1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0"/>
      <c r="V711" s="11"/>
      <c r="W711" s="10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2.75" customHeight="1">
      <c r="A712" s="10"/>
      <c r="B712" s="11"/>
      <c r="C712" s="10"/>
      <c r="D712" s="11"/>
      <c r="E712" s="10"/>
      <c r="F712" s="1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0"/>
      <c r="V712" s="11"/>
      <c r="W712" s="10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2.75" customHeight="1">
      <c r="A713" s="10"/>
      <c r="B713" s="11"/>
      <c r="C713" s="10"/>
      <c r="D713" s="11"/>
      <c r="E713" s="10"/>
      <c r="F713" s="1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0"/>
      <c r="V713" s="11"/>
      <c r="W713" s="10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2.75" customHeight="1">
      <c r="A714" s="10"/>
      <c r="B714" s="11"/>
      <c r="C714" s="10"/>
      <c r="D714" s="11"/>
      <c r="E714" s="10"/>
      <c r="F714" s="1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0"/>
      <c r="V714" s="11"/>
      <c r="W714" s="10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2.75" customHeight="1">
      <c r="A715" s="10"/>
      <c r="B715" s="11"/>
      <c r="C715" s="10"/>
      <c r="D715" s="11"/>
      <c r="E715" s="10"/>
      <c r="F715" s="1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0"/>
      <c r="V715" s="11"/>
      <c r="W715" s="10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2.75" customHeight="1">
      <c r="A716" s="10"/>
      <c r="B716" s="11"/>
      <c r="C716" s="10"/>
      <c r="D716" s="11"/>
      <c r="E716" s="10"/>
      <c r="F716" s="1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0"/>
      <c r="V716" s="11"/>
      <c r="W716" s="10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2.75" customHeight="1">
      <c r="A717" s="10"/>
      <c r="B717" s="11"/>
      <c r="C717" s="10"/>
      <c r="D717" s="11"/>
      <c r="E717" s="10"/>
      <c r="F717" s="1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0"/>
      <c r="V717" s="11"/>
      <c r="W717" s="10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2.75" customHeight="1">
      <c r="A718" s="10"/>
      <c r="B718" s="11"/>
      <c r="C718" s="10"/>
      <c r="D718" s="11"/>
      <c r="E718" s="10"/>
      <c r="F718" s="1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0"/>
      <c r="V718" s="11"/>
      <c r="W718" s="10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2.75" customHeight="1">
      <c r="A719" s="10"/>
      <c r="B719" s="11"/>
      <c r="C719" s="10"/>
      <c r="D719" s="11"/>
      <c r="E719" s="10"/>
      <c r="F719" s="1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0"/>
      <c r="V719" s="11"/>
      <c r="W719" s="10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2.75" customHeight="1">
      <c r="A720" s="10"/>
      <c r="B720" s="11"/>
      <c r="C720" s="10"/>
      <c r="D720" s="11"/>
      <c r="E720" s="10"/>
      <c r="F720" s="1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0"/>
      <c r="V720" s="11"/>
      <c r="W720" s="10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2.75" customHeight="1">
      <c r="A721" s="10"/>
      <c r="B721" s="11"/>
      <c r="C721" s="10"/>
      <c r="D721" s="11"/>
      <c r="E721" s="10"/>
      <c r="F721" s="1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0"/>
      <c r="V721" s="11"/>
      <c r="W721" s="10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2.75" customHeight="1">
      <c r="A722" s="10"/>
      <c r="B722" s="11"/>
      <c r="C722" s="10"/>
      <c r="D722" s="11"/>
      <c r="E722" s="10"/>
      <c r="F722" s="1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0"/>
      <c r="V722" s="11"/>
      <c r="W722" s="10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2.75" customHeight="1">
      <c r="A723" s="10"/>
      <c r="B723" s="11"/>
      <c r="C723" s="10"/>
      <c r="D723" s="11"/>
      <c r="E723" s="10"/>
      <c r="F723" s="1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0"/>
      <c r="V723" s="11"/>
      <c r="W723" s="10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2.75" customHeight="1">
      <c r="A724" s="10"/>
      <c r="B724" s="11"/>
      <c r="C724" s="10"/>
      <c r="D724" s="11"/>
      <c r="E724" s="10"/>
      <c r="F724" s="1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0"/>
      <c r="V724" s="11"/>
      <c r="W724" s="10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2.75" customHeight="1">
      <c r="A725" s="10"/>
      <c r="B725" s="11"/>
      <c r="C725" s="10"/>
      <c r="D725" s="11"/>
      <c r="E725" s="10"/>
      <c r="F725" s="1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0"/>
      <c r="V725" s="11"/>
      <c r="W725" s="10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2.75" customHeight="1">
      <c r="A726" s="10"/>
      <c r="B726" s="11"/>
      <c r="C726" s="10"/>
      <c r="D726" s="11"/>
      <c r="E726" s="10"/>
      <c r="F726" s="1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0"/>
      <c r="V726" s="11"/>
      <c r="W726" s="10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2.75" customHeight="1">
      <c r="A727" s="10"/>
      <c r="B727" s="11"/>
      <c r="C727" s="10"/>
      <c r="D727" s="11"/>
      <c r="E727" s="10"/>
      <c r="F727" s="1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0"/>
      <c r="V727" s="11"/>
      <c r="W727" s="10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2.75" customHeight="1">
      <c r="A728" s="10"/>
      <c r="B728" s="11"/>
      <c r="C728" s="10"/>
      <c r="D728" s="11"/>
      <c r="E728" s="10"/>
      <c r="F728" s="1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0"/>
      <c r="V728" s="11"/>
      <c r="W728" s="10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2.75" customHeight="1">
      <c r="A729" s="10"/>
      <c r="B729" s="11"/>
      <c r="C729" s="10"/>
      <c r="D729" s="11"/>
      <c r="E729" s="10"/>
      <c r="F729" s="1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0"/>
      <c r="V729" s="11"/>
      <c r="W729" s="10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2.75" customHeight="1">
      <c r="A730" s="10"/>
      <c r="B730" s="11"/>
      <c r="C730" s="10"/>
      <c r="D730" s="11"/>
      <c r="E730" s="10"/>
      <c r="F730" s="1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0"/>
      <c r="V730" s="11"/>
      <c r="W730" s="10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2.75" customHeight="1">
      <c r="A731" s="10"/>
      <c r="B731" s="11"/>
      <c r="C731" s="10"/>
      <c r="D731" s="11"/>
      <c r="E731" s="10"/>
      <c r="F731" s="1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0"/>
      <c r="V731" s="11"/>
      <c r="W731" s="10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2.75" customHeight="1">
      <c r="A732" s="10"/>
      <c r="B732" s="11"/>
      <c r="C732" s="10"/>
      <c r="D732" s="11"/>
      <c r="E732" s="10"/>
      <c r="F732" s="1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0"/>
      <c r="V732" s="11"/>
      <c r="W732" s="10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2.75" customHeight="1">
      <c r="A733" s="10"/>
      <c r="B733" s="11"/>
      <c r="C733" s="10"/>
      <c r="D733" s="11"/>
      <c r="E733" s="10"/>
      <c r="F733" s="1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0"/>
      <c r="V733" s="11"/>
      <c r="W733" s="10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2.75" customHeight="1">
      <c r="A734" s="10"/>
      <c r="B734" s="11"/>
      <c r="C734" s="10"/>
      <c r="D734" s="11"/>
      <c r="E734" s="10"/>
      <c r="F734" s="1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0"/>
      <c r="V734" s="11"/>
      <c r="W734" s="10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2.75" customHeight="1">
      <c r="A735" s="10"/>
      <c r="B735" s="11"/>
      <c r="C735" s="10"/>
      <c r="D735" s="11"/>
      <c r="E735" s="10"/>
      <c r="F735" s="1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0"/>
      <c r="V735" s="11"/>
      <c r="W735" s="10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2.75" customHeight="1">
      <c r="A736" s="10"/>
      <c r="B736" s="11"/>
      <c r="C736" s="10"/>
      <c r="D736" s="11"/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0"/>
      <c r="V736" s="11"/>
      <c r="W736" s="10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2.75" customHeight="1">
      <c r="A737" s="10"/>
      <c r="B737" s="11"/>
      <c r="C737" s="10"/>
      <c r="D737" s="11"/>
      <c r="E737" s="10"/>
      <c r="F737" s="1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0"/>
      <c r="V737" s="11"/>
      <c r="W737" s="10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2.75" customHeight="1">
      <c r="A738" s="10"/>
      <c r="B738" s="11"/>
      <c r="C738" s="10"/>
      <c r="D738" s="11"/>
      <c r="E738" s="10"/>
      <c r="F738" s="1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0"/>
      <c r="V738" s="11"/>
      <c r="W738" s="10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2.75" customHeight="1">
      <c r="A739" s="10"/>
      <c r="B739" s="11"/>
      <c r="C739" s="10"/>
      <c r="D739" s="11"/>
      <c r="E739" s="10"/>
      <c r="F739" s="1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0"/>
      <c r="V739" s="11"/>
      <c r="W739" s="10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2.75" customHeight="1">
      <c r="A740" s="10"/>
      <c r="B740" s="11"/>
      <c r="C740" s="10"/>
      <c r="D740" s="11"/>
      <c r="E740" s="10"/>
      <c r="F740" s="1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0"/>
      <c r="V740" s="11"/>
      <c r="W740" s="10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2.75" customHeight="1">
      <c r="A741" s="10"/>
      <c r="B741" s="11"/>
      <c r="C741" s="10"/>
      <c r="D741" s="11"/>
      <c r="E741" s="10"/>
      <c r="F741" s="1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0"/>
      <c r="V741" s="11"/>
      <c r="W741" s="10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2.75" customHeight="1">
      <c r="A742" s="10"/>
      <c r="B742" s="11"/>
      <c r="C742" s="10"/>
      <c r="D742" s="11"/>
      <c r="E742" s="10"/>
      <c r="F742" s="1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0"/>
      <c r="V742" s="11"/>
      <c r="W742" s="10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2.75" customHeight="1">
      <c r="A743" s="10"/>
      <c r="B743" s="11"/>
      <c r="C743" s="10"/>
      <c r="D743" s="11"/>
      <c r="E743" s="10"/>
      <c r="F743" s="1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0"/>
      <c r="V743" s="11"/>
      <c r="W743" s="10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2.75" customHeight="1">
      <c r="A744" s="10"/>
      <c r="B744" s="11"/>
      <c r="C744" s="10"/>
      <c r="D744" s="11"/>
      <c r="E744" s="10"/>
      <c r="F744" s="1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0"/>
      <c r="V744" s="11"/>
      <c r="W744" s="10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2.75" customHeight="1">
      <c r="A745" s="10"/>
      <c r="B745" s="11"/>
      <c r="C745" s="10"/>
      <c r="D745" s="11"/>
      <c r="E745" s="10"/>
      <c r="F745" s="1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0"/>
      <c r="V745" s="11"/>
      <c r="W745" s="10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2.75" customHeight="1">
      <c r="A746" s="10"/>
      <c r="B746" s="11"/>
      <c r="C746" s="10"/>
      <c r="D746" s="11"/>
      <c r="E746" s="10"/>
      <c r="F746" s="1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0"/>
      <c r="V746" s="11"/>
      <c r="W746" s="10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2.75" customHeight="1">
      <c r="A747" s="10"/>
      <c r="B747" s="11"/>
      <c r="C747" s="10"/>
      <c r="D747" s="11"/>
      <c r="E747" s="10"/>
      <c r="F747" s="1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0"/>
      <c r="V747" s="11"/>
      <c r="W747" s="10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2.75" customHeight="1">
      <c r="A748" s="10"/>
      <c r="B748" s="11"/>
      <c r="C748" s="10"/>
      <c r="D748" s="11"/>
      <c r="E748" s="10"/>
      <c r="F748" s="1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0"/>
      <c r="V748" s="11"/>
      <c r="W748" s="10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2.75" customHeight="1">
      <c r="A749" s="10"/>
      <c r="B749" s="11"/>
      <c r="C749" s="10"/>
      <c r="D749" s="11"/>
      <c r="E749" s="10"/>
      <c r="F749" s="1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0"/>
      <c r="V749" s="11"/>
      <c r="W749" s="10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2.75" customHeight="1">
      <c r="A750" s="10"/>
      <c r="B750" s="11"/>
      <c r="C750" s="10"/>
      <c r="D750" s="11"/>
      <c r="E750" s="10"/>
      <c r="F750" s="1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0"/>
      <c r="V750" s="11"/>
      <c r="W750" s="10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2.75" customHeight="1">
      <c r="A751" s="10"/>
      <c r="B751" s="11"/>
      <c r="C751" s="10"/>
      <c r="D751" s="11"/>
      <c r="E751" s="10"/>
      <c r="F751" s="1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0"/>
      <c r="V751" s="11"/>
      <c r="W751" s="10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2.75" customHeight="1">
      <c r="A752" s="10"/>
      <c r="B752" s="11"/>
      <c r="C752" s="10"/>
      <c r="D752" s="11"/>
      <c r="E752" s="10"/>
      <c r="F752" s="1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0"/>
      <c r="V752" s="11"/>
      <c r="W752" s="10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2.75" customHeight="1">
      <c r="A753" s="10"/>
      <c r="B753" s="11"/>
      <c r="C753" s="10"/>
      <c r="D753" s="11"/>
      <c r="E753" s="10"/>
      <c r="F753" s="1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0"/>
      <c r="V753" s="11"/>
      <c r="W753" s="10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2.75" customHeight="1">
      <c r="A754" s="10"/>
      <c r="B754" s="11"/>
      <c r="C754" s="10"/>
      <c r="D754" s="11"/>
      <c r="E754" s="10"/>
      <c r="F754" s="1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0"/>
      <c r="V754" s="11"/>
      <c r="W754" s="10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2.75" customHeight="1">
      <c r="A755" s="10"/>
      <c r="B755" s="11"/>
      <c r="C755" s="10"/>
      <c r="D755" s="11"/>
      <c r="E755" s="10"/>
      <c r="F755" s="1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0"/>
      <c r="V755" s="11"/>
      <c r="W755" s="10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2.75" customHeight="1">
      <c r="A756" s="10"/>
      <c r="B756" s="11"/>
      <c r="C756" s="10"/>
      <c r="D756" s="11"/>
      <c r="E756" s="10"/>
      <c r="F756" s="1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0"/>
      <c r="V756" s="11"/>
      <c r="W756" s="10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2.75" customHeight="1">
      <c r="A757" s="10"/>
      <c r="B757" s="11"/>
      <c r="C757" s="10"/>
      <c r="D757" s="11"/>
      <c r="E757" s="10"/>
      <c r="F757" s="1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0"/>
      <c r="V757" s="11"/>
      <c r="W757" s="10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2.75" customHeight="1">
      <c r="A758" s="10"/>
      <c r="B758" s="11"/>
      <c r="C758" s="10"/>
      <c r="D758" s="11"/>
      <c r="E758" s="10"/>
      <c r="F758" s="1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0"/>
      <c r="V758" s="11"/>
      <c r="W758" s="10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2.75" customHeight="1">
      <c r="A759" s="10"/>
      <c r="B759" s="11"/>
      <c r="C759" s="10"/>
      <c r="D759" s="11"/>
      <c r="E759" s="10"/>
      <c r="F759" s="1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0"/>
      <c r="V759" s="11"/>
      <c r="W759" s="10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2.75" customHeight="1">
      <c r="A760" s="10"/>
      <c r="B760" s="11"/>
      <c r="C760" s="10"/>
      <c r="D760" s="11"/>
      <c r="E760" s="10"/>
      <c r="F760" s="1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0"/>
      <c r="V760" s="11"/>
      <c r="W760" s="10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2.75" customHeight="1">
      <c r="A761" s="10"/>
      <c r="B761" s="11"/>
      <c r="C761" s="10"/>
      <c r="D761" s="11"/>
      <c r="E761" s="10"/>
      <c r="F761" s="1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0"/>
      <c r="V761" s="11"/>
      <c r="W761" s="10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2.75" customHeight="1">
      <c r="A762" s="10"/>
      <c r="B762" s="11"/>
      <c r="C762" s="10"/>
      <c r="D762" s="11"/>
      <c r="E762" s="10"/>
      <c r="F762" s="1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0"/>
      <c r="V762" s="11"/>
      <c r="W762" s="10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2.75" customHeight="1">
      <c r="A763" s="10"/>
      <c r="B763" s="11"/>
      <c r="C763" s="10"/>
      <c r="D763" s="11"/>
      <c r="E763" s="10"/>
      <c r="F763" s="1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0"/>
      <c r="V763" s="11"/>
      <c r="W763" s="10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2.75" customHeight="1">
      <c r="A764" s="10"/>
      <c r="B764" s="11"/>
      <c r="C764" s="10"/>
      <c r="D764" s="11"/>
      <c r="E764" s="10"/>
      <c r="F764" s="1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0"/>
      <c r="V764" s="11"/>
      <c r="W764" s="10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2.75" customHeight="1">
      <c r="A765" s="10"/>
      <c r="B765" s="11"/>
      <c r="C765" s="10"/>
      <c r="D765" s="11"/>
      <c r="E765" s="10"/>
      <c r="F765" s="1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0"/>
      <c r="V765" s="11"/>
      <c r="W765" s="10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2.75" customHeight="1">
      <c r="A766" s="10"/>
      <c r="B766" s="11"/>
      <c r="C766" s="10"/>
      <c r="D766" s="11"/>
      <c r="E766" s="10"/>
      <c r="F766" s="1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0"/>
      <c r="V766" s="11"/>
      <c r="W766" s="10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2.75" customHeight="1">
      <c r="A767" s="10"/>
      <c r="B767" s="11"/>
      <c r="C767" s="10"/>
      <c r="D767" s="11"/>
      <c r="E767" s="10"/>
      <c r="F767" s="1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0"/>
      <c r="V767" s="11"/>
      <c r="W767" s="10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2.75" customHeight="1">
      <c r="A768" s="10"/>
      <c r="B768" s="11"/>
      <c r="C768" s="10"/>
      <c r="D768" s="11"/>
      <c r="E768" s="10"/>
      <c r="F768" s="1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0"/>
      <c r="V768" s="11"/>
      <c r="W768" s="10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2.75" customHeight="1">
      <c r="A769" s="10"/>
      <c r="B769" s="11"/>
      <c r="C769" s="10"/>
      <c r="D769" s="11"/>
      <c r="E769" s="10"/>
      <c r="F769" s="1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0"/>
      <c r="V769" s="11"/>
      <c r="W769" s="10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2.75" customHeight="1">
      <c r="A770" s="10"/>
      <c r="B770" s="11"/>
      <c r="C770" s="10"/>
      <c r="D770" s="11"/>
      <c r="E770" s="10"/>
      <c r="F770" s="1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0"/>
      <c r="V770" s="11"/>
      <c r="W770" s="10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2.75" customHeight="1">
      <c r="A771" s="10"/>
      <c r="B771" s="11"/>
      <c r="C771" s="10"/>
      <c r="D771" s="11"/>
      <c r="E771" s="10"/>
      <c r="F771" s="1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0"/>
      <c r="V771" s="11"/>
      <c r="W771" s="10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2.75" customHeight="1">
      <c r="A772" s="10"/>
      <c r="B772" s="11"/>
      <c r="C772" s="10"/>
      <c r="D772" s="11"/>
      <c r="E772" s="10"/>
      <c r="F772" s="1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0"/>
      <c r="V772" s="11"/>
      <c r="W772" s="10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2.75" customHeight="1">
      <c r="A773" s="10"/>
      <c r="B773" s="11"/>
      <c r="C773" s="10"/>
      <c r="D773" s="11"/>
      <c r="E773" s="10"/>
      <c r="F773" s="1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0"/>
      <c r="V773" s="11"/>
      <c r="W773" s="10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2.75" customHeight="1">
      <c r="A774" s="10"/>
      <c r="B774" s="11"/>
      <c r="C774" s="10"/>
      <c r="D774" s="11"/>
      <c r="E774" s="10"/>
      <c r="F774" s="1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0"/>
      <c r="V774" s="11"/>
      <c r="W774" s="10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2.75" customHeight="1">
      <c r="A775" s="10"/>
      <c r="B775" s="11"/>
      <c r="C775" s="10"/>
      <c r="D775" s="11"/>
      <c r="E775" s="10"/>
      <c r="F775" s="1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0"/>
      <c r="V775" s="11"/>
      <c r="W775" s="10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2.75" customHeight="1">
      <c r="A776" s="10"/>
      <c r="B776" s="11"/>
      <c r="C776" s="10"/>
      <c r="D776" s="11"/>
      <c r="E776" s="10"/>
      <c r="F776" s="1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0"/>
      <c r="V776" s="11"/>
      <c r="W776" s="10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2.75" customHeight="1">
      <c r="A777" s="10"/>
      <c r="B777" s="11"/>
      <c r="C777" s="10"/>
      <c r="D777" s="11"/>
      <c r="E777" s="10"/>
      <c r="F777" s="1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0"/>
      <c r="V777" s="11"/>
      <c r="W777" s="10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2.75" customHeight="1">
      <c r="A778" s="10"/>
      <c r="B778" s="11"/>
      <c r="C778" s="10"/>
      <c r="D778" s="11"/>
      <c r="E778" s="10"/>
      <c r="F778" s="1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0"/>
      <c r="V778" s="11"/>
      <c r="W778" s="10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2.75" customHeight="1">
      <c r="A779" s="10"/>
      <c r="B779" s="11"/>
      <c r="C779" s="10"/>
      <c r="D779" s="11"/>
      <c r="E779" s="10"/>
      <c r="F779" s="1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0"/>
      <c r="V779" s="11"/>
      <c r="W779" s="10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2.75" customHeight="1">
      <c r="A780" s="10"/>
      <c r="B780" s="11"/>
      <c r="C780" s="10"/>
      <c r="D780" s="11"/>
      <c r="E780" s="10"/>
      <c r="F780" s="1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0"/>
      <c r="V780" s="11"/>
      <c r="W780" s="10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2.75" customHeight="1">
      <c r="A781" s="10"/>
      <c r="B781" s="11"/>
      <c r="C781" s="10"/>
      <c r="D781" s="11"/>
      <c r="E781" s="10"/>
      <c r="F781" s="1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0"/>
      <c r="V781" s="11"/>
      <c r="W781" s="10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2.75" customHeight="1">
      <c r="A782" s="10"/>
      <c r="B782" s="11"/>
      <c r="C782" s="10"/>
      <c r="D782" s="11"/>
      <c r="E782" s="10"/>
      <c r="F782" s="1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0"/>
      <c r="V782" s="11"/>
      <c r="W782" s="10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2.75" customHeight="1">
      <c r="A783" s="10"/>
      <c r="B783" s="11"/>
      <c r="C783" s="10"/>
      <c r="D783" s="11"/>
      <c r="E783" s="10"/>
      <c r="F783" s="1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0"/>
      <c r="V783" s="11"/>
      <c r="W783" s="10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2.75" customHeight="1">
      <c r="A784" s="10"/>
      <c r="B784" s="11"/>
      <c r="C784" s="10"/>
      <c r="D784" s="11"/>
      <c r="E784" s="10"/>
      <c r="F784" s="1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0"/>
      <c r="V784" s="11"/>
      <c r="W784" s="10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2.75" customHeight="1">
      <c r="A785" s="10"/>
      <c r="B785" s="11"/>
      <c r="C785" s="10"/>
      <c r="D785" s="11"/>
      <c r="E785" s="10"/>
      <c r="F785" s="1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0"/>
      <c r="V785" s="11"/>
      <c r="W785" s="10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2.75" customHeight="1">
      <c r="A786" s="10"/>
      <c r="B786" s="11"/>
      <c r="C786" s="10"/>
      <c r="D786" s="11"/>
      <c r="E786" s="10"/>
      <c r="F786" s="1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0"/>
      <c r="V786" s="11"/>
      <c r="W786" s="10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2.75" customHeight="1">
      <c r="A787" s="10"/>
      <c r="B787" s="11"/>
      <c r="C787" s="10"/>
      <c r="D787" s="11"/>
      <c r="E787" s="10"/>
      <c r="F787" s="1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0"/>
      <c r="V787" s="11"/>
      <c r="W787" s="10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2.75" customHeight="1">
      <c r="A788" s="10"/>
      <c r="B788" s="11"/>
      <c r="C788" s="10"/>
      <c r="D788" s="11"/>
      <c r="E788" s="10"/>
      <c r="F788" s="1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0"/>
      <c r="V788" s="11"/>
      <c r="W788" s="10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2.75" customHeight="1">
      <c r="A789" s="10"/>
      <c r="B789" s="11"/>
      <c r="C789" s="10"/>
      <c r="D789" s="11"/>
      <c r="E789" s="10"/>
      <c r="F789" s="1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0"/>
      <c r="V789" s="11"/>
      <c r="W789" s="10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2.75" customHeight="1">
      <c r="A790" s="10"/>
      <c r="B790" s="11"/>
      <c r="C790" s="10"/>
      <c r="D790" s="11"/>
      <c r="E790" s="10"/>
      <c r="F790" s="1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0"/>
      <c r="V790" s="11"/>
      <c r="W790" s="10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2.75" customHeight="1">
      <c r="A791" s="10"/>
      <c r="B791" s="11"/>
      <c r="C791" s="10"/>
      <c r="D791" s="11"/>
      <c r="E791" s="10"/>
      <c r="F791" s="1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0"/>
      <c r="V791" s="11"/>
      <c r="W791" s="10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2.75" customHeight="1">
      <c r="A792" s="10"/>
      <c r="B792" s="11"/>
      <c r="C792" s="10"/>
      <c r="D792" s="11"/>
      <c r="E792" s="10"/>
      <c r="F792" s="1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0"/>
      <c r="V792" s="11"/>
      <c r="W792" s="10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2.75" customHeight="1">
      <c r="A793" s="10"/>
      <c r="B793" s="11"/>
      <c r="C793" s="10"/>
      <c r="D793" s="11"/>
      <c r="E793" s="10"/>
      <c r="F793" s="1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0"/>
      <c r="V793" s="11"/>
      <c r="W793" s="10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2.75" customHeight="1">
      <c r="A794" s="10"/>
      <c r="B794" s="11"/>
      <c r="C794" s="10"/>
      <c r="D794" s="11"/>
      <c r="E794" s="10"/>
      <c r="F794" s="1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0"/>
      <c r="V794" s="11"/>
      <c r="W794" s="10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2.75" customHeight="1">
      <c r="A795" s="10"/>
      <c r="B795" s="11"/>
      <c r="C795" s="10"/>
      <c r="D795" s="11"/>
      <c r="E795" s="10"/>
      <c r="F795" s="1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0"/>
      <c r="V795" s="11"/>
      <c r="W795" s="10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2.75" customHeight="1">
      <c r="A796" s="10"/>
      <c r="B796" s="11"/>
      <c r="C796" s="10"/>
      <c r="D796" s="11"/>
      <c r="E796" s="10"/>
      <c r="F796" s="1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0"/>
      <c r="V796" s="11"/>
      <c r="W796" s="10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2.75" customHeight="1">
      <c r="A797" s="10"/>
      <c r="B797" s="11"/>
      <c r="C797" s="10"/>
      <c r="D797" s="11"/>
      <c r="E797" s="10"/>
      <c r="F797" s="1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0"/>
      <c r="V797" s="11"/>
      <c r="W797" s="10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2.75" customHeight="1">
      <c r="A798" s="10"/>
      <c r="B798" s="11"/>
      <c r="C798" s="10"/>
      <c r="D798" s="11"/>
      <c r="E798" s="10"/>
      <c r="F798" s="1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0"/>
      <c r="V798" s="11"/>
      <c r="W798" s="10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2.75" customHeight="1">
      <c r="A799" s="10"/>
      <c r="B799" s="11"/>
      <c r="C799" s="10"/>
      <c r="D799" s="11"/>
      <c r="E799" s="10"/>
      <c r="F799" s="1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0"/>
      <c r="V799" s="11"/>
      <c r="W799" s="10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2.75" customHeight="1">
      <c r="A800" s="10"/>
      <c r="B800" s="11"/>
      <c r="C800" s="10"/>
      <c r="D800" s="11"/>
      <c r="E800" s="10"/>
      <c r="F800" s="1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0"/>
      <c r="V800" s="11"/>
      <c r="W800" s="10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2.75" customHeight="1">
      <c r="A801" s="10"/>
      <c r="B801" s="11"/>
      <c r="C801" s="10"/>
      <c r="D801" s="11"/>
      <c r="E801" s="10"/>
      <c r="F801" s="1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0"/>
      <c r="V801" s="11"/>
      <c r="W801" s="10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2.75" customHeight="1">
      <c r="A802" s="10"/>
      <c r="B802" s="11"/>
      <c r="C802" s="10"/>
      <c r="D802" s="11"/>
      <c r="E802" s="10"/>
      <c r="F802" s="1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0"/>
      <c r="V802" s="11"/>
      <c r="W802" s="10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2.75" customHeight="1">
      <c r="A803" s="10"/>
      <c r="B803" s="11"/>
      <c r="C803" s="10"/>
      <c r="D803" s="11"/>
      <c r="E803" s="10"/>
      <c r="F803" s="1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0"/>
      <c r="V803" s="11"/>
      <c r="W803" s="10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2.75" customHeight="1">
      <c r="A804" s="10"/>
      <c r="B804" s="11"/>
      <c r="C804" s="10"/>
      <c r="D804" s="11"/>
      <c r="E804" s="10"/>
      <c r="F804" s="1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0"/>
      <c r="V804" s="11"/>
      <c r="W804" s="10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2.75" customHeight="1">
      <c r="A805" s="10"/>
      <c r="B805" s="11"/>
      <c r="C805" s="10"/>
      <c r="D805" s="11"/>
      <c r="E805" s="10"/>
      <c r="F805" s="1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0"/>
      <c r="V805" s="11"/>
      <c r="W805" s="10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2.75" customHeight="1">
      <c r="A806" s="10"/>
      <c r="B806" s="11"/>
      <c r="C806" s="10"/>
      <c r="D806" s="11"/>
      <c r="E806" s="10"/>
      <c r="F806" s="1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0"/>
      <c r="V806" s="11"/>
      <c r="W806" s="10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2.75" customHeight="1">
      <c r="A807" s="10"/>
      <c r="B807" s="11"/>
      <c r="C807" s="10"/>
      <c r="D807" s="11"/>
      <c r="E807" s="10"/>
      <c r="F807" s="1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0"/>
      <c r="V807" s="11"/>
      <c r="W807" s="10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2.75" customHeight="1">
      <c r="A808" s="10"/>
      <c r="B808" s="11"/>
      <c r="C808" s="10"/>
      <c r="D808" s="11"/>
      <c r="E808" s="10"/>
      <c r="F808" s="1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0"/>
      <c r="V808" s="11"/>
      <c r="W808" s="10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2.75" customHeight="1">
      <c r="A809" s="10"/>
      <c r="B809" s="11"/>
      <c r="C809" s="10"/>
      <c r="D809" s="11"/>
      <c r="E809" s="10"/>
      <c r="F809" s="1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0"/>
      <c r="V809" s="11"/>
      <c r="W809" s="10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2.75" customHeight="1">
      <c r="A810" s="10"/>
      <c r="B810" s="11"/>
      <c r="C810" s="10"/>
      <c r="D810" s="11"/>
      <c r="E810" s="10"/>
      <c r="F810" s="1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0"/>
      <c r="V810" s="11"/>
      <c r="W810" s="10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2.75" customHeight="1">
      <c r="A811" s="10"/>
      <c r="B811" s="11"/>
      <c r="C811" s="10"/>
      <c r="D811" s="11"/>
      <c r="E811" s="10"/>
      <c r="F811" s="1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0"/>
      <c r="V811" s="11"/>
      <c r="W811" s="10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2.75" customHeight="1">
      <c r="A812" s="10"/>
      <c r="B812" s="11"/>
      <c r="C812" s="10"/>
      <c r="D812" s="11"/>
      <c r="E812" s="10"/>
      <c r="F812" s="1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0"/>
      <c r="V812" s="11"/>
      <c r="W812" s="10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2.75" customHeight="1">
      <c r="A813" s="10"/>
      <c r="B813" s="11"/>
      <c r="C813" s="10"/>
      <c r="D813" s="11"/>
      <c r="E813" s="10"/>
      <c r="F813" s="1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0"/>
      <c r="V813" s="11"/>
      <c r="W813" s="10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2.75" customHeight="1">
      <c r="A814" s="10"/>
      <c r="B814" s="11"/>
      <c r="C814" s="10"/>
      <c r="D814" s="11"/>
      <c r="E814" s="10"/>
      <c r="F814" s="1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0"/>
      <c r="V814" s="11"/>
      <c r="W814" s="10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2.75" customHeight="1">
      <c r="A815" s="10"/>
      <c r="B815" s="11"/>
      <c r="C815" s="10"/>
      <c r="D815" s="11"/>
      <c r="E815" s="10"/>
      <c r="F815" s="1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0"/>
      <c r="V815" s="11"/>
      <c r="W815" s="10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2.75" customHeight="1">
      <c r="A816" s="10"/>
      <c r="B816" s="11"/>
      <c r="C816" s="10"/>
      <c r="D816" s="11"/>
      <c r="E816" s="10"/>
      <c r="F816" s="1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0"/>
      <c r="V816" s="11"/>
      <c r="W816" s="10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2.75" customHeight="1">
      <c r="A817" s="10"/>
      <c r="B817" s="11"/>
      <c r="C817" s="10"/>
      <c r="D817" s="11"/>
      <c r="E817" s="10"/>
      <c r="F817" s="1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0"/>
      <c r="V817" s="11"/>
      <c r="W817" s="10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2.75" customHeight="1">
      <c r="A818" s="10"/>
      <c r="B818" s="11"/>
      <c r="C818" s="10"/>
      <c r="D818" s="11"/>
      <c r="E818" s="10"/>
      <c r="F818" s="1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0"/>
      <c r="V818" s="11"/>
      <c r="W818" s="10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2.75" customHeight="1">
      <c r="A819" s="10"/>
      <c r="B819" s="11"/>
      <c r="C819" s="10"/>
      <c r="D819" s="11"/>
      <c r="E819" s="10"/>
      <c r="F819" s="1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0"/>
      <c r="V819" s="11"/>
      <c r="W819" s="10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2.75" customHeight="1">
      <c r="A820" s="10"/>
      <c r="B820" s="11"/>
      <c r="C820" s="10"/>
      <c r="D820" s="11"/>
      <c r="E820" s="10"/>
      <c r="F820" s="1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0"/>
      <c r="V820" s="11"/>
      <c r="W820" s="10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2.75" customHeight="1">
      <c r="A821" s="10"/>
      <c r="B821" s="11"/>
      <c r="C821" s="10"/>
      <c r="D821" s="11"/>
      <c r="E821" s="10"/>
      <c r="F821" s="1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0"/>
      <c r="V821" s="11"/>
      <c r="W821" s="10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2.75" customHeight="1">
      <c r="A822" s="10"/>
      <c r="B822" s="11"/>
      <c r="C822" s="10"/>
      <c r="D822" s="11"/>
      <c r="E822" s="10"/>
      <c r="F822" s="1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0"/>
      <c r="V822" s="11"/>
      <c r="W822" s="10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2.75" customHeight="1">
      <c r="A823" s="10"/>
      <c r="B823" s="11"/>
      <c r="C823" s="10"/>
      <c r="D823" s="11"/>
      <c r="E823" s="10"/>
      <c r="F823" s="1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0"/>
      <c r="V823" s="11"/>
      <c r="W823" s="10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2.75" customHeight="1">
      <c r="A824" s="10"/>
      <c r="B824" s="11"/>
      <c r="C824" s="10"/>
      <c r="D824" s="11"/>
      <c r="E824" s="10"/>
      <c r="F824" s="1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0"/>
      <c r="V824" s="11"/>
      <c r="W824" s="10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2.75" customHeight="1">
      <c r="A825" s="10"/>
      <c r="B825" s="11"/>
      <c r="C825" s="10"/>
      <c r="D825" s="11"/>
      <c r="E825" s="10"/>
      <c r="F825" s="1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0"/>
      <c r="V825" s="11"/>
      <c r="W825" s="10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2.75" customHeight="1">
      <c r="A826" s="10"/>
      <c r="B826" s="11"/>
      <c r="C826" s="10"/>
      <c r="D826" s="11"/>
      <c r="E826" s="10"/>
      <c r="F826" s="1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0"/>
      <c r="V826" s="11"/>
      <c r="W826" s="10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2.75" customHeight="1">
      <c r="A827" s="10"/>
      <c r="B827" s="11"/>
      <c r="C827" s="10"/>
      <c r="D827" s="11"/>
      <c r="E827" s="10"/>
      <c r="F827" s="1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0"/>
      <c r="V827" s="11"/>
      <c r="W827" s="10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2.75" customHeight="1">
      <c r="A828" s="10"/>
      <c r="B828" s="11"/>
      <c r="C828" s="10"/>
      <c r="D828" s="11"/>
      <c r="E828" s="10"/>
      <c r="F828" s="1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0"/>
      <c r="V828" s="11"/>
      <c r="W828" s="10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2.75" customHeight="1">
      <c r="A829" s="10"/>
      <c r="B829" s="11"/>
      <c r="C829" s="10"/>
      <c r="D829" s="11"/>
      <c r="E829" s="10"/>
      <c r="F829" s="1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0"/>
      <c r="V829" s="11"/>
      <c r="W829" s="10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2.75" customHeight="1">
      <c r="A830" s="10"/>
      <c r="B830" s="11"/>
      <c r="C830" s="10"/>
      <c r="D830" s="11"/>
      <c r="E830" s="10"/>
      <c r="F830" s="1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0"/>
      <c r="V830" s="11"/>
      <c r="W830" s="10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2.75" customHeight="1">
      <c r="A831" s="10"/>
      <c r="B831" s="11"/>
      <c r="C831" s="10"/>
      <c r="D831" s="11"/>
      <c r="E831" s="10"/>
      <c r="F831" s="1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0"/>
      <c r="V831" s="11"/>
      <c r="W831" s="10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2.75" customHeight="1">
      <c r="A832" s="10"/>
      <c r="B832" s="11"/>
      <c r="C832" s="10"/>
      <c r="D832" s="11"/>
      <c r="E832" s="10"/>
      <c r="F832" s="1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0"/>
      <c r="V832" s="11"/>
      <c r="W832" s="10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2.75" customHeight="1">
      <c r="A833" s="10"/>
      <c r="B833" s="11"/>
      <c r="C833" s="10"/>
      <c r="D833" s="11"/>
      <c r="E833" s="10"/>
      <c r="F833" s="1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0"/>
      <c r="V833" s="11"/>
      <c r="W833" s="10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2.75" customHeight="1">
      <c r="A834" s="10"/>
      <c r="B834" s="11"/>
      <c r="C834" s="10"/>
      <c r="D834" s="11"/>
      <c r="E834" s="10"/>
      <c r="F834" s="1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0"/>
      <c r="V834" s="11"/>
      <c r="W834" s="10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2.75" customHeight="1">
      <c r="A835" s="10"/>
      <c r="B835" s="11"/>
      <c r="C835" s="10"/>
      <c r="D835" s="11"/>
      <c r="E835" s="10"/>
      <c r="F835" s="1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0"/>
      <c r="V835" s="11"/>
      <c r="W835" s="10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2.75" customHeight="1">
      <c r="A836" s="10"/>
      <c r="B836" s="11"/>
      <c r="C836" s="10"/>
      <c r="D836" s="11"/>
      <c r="E836" s="10"/>
      <c r="F836" s="1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0"/>
      <c r="V836" s="11"/>
      <c r="W836" s="10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2.75" customHeight="1">
      <c r="A837" s="10"/>
      <c r="B837" s="11"/>
      <c r="C837" s="10"/>
      <c r="D837" s="11"/>
      <c r="E837" s="10"/>
      <c r="F837" s="1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0"/>
      <c r="V837" s="11"/>
      <c r="W837" s="10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2.75" customHeight="1">
      <c r="A838" s="10"/>
      <c r="B838" s="11"/>
      <c r="C838" s="10"/>
      <c r="D838" s="11"/>
      <c r="E838" s="10"/>
      <c r="F838" s="1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0"/>
      <c r="V838" s="11"/>
      <c r="W838" s="10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2.75" customHeight="1">
      <c r="A839" s="10"/>
      <c r="B839" s="11"/>
      <c r="C839" s="10"/>
      <c r="D839" s="11"/>
      <c r="E839" s="10"/>
      <c r="F839" s="1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0"/>
      <c r="V839" s="11"/>
      <c r="W839" s="10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2.75" customHeight="1">
      <c r="A840" s="10"/>
      <c r="B840" s="11"/>
      <c r="C840" s="10"/>
      <c r="D840" s="11"/>
      <c r="E840" s="10"/>
      <c r="F840" s="1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0"/>
      <c r="V840" s="11"/>
      <c r="W840" s="10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2.75" customHeight="1">
      <c r="A841" s="10"/>
      <c r="B841" s="11"/>
      <c r="C841" s="10"/>
      <c r="D841" s="11"/>
      <c r="E841" s="10"/>
      <c r="F841" s="1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0"/>
      <c r="V841" s="11"/>
      <c r="W841" s="10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2.75" customHeight="1">
      <c r="A842" s="10"/>
      <c r="B842" s="11"/>
      <c r="C842" s="10"/>
      <c r="D842" s="11"/>
      <c r="E842" s="10"/>
      <c r="F842" s="1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0"/>
      <c r="V842" s="11"/>
      <c r="W842" s="10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2.75" customHeight="1">
      <c r="A843" s="10"/>
      <c r="B843" s="11"/>
      <c r="C843" s="10"/>
      <c r="D843" s="11"/>
      <c r="E843" s="10"/>
      <c r="F843" s="1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0"/>
      <c r="V843" s="11"/>
      <c r="W843" s="10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2.75" customHeight="1">
      <c r="A844" s="10"/>
      <c r="B844" s="11"/>
      <c r="C844" s="10"/>
      <c r="D844" s="11"/>
      <c r="E844" s="10"/>
      <c r="F844" s="1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0"/>
      <c r="V844" s="11"/>
      <c r="W844" s="10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2.75" customHeight="1">
      <c r="A845" s="10"/>
      <c r="B845" s="11"/>
      <c r="C845" s="10"/>
      <c r="D845" s="11"/>
      <c r="E845" s="10"/>
      <c r="F845" s="1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0"/>
      <c r="V845" s="11"/>
      <c r="W845" s="10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2.75" customHeight="1">
      <c r="A846" s="10"/>
      <c r="B846" s="11"/>
      <c r="C846" s="10"/>
      <c r="D846" s="11"/>
      <c r="E846" s="10"/>
      <c r="F846" s="1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0"/>
      <c r="V846" s="11"/>
      <c r="W846" s="10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2.75" customHeight="1">
      <c r="A847" s="10"/>
      <c r="B847" s="11"/>
      <c r="C847" s="10"/>
      <c r="D847" s="11"/>
      <c r="E847" s="10"/>
      <c r="F847" s="1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0"/>
      <c r="V847" s="11"/>
      <c r="W847" s="10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2.75" customHeight="1">
      <c r="A848" s="10"/>
      <c r="B848" s="11"/>
      <c r="C848" s="10"/>
      <c r="D848" s="11"/>
      <c r="E848" s="10"/>
      <c r="F848" s="1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0"/>
      <c r="V848" s="11"/>
      <c r="W848" s="10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2.75" customHeight="1">
      <c r="A849" s="10"/>
      <c r="B849" s="11"/>
      <c r="C849" s="10"/>
      <c r="D849" s="11"/>
      <c r="E849" s="10"/>
      <c r="F849" s="1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0"/>
      <c r="V849" s="11"/>
      <c r="W849" s="10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2.75" customHeight="1">
      <c r="A850" s="10"/>
      <c r="B850" s="11"/>
      <c r="C850" s="10"/>
      <c r="D850" s="11"/>
      <c r="E850" s="10"/>
      <c r="F850" s="1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0"/>
      <c r="V850" s="11"/>
      <c r="W850" s="10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2.75" customHeight="1">
      <c r="A851" s="10"/>
      <c r="B851" s="11"/>
      <c r="C851" s="10"/>
      <c r="D851" s="11"/>
      <c r="E851" s="10"/>
      <c r="F851" s="1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0"/>
      <c r="V851" s="11"/>
      <c r="W851" s="10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2.75" customHeight="1">
      <c r="A852" s="10"/>
      <c r="B852" s="11"/>
      <c r="C852" s="10"/>
      <c r="D852" s="11"/>
      <c r="E852" s="10"/>
      <c r="F852" s="1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0"/>
      <c r="V852" s="11"/>
      <c r="W852" s="10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2.75" customHeight="1">
      <c r="A853" s="10"/>
      <c r="B853" s="11"/>
      <c r="C853" s="10"/>
      <c r="D853" s="11"/>
      <c r="E853" s="10"/>
      <c r="F853" s="1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0"/>
      <c r="V853" s="11"/>
      <c r="W853" s="10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2.75" customHeight="1">
      <c r="A854" s="10"/>
      <c r="B854" s="11"/>
      <c r="C854" s="10"/>
      <c r="D854" s="11"/>
      <c r="E854" s="10"/>
      <c r="F854" s="1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0"/>
      <c r="V854" s="11"/>
      <c r="W854" s="10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2.75" customHeight="1">
      <c r="A855" s="10"/>
      <c r="B855" s="11"/>
      <c r="C855" s="10"/>
      <c r="D855" s="11"/>
      <c r="E855" s="10"/>
      <c r="F855" s="1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0"/>
      <c r="V855" s="11"/>
      <c r="W855" s="10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2.75" customHeight="1">
      <c r="A856" s="10"/>
      <c r="B856" s="11"/>
      <c r="C856" s="10"/>
      <c r="D856" s="11"/>
      <c r="E856" s="10"/>
      <c r="F856" s="1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0"/>
      <c r="V856" s="11"/>
      <c r="W856" s="10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2.75" customHeight="1">
      <c r="A857" s="10"/>
      <c r="B857" s="11"/>
      <c r="C857" s="10"/>
      <c r="D857" s="11"/>
      <c r="E857" s="10"/>
      <c r="F857" s="1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0"/>
      <c r="V857" s="11"/>
      <c r="W857" s="10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2.75" customHeight="1">
      <c r="A858" s="10"/>
      <c r="B858" s="11"/>
      <c r="C858" s="10"/>
      <c r="D858" s="11"/>
      <c r="E858" s="10"/>
      <c r="F858" s="1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0"/>
      <c r="V858" s="11"/>
      <c r="W858" s="10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2.75" customHeight="1">
      <c r="A859" s="10"/>
      <c r="B859" s="11"/>
      <c r="C859" s="10"/>
      <c r="D859" s="11"/>
      <c r="E859" s="10"/>
      <c r="F859" s="1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0"/>
      <c r="V859" s="11"/>
      <c r="W859" s="10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2.75" customHeight="1">
      <c r="A860" s="10"/>
      <c r="B860" s="11"/>
      <c r="C860" s="10"/>
      <c r="D860" s="11"/>
      <c r="E860" s="10"/>
      <c r="F860" s="1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0"/>
      <c r="V860" s="11"/>
      <c r="W860" s="10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2.75" customHeight="1">
      <c r="A861" s="10"/>
      <c r="B861" s="11"/>
      <c r="C861" s="10"/>
      <c r="D861" s="11"/>
      <c r="E861" s="10"/>
      <c r="F861" s="1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0"/>
      <c r="V861" s="11"/>
      <c r="W861" s="10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2.75" customHeight="1">
      <c r="A862" s="10"/>
      <c r="B862" s="11"/>
      <c r="C862" s="10"/>
      <c r="D862" s="11"/>
      <c r="E862" s="10"/>
      <c r="F862" s="1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0"/>
      <c r="V862" s="11"/>
      <c r="W862" s="10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2.75" customHeight="1">
      <c r="A863" s="10"/>
      <c r="B863" s="11"/>
      <c r="C863" s="10"/>
      <c r="D863" s="11"/>
      <c r="E863" s="10"/>
      <c r="F863" s="1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0"/>
      <c r="V863" s="11"/>
      <c r="W863" s="10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2.75" customHeight="1">
      <c r="A864" s="10"/>
      <c r="B864" s="11"/>
      <c r="C864" s="10"/>
      <c r="D864" s="11"/>
      <c r="E864" s="10"/>
      <c r="F864" s="1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0"/>
      <c r="V864" s="11"/>
      <c r="W864" s="10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2.75" customHeight="1">
      <c r="A865" s="10"/>
      <c r="B865" s="11"/>
      <c r="C865" s="10"/>
      <c r="D865" s="11"/>
      <c r="E865" s="10"/>
      <c r="F865" s="1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0"/>
      <c r="V865" s="11"/>
      <c r="W865" s="10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2.75" customHeight="1">
      <c r="A866" s="10"/>
      <c r="B866" s="11"/>
      <c r="C866" s="10"/>
      <c r="D866" s="11"/>
      <c r="E866" s="10"/>
      <c r="F866" s="1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0"/>
      <c r="V866" s="11"/>
      <c r="W866" s="10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2.75" customHeight="1">
      <c r="A867" s="10"/>
      <c r="B867" s="11"/>
      <c r="C867" s="10"/>
      <c r="D867" s="11"/>
      <c r="E867" s="10"/>
      <c r="F867" s="1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0"/>
      <c r="V867" s="11"/>
      <c r="W867" s="10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2.75" customHeight="1">
      <c r="A868" s="10"/>
      <c r="B868" s="11"/>
      <c r="C868" s="10"/>
      <c r="D868" s="11"/>
      <c r="E868" s="10"/>
      <c r="F868" s="1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0"/>
      <c r="V868" s="11"/>
      <c r="W868" s="10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2.75" customHeight="1">
      <c r="A869" s="10"/>
      <c r="B869" s="11"/>
      <c r="C869" s="10"/>
      <c r="D869" s="11"/>
      <c r="E869" s="10"/>
      <c r="F869" s="1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0"/>
      <c r="V869" s="11"/>
      <c r="W869" s="10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2.75" customHeight="1">
      <c r="A870" s="10"/>
      <c r="B870" s="11"/>
      <c r="C870" s="10"/>
      <c r="D870" s="11"/>
      <c r="E870" s="10"/>
      <c r="F870" s="1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0"/>
      <c r="V870" s="11"/>
      <c r="W870" s="10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2.75" customHeight="1">
      <c r="A871" s="10"/>
      <c r="B871" s="11"/>
      <c r="C871" s="10"/>
      <c r="D871" s="11"/>
      <c r="E871" s="10"/>
      <c r="F871" s="1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0"/>
      <c r="V871" s="11"/>
      <c r="W871" s="10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2.75" customHeight="1">
      <c r="A872" s="10"/>
      <c r="B872" s="11"/>
      <c r="C872" s="10"/>
      <c r="D872" s="11"/>
      <c r="E872" s="10"/>
      <c r="F872" s="1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0"/>
      <c r="V872" s="11"/>
      <c r="W872" s="10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2.75" customHeight="1">
      <c r="A873" s="10"/>
      <c r="B873" s="11"/>
      <c r="C873" s="10"/>
      <c r="D873" s="11"/>
      <c r="E873" s="10"/>
      <c r="F873" s="1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0"/>
      <c r="V873" s="11"/>
      <c r="W873" s="10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2.75" customHeight="1">
      <c r="A874" s="10"/>
      <c r="B874" s="11"/>
      <c r="C874" s="10"/>
      <c r="D874" s="11"/>
      <c r="E874" s="10"/>
      <c r="F874" s="1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0"/>
      <c r="V874" s="11"/>
      <c r="W874" s="10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2.75" customHeight="1">
      <c r="A875" s="10"/>
      <c r="B875" s="11"/>
      <c r="C875" s="10"/>
      <c r="D875" s="11"/>
      <c r="E875" s="10"/>
      <c r="F875" s="1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0"/>
      <c r="V875" s="11"/>
      <c r="W875" s="10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2.75" customHeight="1">
      <c r="A876" s="10"/>
      <c r="B876" s="11"/>
      <c r="C876" s="10"/>
      <c r="D876" s="11"/>
      <c r="E876" s="10"/>
      <c r="F876" s="1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0"/>
      <c r="V876" s="11"/>
      <c r="W876" s="10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2.75" customHeight="1">
      <c r="A877" s="10"/>
      <c r="B877" s="11"/>
      <c r="C877" s="10"/>
      <c r="D877" s="11"/>
      <c r="E877" s="10"/>
      <c r="F877" s="1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0"/>
      <c r="V877" s="11"/>
      <c r="W877" s="10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2.75" customHeight="1">
      <c r="A878" s="10"/>
      <c r="B878" s="11"/>
      <c r="C878" s="10"/>
      <c r="D878" s="11"/>
      <c r="E878" s="10"/>
      <c r="F878" s="1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0"/>
      <c r="V878" s="11"/>
      <c r="W878" s="10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2.75" customHeight="1">
      <c r="A879" s="10"/>
      <c r="B879" s="11"/>
      <c r="C879" s="10"/>
      <c r="D879" s="11"/>
      <c r="E879" s="10"/>
      <c r="F879" s="1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0"/>
      <c r="V879" s="11"/>
      <c r="W879" s="10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2.75" customHeight="1">
      <c r="A880" s="10"/>
      <c r="B880" s="11"/>
      <c r="C880" s="10"/>
      <c r="D880" s="11"/>
      <c r="E880" s="10"/>
      <c r="F880" s="1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0"/>
      <c r="V880" s="11"/>
      <c r="W880" s="10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2.75" customHeight="1">
      <c r="A881" s="10"/>
      <c r="B881" s="11"/>
      <c r="C881" s="10"/>
      <c r="D881" s="11"/>
      <c r="E881" s="10"/>
      <c r="F881" s="1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0"/>
      <c r="V881" s="11"/>
      <c r="W881" s="10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2.75" customHeight="1">
      <c r="A882" s="10"/>
      <c r="B882" s="11"/>
      <c r="C882" s="10"/>
      <c r="D882" s="11"/>
      <c r="E882" s="10"/>
      <c r="F882" s="1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0"/>
      <c r="V882" s="11"/>
      <c r="W882" s="10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2.75" customHeight="1">
      <c r="A883" s="10"/>
      <c r="B883" s="11"/>
      <c r="C883" s="10"/>
      <c r="D883" s="11"/>
      <c r="E883" s="10"/>
      <c r="F883" s="1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0"/>
      <c r="V883" s="11"/>
      <c r="W883" s="10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2.75" customHeight="1">
      <c r="A884" s="10"/>
      <c r="B884" s="11"/>
      <c r="C884" s="10"/>
      <c r="D884" s="11"/>
      <c r="E884" s="10"/>
      <c r="F884" s="1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0"/>
      <c r="V884" s="11"/>
      <c r="W884" s="10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2.75" customHeight="1">
      <c r="A885" s="10"/>
      <c r="B885" s="11"/>
      <c r="C885" s="10"/>
      <c r="D885" s="11"/>
      <c r="E885" s="10"/>
      <c r="F885" s="1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0"/>
      <c r="V885" s="11"/>
      <c r="W885" s="10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2.75" customHeight="1">
      <c r="A886" s="10"/>
      <c r="B886" s="11"/>
      <c r="C886" s="10"/>
      <c r="D886" s="11"/>
      <c r="E886" s="10"/>
      <c r="F886" s="1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0"/>
      <c r="V886" s="11"/>
      <c r="W886" s="10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2.75" customHeight="1">
      <c r="A887" s="10"/>
      <c r="B887" s="11"/>
      <c r="C887" s="10"/>
      <c r="D887" s="11"/>
      <c r="E887" s="10"/>
      <c r="F887" s="1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0"/>
      <c r="V887" s="11"/>
      <c r="W887" s="10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2.75" customHeight="1">
      <c r="A888" s="10"/>
      <c r="B888" s="11"/>
      <c r="C888" s="10"/>
      <c r="D888" s="11"/>
      <c r="E888" s="10"/>
      <c r="F888" s="1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0"/>
      <c r="V888" s="11"/>
      <c r="W888" s="10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2.75" customHeight="1">
      <c r="A889" s="10"/>
      <c r="B889" s="11"/>
      <c r="C889" s="10"/>
      <c r="D889" s="11"/>
      <c r="E889" s="10"/>
      <c r="F889" s="1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0"/>
      <c r="V889" s="11"/>
      <c r="W889" s="10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2.75" customHeight="1">
      <c r="A890" s="10"/>
      <c r="B890" s="11"/>
      <c r="C890" s="10"/>
      <c r="D890" s="11"/>
      <c r="E890" s="10"/>
      <c r="F890" s="1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0"/>
      <c r="V890" s="11"/>
      <c r="W890" s="10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2.75" customHeight="1">
      <c r="A891" s="10"/>
      <c r="B891" s="11"/>
      <c r="C891" s="10"/>
      <c r="D891" s="11"/>
      <c r="E891" s="10"/>
      <c r="F891" s="1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0"/>
      <c r="V891" s="11"/>
      <c r="W891" s="10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2.75" customHeight="1">
      <c r="A892" s="10"/>
      <c r="B892" s="11"/>
      <c r="C892" s="10"/>
      <c r="D892" s="11"/>
      <c r="E892" s="10"/>
      <c r="F892" s="1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0"/>
      <c r="V892" s="11"/>
      <c r="W892" s="10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2.75" customHeight="1">
      <c r="A893" s="10"/>
      <c r="B893" s="11"/>
      <c r="C893" s="10"/>
      <c r="D893" s="11"/>
      <c r="E893" s="10"/>
      <c r="F893" s="1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0"/>
      <c r="V893" s="11"/>
      <c r="W893" s="10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2.75" customHeight="1">
      <c r="A894" s="10"/>
      <c r="B894" s="11"/>
      <c r="C894" s="10"/>
      <c r="D894" s="11"/>
      <c r="E894" s="10"/>
      <c r="F894" s="1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0"/>
      <c r="V894" s="11"/>
      <c r="W894" s="10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2.75" customHeight="1">
      <c r="A895" s="10"/>
      <c r="B895" s="11"/>
      <c r="C895" s="10"/>
      <c r="D895" s="11"/>
      <c r="E895" s="10"/>
      <c r="F895" s="1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0"/>
      <c r="V895" s="11"/>
      <c r="W895" s="10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2.75" customHeight="1">
      <c r="A896" s="10"/>
      <c r="B896" s="11"/>
      <c r="C896" s="10"/>
      <c r="D896" s="11"/>
      <c r="E896" s="10"/>
      <c r="F896" s="1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0"/>
      <c r="V896" s="11"/>
      <c r="W896" s="10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2.75" customHeight="1">
      <c r="A897" s="10"/>
      <c r="B897" s="11"/>
      <c r="C897" s="10"/>
      <c r="D897" s="11"/>
      <c r="E897" s="10"/>
      <c r="F897" s="1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0"/>
      <c r="V897" s="11"/>
      <c r="W897" s="10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2.75" customHeight="1">
      <c r="A898" s="10"/>
      <c r="B898" s="11"/>
      <c r="C898" s="10"/>
      <c r="D898" s="11"/>
      <c r="E898" s="10"/>
      <c r="F898" s="1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0"/>
      <c r="V898" s="11"/>
      <c r="W898" s="10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2.75" customHeight="1">
      <c r="A899" s="10"/>
      <c r="B899" s="11"/>
      <c r="C899" s="10"/>
      <c r="D899" s="11"/>
      <c r="E899" s="10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0"/>
      <c r="V899" s="11"/>
      <c r="W899" s="10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2.75" customHeight="1">
      <c r="A900" s="10"/>
      <c r="B900" s="11"/>
      <c r="C900" s="10"/>
      <c r="D900" s="11"/>
      <c r="E900" s="10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0"/>
      <c r="V900" s="11"/>
      <c r="W900" s="10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2.75" customHeight="1">
      <c r="A901" s="10"/>
      <c r="B901" s="11"/>
      <c r="C901" s="10"/>
      <c r="D901" s="11"/>
      <c r="E901" s="10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0"/>
      <c r="V901" s="11"/>
      <c r="W901" s="10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2.75" customHeight="1">
      <c r="A902" s="10"/>
      <c r="B902" s="11"/>
      <c r="C902" s="10"/>
      <c r="D902" s="11"/>
      <c r="E902" s="10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0"/>
      <c r="V902" s="11"/>
      <c r="W902" s="10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2.75" customHeight="1">
      <c r="A903" s="10"/>
      <c r="B903" s="11"/>
      <c r="C903" s="10"/>
      <c r="D903" s="11"/>
      <c r="E903" s="10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0"/>
      <c r="V903" s="11"/>
      <c r="W903" s="10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2.75" customHeight="1">
      <c r="A904" s="10"/>
      <c r="B904" s="11"/>
      <c r="C904" s="10"/>
      <c r="D904" s="11"/>
      <c r="E904" s="10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0"/>
      <c r="V904" s="11"/>
      <c r="W904" s="10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2.75" customHeight="1">
      <c r="A905" s="10"/>
      <c r="B905" s="11"/>
      <c r="C905" s="10"/>
      <c r="D905" s="11"/>
      <c r="E905" s="10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0"/>
      <c r="V905" s="11"/>
      <c r="W905" s="10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2.75" customHeight="1">
      <c r="A906" s="10"/>
      <c r="B906" s="11"/>
      <c r="C906" s="10"/>
      <c r="D906" s="11"/>
      <c r="E906" s="10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0"/>
      <c r="V906" s="11"/>
      <c r="W906" s="10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2.75" customHeight="1">
      <c r="A907" s="10"/>
      <c r="B907" s="11"/>
      <c r="C907" s="10"/>
      <c r="D907" s="11"/>
      <c r="E907" s="10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0"/>
      <c r="V907" s="11"/>
      <c r="W907" s="10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2.75" customHeight="1">
      <c r="A908" s="10"/>
      <c r="B908" s="11"/>
      <c r="C908" s="10"/>
      <c r="D908" s="11"/>
      <c r="E908" s="10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0"/>
      <c r="V908" s="11"/>
      <c r="W908" s="10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2.75" customHeight="1">
      <c r="A909" s="10"/>
      <c r="B909" s="11"/>
      <c r="C909" s="10"/>
      <c r="D909" s="11"/>
      <c r="E909" s="10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0"/>
      <c r="V909" s="11"/>
      <c r="W909" s="10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2.75" customHeight="1">
      <c r="A910" s="10"/>
      <c r="B910" s="11"/>
      <c r="C910" s="10"/>
      <c r="D910" s="11"/>
      <c r="E910" s="10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0"/>
      <c r="V910" s="11"/>
      <c r="W910" s="10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2.75" customHeight="1">
      <c r="A911" s="10"/>
      <c r="B911" s="11"/>
      <c r="C911" s="10"/>
      <c r="D911" s="11"/>
      <c r="E911" s="10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0"/>
      <c r="V911" s="11"/>
      <c r="W911" s="10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2.75" customHeight="1">
      <c r="A912" s="10"/>
      <c r="B912" s="11"/>
      <c r="C912" s="10"/>
      <c r="D912" s="11"/>
      <c r="E912" s="10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0"/>
      <c r="V912" s="11"/>
      <c r="W912" s="10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2.75" customHeight="1">
      <c r="A913" s="10"/>
      <c r="B913" s="11"/>
      <c r="C913" s="10"/>
      <c r="D913" s="11"/>
      <c r="E913" s="10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0"/>
      <c r="V913" s="11"/>
      <c r="W913" s="10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2.75" customHeight="1">
      <c r="A914" s="10"/>
      <c r="B914" s="11"/>
      <c r="C914" s="10"/>
      <c r="D914" s="11"/>
      <c r="E914" s="10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0"/>
      <c r="V914" s="11"/>
      <c r="W914" s="10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2.75" customHeight="1">
      <c r="A915" s="10"/>
      <c r="B915" s="11"/>
      <c r="C915" s="10"/>
      <c r="D915" s="11"/>
      <c r="E915" s="10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0"/>
      <c r="V915" s="11"/>
      <c r="W915" s="10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2.75" customHeight="1">
      <c r="A916" s="10"/>
      <c r="B916" s="11"/>
      <c r="C916" s="10"/>
      <c r="D916" s="11"/>
      <c r="E916" s="10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0"/>
      <c r="V916" s="11"/>
      <c r="W916" s="10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2.75" customHeight="1">
      <c r="A917" s="10"/>
      <c r="B917" s="11"/>
      <c r="C917" s="10"/>
      <c r="D917" s="11"/>
      <c r="E917" s="10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0"/>
      <c r="V917" s="11"/>
      <c r="W917" s="10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2.75" customHeight="1">
      <c r="A918" s="10"/>
      <c r="B918" s="11"/>
      <c r="C918" s="10"/>
      <c r="D918" s="11"/>
      <c r="E918" s="10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0"/>
      <c r="V918" s="11"/>
      <c r="W918" s="10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2.75" customHeight="1">
      <c r="A919" s="10"/>
      <c r="B919" s="11"/>
      <c r="C919" s="10"/>
      <c r="D919" s="11"/>
      <c r="E919" s="10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0"/>
      <c r="V919" s="11"/>
      <c r="W919" s="10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2.75" customHeight="1">
      <c r="A920" s="10"/>
      <c r="B920" s="11"/>
      <c r="C920" s="10"/>
      <c r="D920" s="11"/>
      <c r="E920" s="10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0"/>
      <c r="V920" s="11"/>
      <c r="W920" s="10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2.75" customHeight="1">
      <c r="A921" s="10"/>
      <c r="B921" s="11"/>
      <c r="C921" s="10"/>
      <c r="D921" s="11"/>
      <c r="E921" s="10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0"/>
      <c r="V921" s="11"/>
      <c r="W921" s="10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2.75" customHeight="1">
      <c r="A922" s="10"/>
      <c r="B922" s="11"/>
      <c r="C922" s="10"/>
      <c r="D922" s="11"/>
      <c r="E922" s="10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0"/>
      <c r="V922" s="11"/>
      <c r="W922" s="10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2.75" customHeight="1">
      <c r="A923" s="10"/>
      <c r="B923" s="11"/>
      <c r="C923" s="10"/>
      <c r="D923" s="11"/>
      <c r="E923" s="10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0"/>
      <c r="V923" s="11"/>
      <c r="W923" s="10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2.75" customHeight="1">
      <c r="A924" s="10"/>
      <c r="B924" s="11"/>
      <c r="C924" s="10"/>
      <c r="D924" s="11"/>
      <c r="E924" s="10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0"/>
      <c r="V924" s="11"/>
      <c r="W924" s="10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2.75" customHeight="1">
      <c r="A925" s="10"/>
      <c r="B925" s="11"/>
      <c r="C925" s="10"/>
      <c r="D925" s="11"/>
      <c r="E925" s="10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0"/>
      <c r="V925" s="11"/>
      <c r="W925" s="10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2.75" customHeight="1">
      <c r="A926" s="10"/>
      <c r="B926" s="11"/>
      <c r="C926" s="10"/>
      <c r="D926" s="11"/>
      <c r="E926" s="10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0"/>
      <c r="V926" s="11"/>
      <c r="W926" s="10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2.75" customHeight="1">
      <c r="A927" s="10"/>
      <c r="B927" s="11"/>
      <c r="C927" s="10"/>
      <c r="D927" s="11"/>
      <c r="E927" s="10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0"/>
      <c r="V927" s="11"/>
      <c r="W927" s="10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2.75" customHeight="1">
      <c r="A928" s="10"/>
      <c r="B928" s="11"/>
      <c r="C928" s="10"/>
      <c r="D928" s="11"/>
      <c r="E928" s="10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0"/>
      <c r="V928" s="11"/>
      <c r="W928" s="10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2.75" customHeight="1">
      <c r="A929" s="10"/>
      <c r="B929" s="11"/>
      <c r="C929" s="10"/>
      <c r="D929" s="11"/>
      <c r="E929" s="10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0"/>
      <c r="V929" s="11"/>
      <c r="W929" s="10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2.75" customHeight="1">
      <c r="A930" s="10"/>
      <c r="B930" s="11"/>
      <c r="C930" s="10"/>
      <c r="D930" s="11"/>
      <c r="E930" s="10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0"/>
      <c r="V930" s="11"/>
      <c r="W930" s="10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2.75" customHeight="1">
      <c r="A931" s="10"/>
      <c r="B931" s="11"/>
      <c r="C931" s="10"/>
      <c r="D931" s="11"/>
      <c r="E931" s="10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0"/>
      <c r="V931" s="11"/>
      <c r="W931" s="10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2.75" customHeight="1">
      <c r="A932" s="10"/>
      <c r="B932" s="11"/>
      <c r="C932" s="10"/>
      <c r="D932" s="11"/>
      <c r="E932" s="10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0"/>
      <c r="V932" s="11"/>
      <c r="W932" s="10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2.75" customHeight="1">
      <c r="A933" s="10"/>
      <c r="B933" s="11"/>
      <c r="C933" s="10"/>
      <c r="D933" s="11"/>
      <c r="E933" s="10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0"/>
      <c r="V933" s="11"/>
      <c r="W933" s="10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2.75" customHeight="1">
      <c r="A934" s="10"/>
      <c r="B934" s="11"/>
      <c r="C934" s="10"/>
      <c r="D934" s="11"/>
      <c r="E934" s="10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0"/>
      <c r="V934" s="11"/>
      <c r="W934" s="10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2.75" customHeight="1">
      <c r="A935" s="10"/>
      <c r="B935" s="11"/>
      <c r="C935" s="10"/>
      <c r="D935" s="11"/>
      <c r="E935" s="10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0"/>
      <c r="V935" s="11"/>
      <c r="W935" s="10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2.75" customHeight="1">
      <c r="A936" s="10"/>
      <c r="B936" s="11"/>
      <c r="C936" s="10"/>
      <c r="D936" s="11"/>
      <c r="E936" s="10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0"/>
      <c r="V936" s="11"/>
      <c r="W936" s="10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2.75" customHeight="1">
      <c r="A937" s="10"/>
      <c r="B937" s="11"/>
      <c r="C937" s="10"/>
      <c r="D937" s="11"/>
      <c r="E937" s="10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0"/>
      <c r="V937" s="11"/>
      <c r="W937" s="10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2.75" customHeight="1">
      <c r="A938" s="10"/>
      <c r="B938" s="11"/>
      <c r="C938" s="10"/>
      <c r="D938" s="11"/>
      <c r="E938" s="10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0"/>
      <c r="V938" s="11"/>
      <c r="W938" s="10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2.75" customHeight="1">
      <c r="A939" s="10"/>
      <c r="B939" s="11"/>
      <c r="C939" s="10"/>
      <c r="D939" s="11"/>
      <c r="E939" s="10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0"/>
      <c r="V939" s="11"/>
      <c r="W939" s="10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2.75" customHeight="1">
      <c r="A940" s="10"/>
      <c r="B940" s="11"/>
      <c r="C940" s="10"/>
      <c r="D940" s="11"/>
      <c r="E940" s="10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0"/>
      <c r="V940" s="11"/>
      <c r="W940" s="10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2.75" customHeight="1">
      <c r="A941" s="10"/>
      <c r="B941" s="11"/>
      <c r="C941" s="10"/>
      <c r="D941" s="11"/>
      <c r="E941" s="10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0"/>
      <c r="V941" s="11"/>
      <c r="W941" s="10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2.75" customHeight="1">
      <c r="A942" s="10"/>
      <c r="B942" s="11"/>
      <c r="C942" s="10"/>
      <c r="D942" s="11"/>
      <c r="E942" s="10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0"/>
      <c r="V942" s="11"/>
      <c r="W942" s="10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2.75" customHeight="1">
      <c r="A943" s="10"/>
      <c r="B943" s="11"/>
      <c r="C943" s="10"/>
      <c r="D943" s="11"/>
      <c r="E943" s="10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0"/>
      <c r="V943" s="11"/>
      <c r="W943" s="10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2.75" customHeight="1">
      <c r="A944" s="10"/>
      <c r="B944" s="11"/>
      <c r="C944" s="10"/>
      <c r="D944" s="11"/>
      <c r="E944" s="10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0"/>
      <c r="V944" s="11"/>
      <c r="W944" s="10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2.75" customHeight="1">
      <c r="A945" s="10"/>
      <c r="B945" s="11"/>
      <c r="C945" s="10"/>
      <c r="D945" s="11"/>
      <c r="E945" s="10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0"/>
      <c r="V945" s="11"/>
      <c r="W945" s="10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2.75" customHeight="1">
      <c r="A946" s="10"/>
      <c r="B946" s="11"/>
      <c r="C946" s="10"/>
      <c r="D946" s="11"/>
      <c r="E946" s="10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0"/>
      <c r="V946" s="11"/>
      <c r="W946" s="10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2.75" customHeight="1">
      <c r="A947" s="10"/>
      <c r="B947" s="11"/>
      <c r="C947" s="10"/>
      <c r="D947" s="11"/>
      <c r="E947" s="10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0"/>
      <c r="V947" s="11"/>
      <c r="W947" s="10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2.75" customHeight="1">
      <c r="A948" s="10"/>
      <c r="B948" s="11"/>
      <c r="C948" s="10"/>
      <c r="D948" s="11"/>
      <c r="E948" s="10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0"/>
      <c r="V948" s="11"/>
      <c r="W948" s="10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2.75" customHeight="1">
      <c r="A949" s="10"/>
      <c r="B949" s="11"/>
      <c r="C949" s="10"/>
      <c r="D949" s="11"/>
      <c r="E949" s="10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0"/>
      <c r="V949" s="11"/>
      <c r="W949" s="10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2.75" customHeight="1">
      <c r="A950" s="10"/>
      <c r="B950" s="11"/>
      <c r="C950" s="10"/>
      <c r="D950" s="11"/>
      <c r="E950" s="10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0"/>
      <c r="V950" s="11"/>
      <c r="W950" s="10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2.75" customHeight="1">
      <c r="A951" s="10"/>
      <c r="B951" s="11"/>
      <c r="C951" s="10"/>
      <c r="D951" s="11"/>
      <c r="E951" s="10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0"/>
      <c r="V951" s="11"/>
      <c r="W951" s="10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2.75" customHeight="1">
      <c r="A952" s="10"/>
      <c r="B952" s="11"/>
      <c r="C952" s="10"/>
      <c r="D952" s="11"/>
      <c r="E952" s="10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0"/>
      <c r="V952" s="11"/>
      <c r="W952" s="10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2.75" customHeight="1">
      <c r="A953" s="10"/>
      <c r="B953" s="11"/>
      <c r="C953" s="10"/>
      <c r="D953" s="11"/>
      <c r="E953" s="10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0"/>
      <c r="V953" s="11"/>
      <c r="W953" s="10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2.75" customHeight="1">
      <c r="A954" s="10"/>
      <c r="B954" s="11"/>
      <c r="C954" s="10"/>
      <c r="D954" s="11"/>
      <c r="E954" s="10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0"/>
      <c r="V954" s="11"/>
      <c r="W954" s="10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2.75" customHeight="1">
      <c r="A955" s="10"/>
      <c r="B955" s="11"/>
      <c r="C955" s="10"/>
      <c r="D955" s="11"/>
      <c r="E955" s="10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0"/>
      <c r="V955" s="11"/>
      <c r="W955" s="10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2.75" customHeight="1">
      <c r="A956" s="10"/>
      <c r="B956" s="11"/>
      <c r="C956" s="10"/>
      <c r="D956" s="11"/>
      <c r="E956" s="10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0"/>
      <c r="V956" s="11"/>
      <c r="W956" s="10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2.75" customHeight="1">
      <c r="A957" s="10"/>
      <c r="B957" s="11"/>
      <c r="C957" s="10"/>
      <c r="D957" s="11"/>
      <c r="E957" s="10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0"/>
      <c r="V957" s="11"/>
      <c r="W957" s="10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2.75" customHeight="1">
      <c r="A958" s="10"/>
      <c r="B958" s="11"/>
      <c r="C958" s="10"/>
      <c r="D958" s="11"/>
      <c r="E958" s="10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0"/>
      <c r="V958" s="11"/>
      <c r="W958" s="10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2.75" customHeight="1">
      <c r="A959" s="10"/>
      <c r="B959" s="11"/>
      <c r="C959" s="10"/>
      <c r="D959" s="11"/>
      <c r="E959" s="10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0"/>
      <c r="V959" s="11"/>
      <c r="W959" s="10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2.75" customHeight="1">
      <c r="A960" s="10"/>
      <c r="B960" s="11"/>
      <c r="C960" s="10"/>
      <c r="D960" s="11"/>
      <c r="E960" s="10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0"/>
      <c r="V960" s="11"/>
      <c r="W960" s="10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2.75" customHeight="1">
      <c r="A961" s="10"/>
      <c r="B961" s="11"/>
      <c r="C961" s="10"/>
      <c r="D961" s="11"/>
      <c r="E961" s="10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0"/>
      <c r="V961" s="11"/>
      <c r="W961" s="10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2.75" customHeight="1">
      <c r="A962" s="10"/>
      <c r="B962" s="11"/>
      <c r="C962" s="10"/>
      <c r="D962" s="11"/>
      <c r="E962" s="10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0"/>
      <c r="V962" s="11"/>
      <c r="W962" s="10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2.75" customHeight="1">
      <c r="A963" s="10"/>
      <c r="B963" s="11"/>
      <c r="C963" s="10"/>
      <c r="D963" s="11"/>
      <c r="E963" s="10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0"/>
      <c r="V963" s="11"/>
      <c r="W963" s="10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2.75" customHeight="1">
      <c r="A964" s="10"/>
      <c r="B964" s="11"/>
      <c r="C964" s="10"/>
      <c r="D964" s="11"/>
      <c r="E964" s="10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0"/>
      <c r="V964" s="11"/>
      <c r="W964" s="10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2.75" customHeight="1">
      <c r="A965" s="10"/>
      <c r="B965" s="11"/>
      <c r="C965" s="10"/>
      <c r="D965" s="11"/>
      <c r="E965" s="10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0"/>
      <c r="V965" s="11"/>
      <c r="W965" s="10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2.75" customHeight="1">
      <c r="A966" s="10"/>
      <c r="B966" s="11"/>
      <c r="C966" s="10"/>
      <c r="D966" s="11"/>
      <c r="E966" s="10"/>
      <c r="F966" s="1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0"/>
      <c r="V966" s="11"/>
      <c r="W966" s="10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2.75" customHeight="1">
      <c r="A967" s="10"/>
      <c r="B967" s="11"/>
      <c r="C967" s="10"/>
      <c r="D967" s="11"/>
      <c r="E967" s="10"/>
      <c r="F967" s="1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0"/>
      <c r="V967" s="11"/>
      <c r="W967" s="10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2.75" customHeight="1">
      <c r="A968" s="10"/>
      <c r="B968" s="11"/>
      <c r="C968" s="10"/>
      <c r="D968" s="11"/>
      <c r="E968" s="10"/>
      <c r="F968" s="1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0"/>
      <c r="V968" s="11"/>
      <c r="W968" s="10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2.75" customHeight="1">
      <c r="A969" s="10"/>
      <c r="B969" s="11"/>
      <c r="C969" s="10"/>
      <c r="D969" s="11"/>
      <c r="E969" s="10"/>
      <c r="F969" s="1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0"/>
      <c r="V969" s="11"/>
      <c r="W969" s="10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2.75" customHeight="1">
      <c r="A970" s="10"/>
      <c r="B970" s="11"/>
      <c r="C970" s="10"/>
      <c r="D970" s="11"/>
      <c r="E970" s="10"/>
      <c r="F970" s="1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0"/>
      <c r="V970" s="11"/>
      <c r="W970" s="10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2.75" customHeight="1">
      <c r="A971" s="10"/>
      <c r="B971" s="11"/>
      <c r="C971" s="10"/>
      <c r="D971" s="11"/>
      <c r="E971" s="10"/>
      <c r="F971" s="1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0"/>
      <c r="V971" s="11"/>
      <c r="W971" s="10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2.75" customHeight="1">
      <c r="A972" s="10"/>
      <c r="B972" s="11"/>
      <c r="C972" s="10"/>
      <c r="D972" s="11"/>
      <c r="E972" s="10"/>
      <c r="F972" s="1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0"/>
      <c r="V972" s="11"/>
      <c r="W972" s="10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2.75" customHeight="1">
      <c r="A973" s="10"/>
      <c r="B973" s="11"/>
      <c r="C973" s="10"/>
      <c r="D973" s="11"/>
      <c r="E973" s="10"/>
      <c r="F973" s="1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0"/>
      <c r="V973" s="11"/>
      <c r="W973" s="10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2.75" customHeight="1">
      <c r="A974" s="10"/>
      <c r="B974" s="11"/>
      <c r="C974" s="10"/>
      <c r="D974" s="11"/>
      <c r="E974" s="10"/>
      <c r="F974" s="1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0"/>
      <c r="V974" s="11"/>
      <c r="W974" s="10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2.75" customHeight="1">
      <c r="A975" s="10"/>
      <c r="B975" s="11"/>
      <c r="C975" s="10"/>
      <c r="D975" s="11"/>
      <c r="E975" s="10"/>
      <c r="F975" s="1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0"/>
      <c r="V975" s="11"/>
      <c r="W975" s="10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2.75" customHeight="1">
      <c r="A976" s="10"/>
      <c r="B976" s="11"/>
      <c r="C976" s="10"/>
      <c r="D976" s="11"/>
      <c r="E976" s="10"/>
      <c r="F976" s="1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0"/>
      <c r="V976" s="11"/>
      <c r="W976" s="10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2.75" customHeight="1">
      <c r="A977" s="10"/>
      <c r="B977" s="11"/>
      <c r="C977" s="10"/>
      <c r="D977" s="11"/>
      <c r="E977" s="10"/>
      <c r="F977" s="1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0"/>
      <c r="V977" s="11"/>
      <c r="W977" s="10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2.75" customHeight="1">
      <c r="A978" s="10"/>
      <c r="B978" s="11"/>
      <c r="C978" s="10"/>
      <c r="D978" s="11"/>
      <c r="E978" s="10"/>
      <c r="F978" s="1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0"/>
      <c r="V978" s="11"/>
      <c r="W978" s="10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2.75" customHeight="1">
      <c r="A979" s="10"/>
      <c r="B979" s="11"/>
      <c r="C979" s="10"/>
      <c r="D979" s="11"/>
      <c r="E979" s="10"/>
      <c r="F979" s="1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0"/>
      <c r="V979" s="11"/>
      <c r="W979" s="10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2.75" customHeight="1">
      <c r="A980" s="10"/>
      <c r="B980" s="11"/>
      <c r="C980" s="10"/>
      <c r="D980" s="11"/>
      <c r="E980" s="10"/>
      <c r="F980" s="1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0"/>
      <c r="V980" s="11"/>
      <c r="W980" s="10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2.75" customHeight="1">
      <c r="A981" s="10"/>
      <c r="B981" s="11"/>
      <c r="C981" s="10"/>
      <c r="D981" s="11"/>
      <c r="E981" s="10"/>
      <c r="F981" s="1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0"/>
      <c r="V981" s="11"/>
      <c r="W981" s="10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2.75" customHeight="1">
      <c r="A982" s="10"/>
      <c r="B982" s="11"/>
      <c r="C982" s="10"/>
      <c r="D982" s="11"/>
      <c r="E982" s="10"/>
      <c r="F982" s="1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0"/>
      <c r="V982" s="11"/>
      <c r="W982" s="10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2.75" customHeight="1">
      <c r="A983" s="10"/>
      <c r="B983" s="11"/>
      <c r="C983" s="10"/>
      <c r="D983" s="11"/>
      <c r="E983" s="10"/>
      <c r="F983" s="1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0"/>
      <c r="V983" s="11"/>
      <c r="W983" s="10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2.75" customHeight="1">
      <c r="A984" s="10"/>
      <c r="B984" s="11"/>
      <c r="C984" s="10"/>
      <c r="D984" s="11"/>
      <c r="E984" s="10"/>
      <c r="F984" s="1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0"/>
      <c r="V984" s="11"/>
      <c r="W984" s="10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2.75" customHeight="1">
      <c r="A985" s="10"/>
      <c r="B985" s="11"/>
      <c r="C985" s="10"/>
      <c r="D985" s="11"/>
      <c r="E985" s="10"/>
      <c r="F985" s="1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0"/>
      <c r="V985" s="11"/>
      <c r="W985" s="10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2.75" customHeight="1">
      <c r="A986" s="10"/>
      <c r="B986" s="11"/>
      <c r="C986" s="10"/>
      <c r="D986" s="11"/>
      <c r="E986" s="10"/>
      <c r="F986" s="1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0"/>
      <c r="V986" s="11"/>
      <c r="W986" s="10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2.75" customHeight="1">
      <c r="A987" s="10"/>
      <c r="B987" s="11"/>
      <c r="C987" s="10"/>
      <c r="D987" s="11"/>
      <c r="E987" s="10"/>
      <c r="F987" s="1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0"/>
      <c r="V987" s="11"/>
      <c r="W987" s="10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2.75" customHeight="1">
      <c r="A988" s="10"/>
      <c r="B988" s="11"/>
      <c r="C988" s="10"/>
      <c r="D988" s="11"/>
      <c r="E988" s="10"/>
      <c r="F988" s="1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0"/>
      <c r="V988" s="11"/>
      <c r="W988" s="10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2.75" customHeight="1">
      <c r="A989" s="10"/>
      <c r="B989" s="11"/>
      <c r="C989" s="10"/>
      <c r="D989" s="11"/>
      <c r="E989" s="10"/>
      <c r="F989" s="1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0"/>
      <c r="V989" s="11"/>
      <c r="W989" s="10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2.75" customHeight="1">
      <c r="A990" s="10"/>
      <c r="B990" s="11"/>
      <c r="C990" s="10"/>
      <c r="D990" s="11"/>
      <c r="E990" s="10"/>
      <c r="F990" s="1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0"/>
      <c r="V990" s="11"/>
      <c r="W990" s="10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2.75" customHeight="1">
      <c r="A991" s="10"/>
      <c r="B991" s="11"/>
      <c r="C991" s="10"/>
      <c r="D991" s="11"/>
      <c r="E991" s="10"/>
      <c r="F991" s="1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0"/>
      <c r="V991" s="11"/>
      <c r="W991" s="10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2.75" customHeight="1">
      <c r="A992" s="10"/>
      <c r="B992" s="11"/>
      <c r="C992" s="10"/>
      <c r="D992" s="11"/>
      <c r="E992" s="10"/>
      <c r="F992" s="1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0"/>
      <c r="V992" s="11"/>
      <c r="W992" s="10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2.75" customHeight="1">
      <c r="A993" s="10"/>
      <c r="B993" s="11"/>
      <c r="C993" s="10"/>
      <c r="D993" s="11"/>
      <c r="E993" s="10"/>
      <c r="F993" s="1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0"/>
      <c r="V993" s="11"/>
      <c r="W993" s="10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2.75" customHeight="1">
      <c r="A994" s="10"/>
      <c r="B994" s="11"/>
      <c r="C994" s="10"/>
      <c r="D994" s="11"/>
      <c r="E994" s="10"/>
      <c r="F994" s="1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0"/>
      <c r="V994" s="11"/>
      <c r="W994" s="10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2.75" customHeight="1">
      <c r="A995" s="10"/>
      <c r="B995" s="11"/>
      <c r="C995" s="10"/>
      <c r="D995" s="11"/>
      <c r="E995" s="10"/>
      <c r="F995" s="1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0"/>
      <c r="V995" s="11"/>
      <c r="W995" s="10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2.75" customHeight="1">
      <c r="A996" s="10"/>
      <c r="B996" s="11"/>
      <c r="C996" s="10"/>
      <c r="D996" s="11"/>
      <c r="E996" s="10"/>
      <c r="F996" s="1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0"/>
      <c r="V996" s="11"/>
      <c r="W996" s="10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2.75" customHeight="1">
      <c r="A997" s="10"/>
      <c r="B997" s="11"/>
      <c r="C997" s="10"/>
      <c r="D997" s="11"/>
      <c r="E997" s="10"/>
      <c r="F997" s="1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0"/>
      <c r="V997" s="11"/>
      <c r="W997" s="10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2.75" customHeight="1">
      <c r="A998" s="10"/>
      <c r="B998" s="11"/>
      <c r="C998" s="10"/>
      <c r="D998" s="11"/>
      <c r="E998" s="10"/>
      <c r="F998" s="1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0"/>
      <c r="V998" s="11"/>
      <c r="W998" s="10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2.75" customHeight="1">
      <c r="A999" s="10"/>
      <c r="B999" s="11"/>
      <c r="C999" s="10"/>
      <c r="D999" s="11"/>
      <c r="E999" s="10"/>
      <c r="F999" s="1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0"/>
      <c r="V999" s="11"/>
      <c r="W999" s="10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2.75" customHeight="1">
      <c r="A1000" s="10"/>
      <c r="B1000" s="11"/>
      <c r="C1000" s="10"/>
      <c r="D1000" s="11"/>
      <c r="E1000" s="10"/>
      <c r="F1000" s="1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0"/>
      <c r="V1000" s="11"/>
      <c r="W1000" s="10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5.13" defaultRowHeight="15.0"/>
  <cols>
    <col customWidth="1" min="1" max="1" width="4.0"/>
    <col customWidth="1" min="2" max="2" width="7.75"/>
    <col customWidth="1" min="3" max="3" width="10.88"/>
    <col customWidth="1" min="4" max="4" width="3.0"/>
    <col customWidth="1" min="5" max="5" width="2.63"/>
    <col customWidth="1" min="6" max="6" width="6.63"/>
    <col customWidth="1" min="7" max="7" width="2.75"/>
    <col customWidth="1" min="8" max="9" width="3.5"/>
    <col customWidth="1" min="10" max="10" width="2.63"/>
    <col customWidth="1" min="11" max="11" width="3.25"/>
    <col customWidth="1" min="12" max="12" width="3.13"/>
    <col customWidth="1" min="13" max="13" width="4.63"/>
    <col customWidth="1" min="14" max="19" width="4.5"/>
    <col customWidth="1" min="20" max="20" width="5.38"/>
    <col customWidth="1" min="21" max="21" width="3.13"/>
    <col customWidth="1" min="22" max="22" width="9.0"/>
    <col customWidth="1" min="23" max="23" width="3.13"/>
    <col customWidth="1" min="24" max="24" width="2.63"/>
    <col customWidth="1" min="25" max="25" width="7.25"/>
    <col customWidth="1" min="26" max="26" width="7.88"/>
    <col customWidth="1" min="27" max="3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3">
        <v>1.0</v>
      </c>
      <c r="B2" s="4" t="s">
        <v>26</v>
      </c>
      <c r="C2" s="3"/>
      <c r="D2" s="4">
        <v>12.0</v>
      </c>
      <c r="E2" s="3">
        <v>8.0</v>
      </c>
      <c r="F2" s="3">
        <f t="shared" ref="F2:F50" si="1">D2-E2</f>
        <v>4</v>
      </c>
      <c r="G2" s="5"/>
      <c r="H2" s="5"/>
      <c r="I2" s="5"/>
      <c r="J2" s="5"/>
      <c r="K2" s="5"/>
      <c r="L2" s="5"/>
      <c r="M2" s="4" t="s">
        <v>40</v>
      </c>
      <c r="N2" s="5">
        <f>(E2-1)+VLOOKUP(M2,Size,2,0)</f>
        <v>7</v>
      </c>
      <c r="O2" s="5">
        <f>VLOOKUP(E2,LevelData,4)</f>
        <v>8</v>
      </c>
      <c r="P2" s="5">
        <f>O2+VLOOKUP(M2,Size,3,0)</f>
        <v>8</v>
      </c>
      <c r="Q2" s="5">
        <f t="shared" ref="Q2:Q50" si="2">R2</f>
        <v>6</v>
      </c>
      <c r="R2" s="5">
        <f>VLOOKUP(E2,LevelData,2)</f>
        <v>6</v>
      </c>
      <c r="S2" s="5">
        <f t="shared" ref="S2:S50" si="3">R2</f>
        <v>6</v>
      </c>
      <c r="T2" s="4"/>
      <c r="U2" s="3"/>
      <c r="V2" s="6"/>
      <c r="W2" s="3"/>
      <c r="X2" s="4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3">
        <f t="shared" ref="A3:A50" si="4">A2+1</f>
        <v>2</v>
      </c>
      <c r="B3" s="4"/>
      <c r="C3" s="3"/>
      <c r="D3" s="4">
        <f t="shared" ref="D3:D50" si="5">D2+1</f>
        <v>13</v>
      </c>
      <c r="E3" s="3">
        <v>9.0</v>
      </c>
      <c r="F3" s="3">
        <f t="shared" si="1"/>
        <v>4</v>
      </c>
      <c r="G3" s="5"/>
      <c r="H3" s="5"/>
      <c r="I3" s="5"/>
      <c r="J3" s="5"/>
      <c r="K3" s="5"/>
      <c r="L3" s="5"/>
      <c r="M3" s="4" t="s">
        <v>40</v>
      </c>
      <c r="N3" s="5">
        <f>(E3-1)+VLOOKUP(M3,Size,2,0)</f>
        <v>8</v>
      </c>
      <c r="O3" s="5">
        <f>VLOOKUP(E3,LevelData,4)</f>
        <v>9</v>
      </c>
      <c r="P3" s="5">
        <f>O3+VLOOKUP(M3,Size,3,0)</f>
        <v>9</v>
      </c>
      <c r="Q3" s="5">
        <f t="shared" si="2"/>
        <v>6</v>
      </c>
      <c r="R3" s="5">
        <f>VLOOKUP(E3,LevelData,2)</f>
        <v>6</v>
      </c>
      <c r="S3" s="5">
        <f t="shared" si="3"/>
        <v>6</v>
      </c>
      <c r="T3" s="4"/>
      <c r="U3" s="3"/>
      <c r="V3" s="4"/>
      <c r="W3" s="3"/>
      <c r="X3" s="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3">
        <f t="shared" si="4"/>
        <v>3</v>
      </c>
      <c r="B4" s="4"/>
      <c r="C4" s="3"/>
      <c r="D4" s="4">
        <f t="shared" si="5"/>
        <v>14</v>
      </c>
      <c r="E4" s="3">
        <v>10.0</v>
      </c>
      <c r="F4" s="3">
        <f t="shared" si="1"/>
        <v>4</v>
      </c>
      <c r="G4" s="5"/>
      <c r="H4" s="5"/>
      <c r="I4" s="5"/>
      <c r="J4" s="5"/>
      <c r="K4" s="5"/>
      <c r="L4" s="5"/>
      <c r="M4" s="4" t="s">
        <v>40</v>
      </c>
      <c r="N4" s="5">
        <f>(E4-1)+VLOOKUP(M4,Size,2,0)</f>
        <v>9</v>
      </c>
      <c r="O4" s="5">
        <f>VLOOKUP(E4,LevelData,4)</f>
        <v>10</v>
      </c>
      <c r="P4" s="5">
        <f>O4+VLOOKUP(M4,Size,3,0)</f>
        <v>10</v>
      </c>
      <c r="Q4" s="5">
        <f t="shared" si="2"/>
        <v>7</v>
      </c>
      <c r="R4" s="5">
        <f>VLOOKUP(E4,LevelData,2)</f>
        <v>7</v>
      </c>
      <c r="S4" s="5">
        <f t="shared" si="3"/>
        <v>7</v>
      </c>
      <c r="T4" s="4"/>
      <c r="U4" s="3"/>
      <c r="V4" s="4"/>
      <c r="W4" s="3"/>
      <c r="X4" s="4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2.75" customHeight="1">
      <c r="A5" s="7">
        <f t="shared" si="4"/>
        <v>4</v>
      </c>
      <c r="B5" s="8"/>
      <c r="C5" s="7"/>
      <c r="D5" s="8">
        <f t="shared" si="5"/>
        <v>15</v>
      </c>
      <c r="E5" s="7">
        <v>10.0</v>
      </c>
      <c r="F5" s="7">
        <f t="shared" si="1"/>
        <v>5</v>
      </c>
      <c r="G5" s="9"/>
      <c r="H5" s="9"/>
      <c r="I5" s="9"/>
      <c r="J5" s="9"/>
      <c r="K5" s="9"/>
      <c r="L5" s="9"/>
      <c r="M5" s="8" t="s">
        <v>40</v>
      </c>
      <c r="N5" s="9">
        <f>(E5-1)+VLOOKUP(M5,Size,2,0)</f>
        <v>9</v>
      </c>
      <c r="O5" s="9">
        <f>VLOOKUP(E5,LevelData,4)</f>
        <v>10</v>
      </c>
      <c r="P5" s="9">
        <f>O5+VLOOKUP(M5,Size,3,0)</f>
        <v>10</v>
      </c>
      <c r="Q5" s="9">
        <f t="shared" si="2"/>
        <v>7</v>
      </c>
      <c r="R5" s="9">
        <f>VLOOKUP(E5,LevelData,2)</f>
        <v>7</v>
      </c>
      <c r="S5" s="9">
        <f t="shared" si="3"/>
        <v>7</v>
      </c>
      <c r="T5" s="8"/>
      <c r="U5" s="7"/>
      <c r="V5" s="8"/>
      <c r="W5" s="7"/>
      <c r="X5" s="8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t="12.75" customHeight="1">
      <c r="A6" s="10">
        <f t="shared" si="4"/>
        <v>5</v>
      </c>
      <c r="B6" s="11" t="s">
        <v>35</v>
      </c>
      <c r="C6" s="10"/>
      <c r="D6" s="11">
        <f t="shared" si="5"/>
        <v>16</v>
      </c>
      <c r="E6" s="10">
        <v>11.0</v>
      </c>
      <c r="F6" s="10">
        <f t="shared" si="1"/>
        <v>5</v>
      </c>
      <c r="G6" s="12"/>
      <c r="H6" s="12"/>
      <c r="I6" s="12"/>
      <c r="J6" s="12"/>
      <c r="K6" s="12"/>
      <c r="L6" s="12"/>
      <c r="M6" s="11" t="s">
        <v>49</v>
      </c>
      <c r="N6" s="12">
        <f>(E6-1)+VLOOKUP(M6,Size,2,0)</f>
        <v>9</v>
      </c>
      <c r="O6" s="12">
        <f>VLOOKUP(E6,LevelData,4)</f>
        <v>11</v>
      </c>
      <c r="P6" s="12">
        <f>O6+VLOOKUP(M6,Size,3,0)</f>
        <v>10</v>
      </c>
      <c r="Q6" s="12">
        <f t="shared" si="2"/>
        <v>7</v>
      </c>
      <c r="R6" s="12">
        <f>VLOOKUP(E6,LevelData,2)</f>
        <v>7</v>
      </c>
      <c r="S6" s="12">
        <f t="shared" si="3"/>
        <v>7</v>
      </c>
      <c r="T6" s="11"/>
      <c r="U6" s="10"/>
      <c r="V6" s="11"/>
      <c r="W6" s="10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2.75" customHeight="1">
      <c r="A7" s="10">
        <f t="shared" si="4"/>
        <v>6</v>
      </c>
      <c r="B7" s="11"/>
      <c r="C7" s="10"/>
      <c r="D7" s="11">
        <f t="shared" si="5"/>
        <v>17</v>
      </c>
      <c r="E7" s="10">
        <v>12.0</v>
      </c>
      <c r="F7" s="10">
        <f t="shared" si="1"/>
        <v>5</v>
      </c>
      <c r="G7" s="12"/>
      <c r="H7" s="12"/>
      <c r="I7" s="12"/>
      <c r="J7" s="12"/>
      <c r="K7" s="12"/>
      <c r="L7" s="12"/>
      <c r="M7" s="11" t="s">
        <v>49</v>
      </c>
      <c r="N7" s="12">
        <f>(E7-1)+VLOOKUP(M7,Size,2,0)</f>
        <v>10</v>
      </c>
      <c r="O7" s="12">
        <f>VLOOKUP(E7,LevelData,4)</f>
        <v>12</v>
      </c>
      <c r="P7" s="12">
        <f>O7+VLOOKUP(M7,Size,3,0)</f>
        <v>11</v>
      </c>
      <c r="Q7" s="12">
        <f t="shared" si="2"/>
        <v>8</v>
      </c>
      <c r="R7" s="12">
        <f>VLOOKUP(E7,LevelData,2)</f>
        <v>8</v>
      </c>
      <c r="S7" s="12">
        <f t="shared" si="3"/>
        <v>8</v>
      </c>
      <c r="T7" s="11"/>
      <c r="U7" s="10"/>
      <c r="V7" s="11"/>
      <c r="W7" s="10"/>
      <c r="X7" s="11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2.75" customHeight="1">
      <c r="A8" s="10">
        <f t="shared" si="4"/>
        <v>7</v>
      </c>
      <c r="B8" s="11"/>
      <c r="C8" s="10"/>
      <c r="D8" s="11">
        <f t="shared" si="5"/>
        <v>18</v>
      </c>
      <c r="E8" s="10">
        <v>13.0</v>
      </c>
      <c r="F8" s="10">
        <f t="shared" si="1"/>
        <v>5</v>
      </c>
      <c r="G8" s="12"/>
      <c r="H8" s="12"/>
      <c r="I8" s="12"/>
      <c r="J8" s="12"/>
      <c r="K8" s="12"/>
      <c r="L8" s="12"/>
      <c r="M8" s="11" t="s">
        <v>49</v>
      </c>
      <c r="N8" s="12">
        <f>(E8-1)+VLOOKUP(M8,Size,2,0)</f>
        <v>11</v>
      </c>
      <c r="O8" s="12">
        <f>VLOOKUP(E8,LevelData,4)</f>
        <v>13</v>
      </c>
      <c r="P8" s="12">
        <f>O8+VLOOKUP(M8,Size,3,0)</f>
        <v>12</v>
      </c>
      <c r="Q8" s="12">
        <f t="shared" si="2"/>
        <v>8</v>
      </c>
      <c r="R8" s="12">
        <f>VLOOKUP(E8,LevelData,2)</f>
        <v>8</v>
      </c>
      <c r="S8" s="12">
        <f t="shared" si="3"/>
        <v>8</v>
      </c>
      <c r="T8" s="11"/>
      <c r="U8" s="10"/>
      <c r="V8" s="11"/>
      <c r="W8" s="10"/>
      <c r="X8" s="11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12.75" customHeight="1">
      <c r="A9" s="1">
        <f t="shared" si="4"/>
        <v>8</v>
      </c>
      <c r="B9" s="2"/>
      <c r="C9" s="1"/>
      <c r="D9" s="2">
        <f t="shared" si="5"/>
        <v>19</v>
      </c>
      <c r="E9" s="1">
        <v>13.0</v>
      </c>
      <c r="F9" s="1">
        <f t="shared" si="1"/>
        <v>6</v>
      </c>
      <c r="G9" s="13"/>
      <c r="H9" s="13"/>
      <c r="I9" s="13"/>
      <c r="J9" s="13"/>
      <c r="K9" s="13"/>
      <c r="L9" s="13"/>
      <c r="M9" s="2" t="s">
        <v>49</v>
      </c>
      <c r="N9" s="13">
        <f>(E9-1)+VLOOKUP(M9,Size,2,0)</f>
        <v>11</v>
      </c>
      <c r="O9" s="13">
        <f>VLOOKUP(E9,LevelData,4)</f>
        <v>13</v>
      </c>
      <c r="P9" s="13">
        <f>O9+VLOOKUP(M9,Size,3,0)</f>
        <v>12</v>
      </c>
      <c r="Q9" s="13">
        <f t="shared" si="2"/>
        <v>8</v>
      </c>
      <c r="R9" s="13">
        <f>VLOOKUP(E9,LevelData,2)</f>
        <v>8</v>
      </c>
      <c r="S9" s="13">
        <f t="shared" si="3"/>
        <v>8</v>
      </c>
      <c r="T9" s="2"/>
      <c r="U9" s="1"/>
      <c r="V9" s="2"/>
      <c r="W9" s="1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2.75" customHeight="1">
      <c r="A10" s="3">
        <f t="shared" si="4"/>
        <v>9</v>
      </c>
      <c r="B10" s="4" t="s">
        <v>39</v>
      </c>
      <c r="C10" s="3"/>
      <c r="D10" s="4">
        <f t="shared" si="5"/>
        <v>20</v>
      </c>
      <c r="E10" s="3">
        <v>14.0</v>
      </c>
      <c r="F10" s="3">
        <f t="shared" si="1"/>
        <v>6</v>
      </c>
      <c r="G10" s="5"/>
      <c r="H10" s="5"/>
      <c r="I10" s="5"/>
      <c r="J10" s="5"/>
      <c r="K10" s="5"/>
      <c r="L10" s="5"/>
      <c r="M10" s="4" t="s">
        <v>49</v>
      </c>
      <c r="N10" s="5">
        <f>(E10-1)+VLOOKUP(M10,Size,2,0)</f>
        <v>12</v>
      </c>
      <c r="O10" s="5">
        <f>VLOOKUP(E10,LevelData,4)</f>
        <v>14</v>
      </c>
      <c r="P10" s="5">
        <f>O10+VLOOKUP(M10,Size,3,0)</f>
        <v>13</v>
      </c>
      <c r="Q10" s="5">
        <f t="shared" si="2"/>
        <v>9</v>
      </c>
      <c r="R10" s="5">
        <f>VLOOKUP(E10,LevelData,2)</f>
        <v>9</v>
      </c>
      <c r="S10" s="5">
        <f t="shared" si="3"/>
        <v>9</v>
      </c>
      <c r="T10" s="4"/>
      <c r="U10" s="3"/>
      <c r="V10" s="4"/>
      <c r="W10" s="3"/>
      <c r="X10" s="4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3">
        <f t="shared" si="4"/>
        <v>10</v>
      </c>
      <c r="B11" s="4"/>
      <c r="C11" s="3"/>
      <c r="D11" s="4">
        <f t="shared" si="5"/>
        <v>21</v>
      </c>
      <c r="E11" s="3">
        <v>15.0</v>
      </c>
      <c r="F11" s="3">
        <f t="shared" si="1"/>
        <v>6</v>
      </c>
      <c r="G11" s="5"/>
      <c r="H11" s="5"/>
      <c r="I11" s="5"/>
      <c r="J11" s="5"/>
      <c r="K11" s="5"/>
      <c r="L11" s="5"/>
      <c r="M11" s="4" t="s">
        <v>49</v>
      </c>
      <c r="N11" s="5">
        <f>(E11-1)+VLOOKUP(M11,Size,2,0)</f>
        <v>13</v>
      </c>
      <c r="O11" s="5">
        <f>VLOOKUP(E11,LevelData,4)</f>
        <v>15</v>
      </c>
      <c r="P11" s="5">
        <f>O11+VLOOKUP(M11,Size,3,0)</f>
        <v>14</v>
      </c>
      <c r="Q11" s="5">
        <f t="shared" si="2"/>
        <v>9</v>
      </c>
      <c r="R11" s="5">
        <f>VLOOKUP(E11,LevelData,2)</f>
        <v>9</v>
      </c>
      <c r="S11" s="5">
        <f t="shared" si="3"/>
        <v>9</v>
      </c>
      <c r="T11" s="4"/>
      <c r="U11" s="3"/>
      <c r="V11" s="4"/>
      <c r="W11" s="3"/>
      <c r="X11" s="4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2.75" customHeight="1">
      <c r="A12" s="3">
        <f t="shared" si="4"/>
        <v>11</v>
      </c>
      <c r="B12" s="4"/>
      <c r="C12" s="3"/>
      <c r="D12" s="4">
        <f t="shared" si="5"/>
        <v>22</v>
      </c>
      <c r="E12" s="3">
        <v>16.0</v>
      </c>
      <c r="F12" s="3">
        <f t="shared" si="1"/>
        <v>6</v>
      </c>
      <c r="G12" s="5"/>
      <c r="H12" s="5"/>
      <c r="I12" s="5"/>
      <c r="J12" s="5"/>
      <c r="K12" s="5"/>
      <c r="L12" s="5"/>
      <c r="M12" s="4" t="s">
        <v>49</v>
      </c>
      <c r="N12" s="5">
        <f>(E12-1)+VLOOKUP(M12,Size,2,0)</f>
        <v>14</v>
      </c>
      <c r="O12" s="5">
        <f>VLOOKUP(E12,LevelData,4)</f>
        <v>16</v>
      </c>
      <c r="P12" s="5">
        <f>O12+VLOOKUP(M12,Size,3,0)</f>
        <v>15</v>
      </c>
      <c r="Q12" s="5">
        <f t="shared" si="2"/>
        <v>10</v>
      </c>
      <c r="R12" s="5">
        <f>VLOOKUP(E12,LevelData,2)</f>
        <v>10</v>
      </c>
      <c r="S12" s="5">
        <f t="shared" si="3"/>
        <v>10</v>
      </c>
      <c r="T12" s="4"/>
      <c r="U12" s="3"/>
      <c r="V12" s="4"/>
      <c r="W12" s="3"/>
      <c r="X12" s="4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12.75" customHeight="1">
      <c r="A13" s="7">
        <f t="shared" si="4"/>
        <v>12</v>
      </c>
      <c r="B13" s="8"/>
      <c r="C13" s="7"/>
      <c r="D13" s="8">
        <f t="shared" si="5"/>
        <v>23</v>
      </c>
      <c r="E13" s="7">
        <v>16.0</v>
      </c>
      <c r="F13" s="7">
        <f t="shared" si="1"/>
        <v>7</v>
      </c>
      <c r="G13" s="9"/>
      <c r="H13" s="9"/>
      <c r="I13" s="9"/>
      <c r="J13" s="9"/>
      <c r="K13" s="9"/>
      <c r="L13" s="9"/>
      <c r="M13" s="8" t="s">
        <v>49</v>
      </c>
      <c r="N13" s="9">
        <f>(E13-1)+VLOOKUP(M13,Size,2,0)</f>
        <v>14</v>
      </c>
      <c r="O13" s="9">
        <f>VLOOKUP(E13,LevelData,4)</f>
        <v>16</v>
      </c>
      <c r="P13" s="9">
        <f>O13+VLOOKUP(M13,Size,3,0)</f>
        <v>15</v>
      </c>
      <c r="Q13" s="9">
        <f t="shared" si="2"/>
        <v>10</v>
      </c>
      <c r="R13" s="9">
        <f>VLOOKUP(E13,LevelData,2)</f>
        <v>10</v>
      </c>
      <c r="S13" s="9">
        <f t="shared" si="3"/>
        <v>10</v>
      </c>
      <c r="T13" s="8"/>
      <c r="U13" s="7"/>
      <c r="V13" s="8"/>
      <c r="W13" s="7"/>
      <c r="X13" s="8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12.75" customHeight="1">
      <c r="A14" s="10">
        <f t="shared" si="4"/>
        <v>13</v>
      </c>
      <c r="B14" s="11" t="s">
        <v>44</v>
      </c>
      <c r="C14" s="10">
        <v>26.0</v>
      </c>
      <c r="D14" s="11">
        <f t="shared" si="5"/>
        <v>24</v>
      </c>
      <c r="E14" s="10">
        <v>17.0</v>
      </c>
      <c r="F14" s="10">
        <f t="shared" si="1"/>
        <v>7</v>
      </c>
      <c r="G14" s="12"/>
      <c r="H14" s="12"/>
      <c r="I14" s="12"/>
      <c r="J14" s="12"/>
      <c r="K14" s="12"/>
      <c r="L14" s="12"/>
      <c r="M14" s="11" t="s">
        <v>49</v>
      </c>
      <c r="N14" s="12">
        <f>(E14-1)+VLOOKUP(M14,Size,2,0)</f>
        <v>15</v>
      </c>
      <c r="O14" s="12">
        <f>VLOOKUP(E14,LevelData,4)</f>
        <v>17</v>
      </c>
      <c r="P14" s="12">
        <f>O14+VLOOKUP(M14,Size,3,0)</f>
        <v>16</v>
      </c>
      <c r="Q14" s="12">
        <f t="shared" si="2"/>
        <v>10</v>
      </c>
      <c r="R14" s="12">
        <f>VLOOKUP(E14,LevelData,2)</f>
        <v>10</v>
      </c>
      <c r="S14" s="12">
        <f t="shared" si="3"/>
        <v>10</v>
      </c>
      <c r="T14" s="11"/>
      <c r="U14" s="10"/>
      <c r="V14" s="11"/>
      <c r="W14" s="10"/>
      <c r="X14" s="11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2.75" customHeight="1">
      <c r="A15" s="10">
        <f t="shared" si="4"/>
        <v>14</v>
      </c>
      <c r="B15" s="11"/>
      <c r="C15" s="10">
        <v>32.0</v>
      </c>
      <c r="D15" s="11">
        <f t="shared" si="5"/>
        <v>25</v>
      </c>
      <c r="E15" s="10">
        <v>18.0</v>
      </c>
      <c r="F15" s="10">
        <f t="shared" si="1"/>
        <v>7</v>
      </c>
      <c r="G15" s="12"/>
      <c r="H15" s="12"/>
      <c r="I15" s="12"/>
      <c r="J15" s="12"/>
      <c r="K15" s="12"/>
      <c r="L15" s="12"/>
      <c r="M15" s="11" t="s">
        <v>49</v>
      </c>
      <c r="N15" s="12">
        <f>(E15-1)+VLOOKUP(M15,Size,2,0)</f>
        <v>16</v>
      </c>
      <c r="O15" s="12">
        <f>VLOOKUP(E15,LevelData,4)</f>
        <v>18</v>
      </c>
      <c r="P15" s="12">
        <f>O15+VLOOKUP(M15,Size,3,0)</f>
        <v>17</v>
      </c>
      <c r="Q15" s="12">
        <f t="shared" si="2"/>
        <v>11</v>
      </c>
      <c r="R15" s="12">
        <f>VLOOKUP(E15,LevelData,2)</f>
        <v>11</v>
      </c>
      <c r="S15" s="12">
        <f t="shared" si="3"/>
        <v>11</v>
      </c>
      <c r="T15" s="11"/>
      <c r="U15" s="10"/>
      <c r="V15" s="11"/>
      <c r="W15" s="10"/>
      <c r="X15" s="11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2.75" customHeight="1">
      <c r="A16" s="10">
        <f t="shared" si="4"/>
        <v>15</v>
      </c>
      <c r="B16" s="11"/>
      <c r="C16" s="10">
        <v>39.0</v>
      </c>
      <c r="D16" s="11">
        <f t="shared" si="5"/>
        <v>26</v>
      </c>
      <c r="E16" s="10">
        <v>19.0</v>
      </c>
      <c r="F16" s="10">
        <f t="shared" si="1"/>
        <v>7</v>
      </c>
      <c r="G16" s="12"/>
      <c r="H16" s="12"/>
      <c r="I16" s="12"/>
      <c r="J16" s="12"/>
      <c r="K16" s="12"/>
      <c r="L16" s="12"/>
      <c r="M16" s="11" t="s">
        <v>49</v>
      </c>
      <c r="N16" s="12">
        <f>(E16-1)+VLOOKUP(M16,Size,2,0)</f>
        <v>17</v>
      </c>
      <c r="O16" s="12">
        <f>VLOOKUP(E16,LevelData,4)</f>
        <v>19</v>
      </c>
      <c r="P16" s="12">
        <f>O16+VLOOKUP(M16,Size,3,0)</f>
        <v>18</v>
      </c>
      <c r="Q16" s="12">
        <f t="shared" si="2"/>
        <v>11</v>
      </c>
      <c r="R16" s="12">
        <f>VLOOKUP(E16,LevelData,2)</f>
        <v>11</v>
      </c>
      <c r="S16" s="12">
        <f t="shared" si="3"/>
        <v>11</v>
      </c>
      <c r="T16" s="11"/>
      <c r="U16" s="10"/>
      <c r="V16" s="11"/>
      <c r="W16" s="10"/>
      <c r="X16" s="11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12.75" customHeight="1">
      <c r="A17" s="1">
        <f t="shared" si="4"/>
        <v>16</v>
      </c>
      <c r="B17" s="2"/>
      <c r="C17" s="1">
        <v>45.0</v>
      </c>
      <c r="D17" s="2">
        <f t="shared" si="5"/>
        <v>27</v>
      </c>
      <c r="E17" s="1">
        <v>19.0</v>
      </c>
      <c r="F17" s="1">
        <f t="shared" si="1"/>
        <v>8</v>
      </c>
      <c r="G17" s="13"/>
      <c r="H17" s="13"/>
      <c r="I17" s="13"/>
      <c r="J17" s="13"/>
      <c r="K17" s="13"/>
      <c r="L17" s="13"/>
      <c r="M17" s="2" t="s">
        <v>49</v>
      </c>
      <c r="N17" s="13">
        <f>(E17-1)+VLOOKUP(M17,Size,2,0)</f>
        <v>17</v>
      </c>
      <c r="O17" s="13">
        <f>VLOOKUP(E17,LevelData,4)</f>
        <v>19</v>
      </c>
      <c r="P17" s="13">
        <f>O17+VLOOKUP(M17,Size,3,0)</f>
        <v>18</v>
      </c>
      <c r="Q17" s="13">
        <f t="shared" si="2"/>
        <v>11</v>
      </c>
      <c r="R17" s="13">
        <f>VLOOKUP(E17,LevelData,2)</f>
        <v>11</v>
      </c>
      <c r="S17" s="13">
        <f t="shared" si="3"/>
        <v>11</v>
      </c>
      <c r="T17" s="2"/>
      <c r="U17" s="1"/>
      <c r="V17" s="2"/>
      <c r="W17" s="1"/>
      <c r="X17" s="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12.75" customHeight="1">
      <c r="A18" s="3">
        <f t="shared" si="4"/>
        <v>17</v>
      </c>
      <c r="B18" s="4" t="s">
        <v>48</v>
      </c>
      <c r="C18" s="3">
        <v>51.0</v>
      </c>
      <c r="D18" s="4">
        <f t="shared" si="5"/>
        <v>28</v>
      </c>
      <c r="E18" s="3">
        <v>20.0</v>
      </c>
      <c r="F18" s="3">
        <f t="shared" si="1"/>
        <v>8</v>
      </c>
      <c r="G18" s="5"/>
      <c r="H18" s="5"/>
      <c r="I18" s="5"/>
      <c r="J18" s="5"/>
      <c r="K18" s="5"/>
      <c r="L18" s="5"/>
      <c r="M18" s="4" t="s">
        <v>58</v>
      </c>
      <c r="N18" s="5">
        <f>(E18-1)+VLOOKUP(M18,Size,2,0)</f>
        <v>17</v>
      </c>
      <c r="O18" s="5">
        <f>VLOOKUP(E18,LevelData,4)</f>
        <v>20</v>
      </c>
      <c r="P18" s="5">
        <f>O18+VLOOKUP(M18,Size,3,0)</f>
        <v>18</v>
      </c>
      <c r="Q18" s="5">
        <f t="shared" si="2"/>
        <v>12</v>
      </c>
      <c r="R18" s="5">
        <f>VLOOKUP(E18,LevelData,2)</f>
        <v>12</v>
      </c>
      <c r="S18" s="5">
        <f t="shared" si="3"/>
        <v>12</v>
      </c>
      <c r="T18" s="4"/>
      <c r="U18" s="3"/>
      <c r="V18" s="4">
        <f t="shared" ref="V18:V50" si="6">INT(10+(E18/2))</f>
        <v>20</v>
      </c>
      <c r="W18" s="3">
        <f t="shared" ref="W18:W50" si="7">INT((E18/2)+10)</f>
        <v>20</v>
      </c>
      <c r="X18" s="4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3">
        <f t="shared" si="4"/>
        <v>18</v>
      </c>
      <c r="B19" s="4"/>
      <c r="C19" s="3">
        <v>63.0</v>
      </c>
      <c r="D19" s="4">
        <f t="shared" si="5"/>
        <v>29</v>
      </c>
      <c r="E19" s="3">
        <v>21.0</v>
      </c>
      <c r="F19" s="3">
        <f t="shared" si="1"/>
        <v>8</v>
      </c>
      <c r="G19" s="5"/>
      <c r="H19" s="5"/>
      <c r="I19" s="5"/>
      <c r="J19" s="5"/>
      <c r="K19" s="5"/>
      <c r="L19" s="5"/>
      <c r="M19" s="4" t="s">
        <v>58</v>
      </c>
      <c r="N19" s="5">
        <f>(E19-1)+VLOOKUP(M19,Size,2,0)</f>
        <v>18</v>
      </c>
      <c r="O19" s="5">
        <f>VLOOKUP(E19,LevelData,4)</f>
        <v>21</v>
      </c>
      <c r="P19" s="5">
        <f>O19+VLOOKUP(M19,Size,3,0)</f>
        <v>19</v>
      </c>
      <c r="Q19" s="5">
        <f t="shared" si="2"/>
        <v>12</v>
      </c>
      <c r="R19" s="5">
        <f>VLOOKUP(E19,LevelData,2)</f>
        <v>12</v>
      </c>
      <c r="S19" s="5">
        <f t="shared" si="3"/>
        <v>12</v>
      </c>
      <c r="T19" s="4"/>
      <c r="U19" s="3"/>
      <c r="V19" s="4">
        <f t="shared" si="6"/>
        <v>20</v>
      </c>
      <c r="W19" s="3">
        <f t="shared" si="7"/>
        <v>20</v>
      </c>
      <c r="X19" s="4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3">
        <f t="shared" si="4"/>
        <v>19</v>
      </c>
      <c r="B20" s="4"/>
      <c r="C20" s="3">
        <v>75.0</v>
      </c>
      <c r="D20" s="4">
        <f t="shared" si="5"/>
        <v>30</v>
      </c>
      <c r="E20" s="3">
        <v>22.0</v>
      </c>
      <c r="F20" s="3">
        <f t="shared" si="1"/>
        <v>8</v>
      </c>
      <c r="G20" s="5"/>
      <c r="H20" s="5"/>
      <c r="I20" s="5"/>
      <c r="J20" s="5"/>
      <c r="K20" s="5"/>
      <c r="L20" s="5"/>
      <c r="M20" s="4" t="s">
        <v>58</v>
      </c>
      <c r="N20" s="5">
        <f>(E20-1)+VLOOKUP(M20,Size,2,0)</f>
        <v>19</v>
      </c>
      <c r="O20" s="5">
        <f>VLOOKUP(E20,LevelData,4)</f>
        <v>22</v>
      </c>
      <c r="P20" s="5">
        <f>O20+VLOOKUP(M20,Size,3,0)</f>
        <v>20</v>
      </c>
      <c r="Q20" s="5">
        <f t="shared" si="2"/>
        <v>13</v>
      </c>
      <c r="R20" s="5">
        <f>VLOOKUP(E20,LevelData,2)</f>
        <v>13</v>
      </c>
      <c r="S20" s="5">
        <f t="shared" si="3"/>
        <v>13</v>
      </c>
      <c r="T20" s="4"/>
      <c r="U20" s="3"/>
      <c r="V20" s="4">
        <f t="shared" si="6"/>
        <v>21</v>
      </c>
      <c r="W20" s="3">
        <f t="shared" si="7"/>
        <v>21</v>
      </c>
      <c r="X20" s="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12.75" customHeight="1">
      <c r="A21" s="7">
        <f t="shared" si="4"/>
        <v>20</v>
      </c>
      <c r="B21" s="8"/>
      <c r="C21" s="7">
        <v>87.0</v>
      </c>
      <c r="D21" s="8">
        <f t="shared" si="5"/>
        <v>31</v>
      </c>
      <c r="E21" s="7">
        <v>22.0</v>
      </c>
      <c r="F21" s="7">
        <f t="shared" si="1"/>
        <v>9</v>
      </c>
      <c r="G21" s="9"/>
      <c r="H21" s="9"/>
      <c r="I21" s="9"/>
      <c r="J21" s="9"/>
      <c r="K21" s="9"/>
      <c r="L21" s="9"/>
      <c r="M21" s="8" t="s">
        <v>58</v>
      </c>
      <c r="N21" s="9">
        <f>(E21-1)+VLOOKUP(M21,Size,2,0)</f>
        <v>19</v>
      </c>
      <c r="O21" s="9">
        <f>VLOOKUP(E21,LevelData,4)</f>
        <v>22</v>
      </c>
      <c r="P21" s="9">
        <f>O21+VLOOKUP(M21,Size,3,0)</f>
        <v>20</v>
      </c>
      <c r="Q21" s="9">
        <f t="shared" si="2"/>
        <v>13</v>
      </c>
      <c r="R21" s="9">
        <f>VLOOKUP(E21,LevelData,2)</f>
        <v>13</v>
      </c>
      <c r="S21" s="9">
        <f t="shared" si="3"/>
        <v>13</v>
      </c>
      <c r="T21" s="8"/>
      <c r="U21" s="7"/>
      <c r="V21" s="8">
        <f t="shared" si="6"/>
        <v>21</v>
      </c>
      <c r="W21" s="7">
        <f t="shared" si="7"/>
        <v>21</v>
      </c>
      <c r="X21" s="8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ht="12.75" customHeight="1">
      <c r="A22" s="10">
        <f t="shared" si="4"/>
        <v>21</v>
      </c>
      <c r="B22" s="11" t="s">
        <v>53</v>
      </c>
      <c r="C22" s="10">
        <v>101.0</v>
      </c>
      <c r="D22" s="11">
        <f t="shared" si="5"/>
        <v>32</v>
      </c>
      <c r="E22" s="10">
        <v>23.0</v>
      </c>
      <c r="F22" s="10">
        <f t="shared" si="1"/>
        <v>9</v>
      </c>
      <c r="G22" s="12"/>
      <c r="H22" s="12"/>
      <c r="I22" s="12"/>
      <c r="J22" s="12"/>
      <c r="K22" s="12"/>
      <c r="L22" s="12"/>
      <c r="M22" s="11" t="s">
        <v>58</v>
      </c>
      <c r="N22" s="12">
        <f>(E22-1)+VLOOKUP(M22,Size,2,0)</f>
        <v>20</v>
      </c>
      <c r="O22" s="12">
        <f>VLOOKUP(E22,LevelData,4)</f>
        <v>23</v>
      </c>
      <c r="P22" s="12">
        <f>O22+VLOOKUP(M22,Size,3,0)</f>
        <v>21</v>
      </c>
      <c r="Q22" s="12">
        <f t="shared" si="2"/>
        <v>13</v>
      </c>
      <c r="R22" s="12">
        <f>VLOOKUP(E22,LevelData,2)</f>
        <v>13</v>
      </c>
      <c r="S22" s="12">
        <f t="shared" si="3"/>
        <v>13</v>
      </c>
      <c r="T22" s="11"/>
      <c r="U22" s="10"/>
      <c r="V22" s="11">
        <f t="shared" si="6"/>
        <v>21</v>
      </c>
      <c r="W22" s="10">
        <f t="shared" si="7"/>
        <v>21</v>
      </c>
      <c r="X22" s="11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2.75" customHeight="1">
      <c r="A23" s="10">
        <f t="shared" si="4"/>
        <v>22</v>
      </c>
      <c r="B23" s="11"/>
      <c r="C23" s="10">
        <v>126.0</v>
      </c>
      <c r="D23" s="11">
        <f t="shared" si="5"/>
        <v>33</v>
      </c>
      <c r="E23" s="10">
        <v>24.0</v>
      </c>
      <c r="F23" s="10">
        <f t="shared" si="1"/>
        <v>9</v>
      </c>
      <c r="G23" s="12"/>
      <c r="H23" s="12"/>
      <c r="I23" s="12"/>
      <c r="J23" s="12"/>
      <c r="K23" s="12"/>
      <c r="L23" s="12"/>
      <c r="M23" s="11" t="s">
        <v>58</v>
      </c>
      <c r="N23" s="12">
        <f>(E23-1)+VLOOKUP(M23,Size,2,0)</f>
        <v>21</v>
      </c>
      <c r="O23" s="12">
        <f>VLOOKUP(E23,LevelData,4)</f>
        <v>24</v>
      </c>
      <c r="P23" s="12">
        <f>O23+VLOOKUP(M23,Size,3,0)</f>
        <v>22</v>
      </c>
      <c r="Q23" s="12">
        <f t="shared" si="2"/>
        <v>14</v>
      </c>
      <c r="R23" s="12">
        <f>VLOOKUP(E23,LevelData,2)</f>
        <v>14</v>
      </c>
      <c r="S23" s="12">
        <f t="shared" si="3"/>
        <v>14</v>
      </c>
      <c r="T23" s="11"/>
      <c r="U23" s="10"/>
      <c r="V23" s="11">
        <f t="shared" si="6"/>
        <v>22</v>
      </c>
      <c r="W23" s="10">
        <f t="shared" si="7"/>
        <v>22</v>
      </c>
      <c r="X23" s="11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12.75" customHeight="1">
      <c r="A24" s="10">
        <f t="shared" si="4"/>
        <v>23</v>
      </c>
      <c r="B24" s="11"/>
      <c r="C24" s="10">
        <v>151.0</v>
      </c>
      <c r="D24" s="11">
        <f t="shared" si="5"/>
        <v>34</v>
      </c>
      <c r="E24" s="10">
        <v>25.0</v>
      </c>
      <c r="F24" s="10">
        <f t="shared" si="1"/>
        <v>9</v>
      </c>
      <c r="G24" s="12"/>
      <c r="H24" s="12"/>
      <c r="I24" s="12"/>
      <c r="J24" s="12"/>
      <c r="K24" s="12"/>
      <c r="L24" s="12"/>
      <c r="M24" s="11" t="s">
        <v>58</v>
      </c>
      <c r="N24" s="12">
        <f>(E24-1)+VLOOKUP(M24,Size,2,0)</f>
        <v>22</v>
      </c>
      <c r="O24" s="12">
        <f>VLOOKUP(E24,LevelData,4)</f>
        <v>25</v>
      </c>
      <c r="P24" s="12">
        <f>O24+VLOOKUP(M24,Size,3,0)</f>
        <v>23</v>
      </c>
      <c r="Q24" s="12">
        <f t="shared" si="2"/>
        <v>14</v>
      </c>
      <c r="R24" s="12">
        <f>VLOOKUP(E24,LevelData,2)</f>
        <v>14</v>
      </c>
      <c r="S24" s="12">
        <f t="shared" si="3"/>
        <v>14</v>
      </c>
      <c r="T24" s="11"/>
      <c r="U24" s="10"/>
      <c r="V24" s="11">
        <f t="shared" si="6"/>
        <v>22</v>
      </c>
      <c r="W24" s="10">
        <f t="shared" si="7"/>
        <v>22</v>
      </c>
      <c r="X24" s="11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12.75" customHeight="1">
      <c r="A25" s="1">
        <f t="shared" si="4"/>
        <v>24</v>
      </c>
      <c r="B25" s="2"/>
      <c r="C25" s="1">
        <v>176.0</v>
      </c>
      <c r="D25" s="2">
        <f t="shared" si="5"/>
        <v>35</v>
      </c>
      <c r="E25" s="1">
        <v>25.0</v>
      </c>
      <c r="F25" s="1">
        <f t="shared" si="1"/>
        <v>10</v>
      </c>
      <c r="G25" s="13"/>
      <c r="H25" s="13"/>
      <c r="I25" s="13"/>
      <c r="J25" s="13"/>
      <c r="K25" s="13"/>
      <c r="L25" s="13"/>
      <c r="M25" s="2" t="s">
        <v>58</v>
      </c>
      <c r="N25" s="13">
        <f>(E25-1)+VLOOKUP(M25,Size,2,0)</f>
        <v>22</v>
      </c>
      <c r="O25" s="13">
        <f>VLOOKUP(E25,LevelData,4)</f>
        <v>25</v>
      </c>
      <c r="P25" s="13">
        <f>O25+VLOOKUP(M25,Size,3,0)</f>
        <v>23</v>
      </c>
      <c r="Q25" s="13">
        <f t="shared" si="2"/>
        <v>14</v>
      </c>
      <c r="R25" s="13">
        <f>VLOOKUP(E25,LevelData,2)</f>
        <v>14</v>
      </c>
      <c r="S25" s="13">
        <f t="shared" si="3"/>
        <v>14</v>
      </c>
      <c r="T25" s="2"/>
      <c r="U25" s="1"/>
      <c r="V25" s="2">
        <f t="shared" si="6"/>
        <v>22</v>
      </c>
      <c r="W25" s="1">
        <f t="shared" si="7"/>
        <v>22</v>
      </c>
      <c r="X25" s="2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2.75" customHeight="1">
      <c r="A26" s="3">
        <f t="shared" si="4"/>
        <v>25</v>
      </c>
      <c r="B26" s="4" t="s">
        <v>57</v>
      </c>
      <c r="C26" s="3">
        <v>201.0</v>
      </c>
      <c r="D26" s="4">
        <f t="shared" si="5"/>
        <v>36</v>
      </c>
      <c r="E26" s="3">
        <v>26.0</v>
      </c>
      <c r="F26" s="3">
        <f t="shared" si="1"/>
        <v>10</v>
      </c>
      <c r="G26" s="5"/>
      <c r="H26" s="5"/>
      <c r="I26" s="5"/>
      <c r="J26" s="5"/>
      <c r="K26" s="5"/>
      <c r="L26" s="5"/>
      <c r="M26" s="4" t="s">
        <v>58</v>
      </c>
      <c r="N26" s="5">
        <f>(E26-1)+VLOOKUP(M26,Size,2,0)</f>
        <v>23</v>
      </c>
      <c r="O26" s="5">
        <f>VLOOKUP(E26,LevelData,4)</f>
        <v>26</v>
      </c>
      <c r="P26" s="5">
        <f>O26+VLOOKUP(M26,Size,3,0)</f>
        <v>24</v>
      </c>
      <c r="Q26" s="5">
        <f t="shared" si="2"/>
        <v>15</v>
      </c>
      <c r="R26" s="5">
        <f>VLOOKUP(E26,LevelData,2)</f>
        <v>15</v>
      </c>
      <c r="S26" s="5">
        <f t="shared" si="3"/>
        <v>15</v>
      </c>
      <c r="T26" s="4"/>
      <c r="U26" s="3"/>
      <c r="V26" s="4">
        <f t="shared" si="6"/>
        <v>23</v>
      </c>
      <c r="W26" s="3">
        <f t="shared" si="7"/>
        <v>23</v>
      </c>
      <c r="X26" s="4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3">
        <f t="shared" si="4"/>
        <v>26</v>
      </c>
      <c r="B27" s="4"/>
      <c r="C27" s="3">
        <v>251.0</v>
      </c>
      <c r="D27" s="4">
        <f t="shared" si="5"/>
        <v>37</v>
      </c>
      <c r="E27" s="3">
        <v>27.0</v>
      </c>
      <c r="F27" s="3">
        <f t="shared" si="1"/>
        <v>10</v>
      </c>
      <c r="G27" s="5"/>
      <c r="H27" s="5"/>
      <c r="I27" s="5"/>
      <c r="J27" s="5"/>
      <c r="K27" s="5"/>
      <c r="L27" s="5"/>
      <c r="M27" s="4" t="s">
        <v>58</v>
      </c>
      <c r="N27" s="5">
        <f>(E27-1)+VLOOKUP(M27,Size,2,0)</f>
        <v>24</v>
      </c>
      <c r="O27" s="5">
        <f>VLOOKUP(E27,LevelData,4)</f>
        <v>27</v>
      </c>
      <c r="P27" s="5">
        <f>O27+VLOOKUP(M27,Size,3,0)</f>
        <v>25</v>
      </c>
      <c r="Q27" s="5">
        <f t="shared" si="2"/>
        <v>15</v>
      </c>
      <c r="R27" s="5">
        <f>VLOOKUP(E27,LevelData,2)</f>
        <v>15</v>
      </c>
      <c r="S27" s="5">
        <f t="shared" si="3"/>
        <v>15</v>
      </c>
      <c r="T27" s="4"/>
      <c r="U27" s="3"/>
      <c r="V27" s="4">
        <f t="shared" si="6"/>
        <v>23</v>
      </c>
      <c r="W27" s="3">
        <f t="shared" si="7"/>
        <v>23</v>
      </c>
      <c r="X27" s="4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3">
        <f t="shared" si="4"/>
        <v>27</v>
      </c>
      <c r="B28" s="4"/>
      <c r="C28" s="3">
        <v>301.0</v>
      </c>
      <c r="D28" s="4">
        <f t="shared" si="5"/>
        <v>38</v>
      </c>
      <c r="E28" s="3">
        <v>28.0</v>
      </c>
      <c r="F28" s="3">
        <f t="shared" si="1"/>
        <v>10</v>
      </c>
      <c r="G28" s="5"/>
      <c r="H28" s="5"/>
      <c r="I28" s="5"/>
      <c r="J28" s="5"/>
      <c r="K28" s="5"/>
      <c r="L28" s="5"/>
      <c r="M28" s="4" t="s">
        <v>58</v>
      </c>
      <c r="N28" s="5">
        <f>(E28-1)+VLOOKUP(M28,Size,2,0)</f>
        <v>25</v>
      </c>
      <c r="O28" s="5">
        <f>VLOOKUP(E28,LevelData,4)</f>
        <v>28</v>
      </c>
      <c r="P28" s="5">
        <f>O28+VLOOKUP(M28,Size,3,0)</f>
        <v>26</v>
      </c>
      <c r="Q28" s="5">
        <f t="shared" si="2"/>
        <v>16</v>
      </c>
      <c r="R28" s="5">
        <f>VLOOKUP(E28,LevelData,2)</f>
        <v>16</v>
      </c>
      <c r="S28" s="5">
        <f t="shared" si="3"/>
        <v>16</v>
      </c>
      <c r="T28" s="4"/>
      <c r="U28" s="3"/>
      <c r="V28" s="4">
        <f t="shared" si="6"/>
        <v>24</v>
      </c>
      <c r="W28" s="3">
        <f t="shared" si="7"/>
        <v>24</v>
      </c>
      <c r="X28" s="4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12.75" customHeight="1">
      <c r="A29" s="7">
        <f t="shared" si="4"/>
        <v>28</v>
      </c>
      <c r="B29" s="8"/>
      <c r="C29" s="7">
        <v>351.0</v>
      </c>
      <c r="D29" s="8">
        <f t="shared" si="5"/>
        <v>39</v>
      </c>
      <c r="E29" s="7">
        <v>28.0</v>
      </c>
      <c r="F29" s="7">
        <f t="shared" si="1"/>
        <v>11</v>
      </c>
      <c r="G29" s="9"/>
      <c r="H29" s="9"/>
      <c r="I29" s="9"/>
      <c r="J29" s="9"/>
      <c r="K29" s="9"/>
      <c r="L29" s="9"/>
      <c r="M29" s="8" t="s">
        <v>58</v>
      </c>
      <c r="N29" s="9">
        <f>(E29-1)+VLOOKUP(M29,Size,2,0)</f>
        <v>25</v>
      </c>
      <c r="O29" s="9">
        <f>VLOOKUP(E29,LevelData,4)</f>
        <v>28</v>
      </c>
      <c r="P29" s="9">
        <f>O29+VLOOKUP(M29,Size,3,0)</f>
        <v>26</v>
      </c>
      <c r="Q29" s="9">
        <f t="shared" si="2"/>
        <v>16</v>
      </c>
      <c r="R29" s="9">
        <f>VLOOKUP(E29,LevelData,2)</f>
        <v>16</v>
      </c>
      <c r="S29" s="9">
        <f t="shared" si="3"/>
        <v>16</v>
      </c>
      <c r="T29" s="8"/>
      <c r="U29" s="7"/>
      <c r="V29" s="8">
        <f t="shared" si="6"/>
        <v>24</v>
      </c>
      <c r="W29" s="7">
        <f t="shared" si="7"/>
        <v>24</v>
      </c>
      <c r="X29" s="8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ht="12.75" customHeight="1">
      <c r="A30" s="10">
        <f t="shared" si="4"/>
        <v>29</v>
      </c>
      <c r="B30" s="11" t="s">
        <v>62</v>
      </c>
      <c r="C30" s="10">
        <v>401.0</v>
      </c>
      <c r="D30" s="11">
        <f t="shared" si="5"/>
        <v>40</v>
      </c>
      <c r="E30" s="10">
        <v>29.0</v>
      </c>
      <c r="F30" s="10">
        <f t="shared" si="1"/>
        <v>11</v>
      </c>
      <c r="G30" s="12"/>
      <c r="H30" s="12"/>
      <c r="I30" s="12"/>
      <c r="J30" s="12"/>
      <c r="K30" s="12"/>
      <c r="L30" s="12"/>
      <c r="M30" s="11" t="s">
        <v>77</v>
      </c>
      <c r="N30" s="12">
        <f>(E30-1)+VLOOKUP(M30,Size,2,0)</f>
        <v>24</v>
      </c>
      <c r="O30" s="12">
        <f>VLOOKUP(E30,LevelData,4)</f>
        <v>29</v>
      </c>
      <c r="P30" s="12">
        <f>O30+VLOOKUP(M30,Size,3,0)</f>
        <v>25</v>
      </c>
      <c r="Q30" s="12">
        <f t="shared" si="2"/>
        <v>16</v>
      </c>
      <c r="R30" s="12">
        <f>VLOOKUP(E30,LevelData,2)</f>
        <v>16</v>
      </c>
      <c r="S30" s="12">
        <f t="shared" si="3"/>
        <v>16</v>
      </c>
      <c r="T30" s="11"/>
      <c r="U30" s="10"/>
      <c r="V30" s="11">
        <f t="shared" si="6"/>
        <v>24</v>
      </c>
      <c r="W30" s="10">
        <f t="shared" si="7"/>
        <v>24</v>
      </c>
      <c r="X30" s="11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2.75" customHeight="1">
      <c r="A31" s="10">
        <f t="shared" si="4"/>
        <v>30</v>
      </c>
      <c r="B31" s="11"/>
      <c r="C31" s="10">
        <v>451.0</v>
      </c>
      <c r="D31" s="11">
        <f t="shared" si="5"/>
        <v>41</v>
      </c>
      <c r="E31" s="10">
        <v>30.0</v>
      </c>
      <c r="F31" s="10">
        <f t="shared" si="1"/>
        <v>11</v>
      </c>
      <c r="G31" s="12"/>
      <c r="H31" s="12"/>
      <c r="I31" s="12"/>
      <c r="J31" s="12"/>
      <c r="K31" s="12"/>
      <c r="L31" s="12"/>
      <c r="M31" s="11" t="s">
        <v>77</v>
      </c>
      <c r="N31" s="12">
        <f>(E31-1)+VLOOKUP(M31,Size,2,0)</f>
        <v>25</v>
      </c>
      <c r="O31" s="12">
        <f>VLOOKUP(E31,LevelData,4)</f>
        <v>30</v>
      </c>
      <c r="P31" s="12">
        <f>O31+VLOOKUP(M31,Size,3,0)</f>
        <v>26</v>
      </c>
      <c r="Q31" s="12">
        <f t="shared" si="2"/>
        <v>17</v>
      </c>
      <c r="R31" s="12">
        <f>VLOOKUP(E31,LevelData,2)</f>
        <v>17</v>
      </c>
      <c r="S31" s="12">
        <f t="shared" si="3"/>
        <v>17</v>
      </c>
      <c r="T31" s="11"/>
      <c r="U31" s="10"/>
      <c r="V31" s="11">
        <f t="shared" si="6"/>
        <v>25</v>
      </c>
      <c r="W31" s="10">
        <f t="shared" si="7"/>
        <v>25</v>
      </c>
      <c r="X31" s="11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12.75" customHeight="1">
      <c r="A32" s="10">
        <f t="shared" si="4"/>
        <v>31</v>
      </c>
      <c r="B32" s="11"/>
      <c r="C32" s="10">
        <v>501.0</v>
      </c>
      <c r="D32" s="11">
        <f t="shared" si="5"/>
        <v>42</v>
      </c>
      <c r="E32" s="10">
        <v>31.0</v>
      </c>
      <c r="F32" s="10">
        <f t="shared" si="1"/>
        <v>11</v>
      </c>
      <c r="G32" s="12"/>
      <c r="H32" s="12"/>
      <c r="I32" s="12"/>
      <c r="J32" s="12"/>
      <c r="K32" s="12"/>
      <c r="L32" s="12"/>
      <c r="M32" s="11" t="s">
        <v>77</v>
      </c>
      <c r="N32" s="12">
        <f>(E32-1)+VLOOKUP(M32,Size,2,0)</f>
        <v>26</v>
      </c>
      <c r="O32" s="12">
        <f>VLOOKUP(E32,LevelData,4)</f>
        <v>31</v>
      </c>
      <c r="P32" s="12">
        <f>O32+VLOOKUP(M32,Size,3,0)</f>
        <v>27</v>
      </c>
      <c r="Q32" s="12">
        <f t="shared" si="2"/>
        <v>17</v>
      </c>
      <c r="R32" s="12">
        <f>VLOOKUP(E32,LevelData,2)</f>
        <v>17</v>
      </c>
      <c r="S32" s="12">
        <f t="shared" si="3"/>
        <v>17</v>
      </c>
      <c r="T32" s="11"/>
      <c r="U32" s="10"/>
      <c r="V32" s="11">
        <f t="shared" si="6"/>
        <v>25</v>
      </c>
      <c r="W32" s="10">
        <f t="shared" si="7"/>
        <v>25</v>
      </c>
      <c r="X32" s="11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12.75" customHeight="1">
      <c r="A33" s="1">
        <f t="shared" si="4"/>
        <v>32</v>
      </c>
      <c r="B33" s="2"/>
      <c r="C33" s="1">
        <v>551.0</v>
      </c>
      <c r="D33" s="2">
        <f t="shared" si="5"/>
        <v>43</v>
      </c>
      <c r="E33" s="1">
        <v>31.0</v>
      </c>
      <c r="F33" s="1">
        <f t="shared" si="1"/>
        <v>12</v>
      </c>
      <c r="G33" s="13"/>
      <c r="H33" s="13"/>
      <c r="I33" s="13"/>
      <c r="J33" s="13"/>
      <c r="K33" s="13"/>
      <c r="L33" s="13"/>
      <c r="M33" s="2" t="s">
        <v>77</v>
      </c>
      <c r="N33" s="13">
        <f>(E33-1)+VLOOKUP(M33,Size,2,0)</f>
        <v>26</v>
      </c>
      <c r="O33" s="13">
        <f>VLOOKUP(E33,LevelData,4)</f>
        <v>31</v>
      </c>
      <c r="P33" s="13">
        <f>O33+VLOOKUP(M33,Size,3,0)</f>
        <v>27</v>
      </c>
      <c r="Q33" s="13">
        <f t="shared" si="2"/>
        <v>17</v>
      </c>
      <c r="R33" s="13">
        <f>VLOOKUP(E33,LevelData,2)</f>
        <v>17</v>
      </c>
      <c r="S33" s="13">
        <f t="shared" si="3"/>
        <v>17</v>
      </c>
      <c r="T33" s="2"/>
      <c r="U33" s="1"/>
      <c r="V33" s="2">
        <f t="shared" si="6"/>
        <v>25</v>
      </c>
      <c r="W33" s="1">
        <f t="shared" si="7"/>
        <v>25</v>
      </c>
      <c r="X33" s="2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2.75" customHeight="1">
      <c r="A34" s="3">
        <f t="shared" si="4"/>
        <v>33</v>
      </c>
      <c r="B34" s="4" t="s">
        <v>67</v>
      </c>
      <c r="C34" s="3">
        <v>601.0</v>
      </c>
      <c r="D34" s="4">
        <f t="shared" si="5"/>
        <v>44</v>
      </c>
      <c r="E34" s="3">
        <v>32.0</v>
      </c>
      <c r="F34" s="3">
        <f t="shared" si="1"/>
        <v>12</v>
      </c>
      <c r="G34" s="5"/>
      <c r="H34" s="5"/>
      <c r="I34" s="5"/>
      <c r="J34" s="5"/>
      <c r="K34" s="5"/>
      <c r="L34" s="5"/>
      <c r="M34" s="4" t="s">
        <v>77</v>
      </c>
      <c r="N34" s="5">
        <f>(E34-1)+VLOOKUP(M34,Size,2,0)</f>
        <v>27</v>
      </c>
      <c r="O34" s="5">
        <f>VLOOKUP(E34,LevelData,4)</f>
        <v>32</v>
      </c>
      <c r="P34" s="5">
        <f>O34+VLOOKUP(M34,Size,3,0)</f>
        <v>28</v>
      </c>
      <c r="Q34" s="5">
        <f t="shared" si="2"/>
        <v>18</v>
      </c>
      <c r="R34" s="5">
        <f>VLOOKUP(E34,LevelData,2)</f>
        <v>18</v>
      </c>
      <c r="S34" s="5">
        <f t="shared" si="3"/>
        <v>18</v>
      </c>
      <c r="T34" s="4"/>
      <c r="U34" s="3"/>
      <c r="V34" s="4">
        <f t="shared" si="6"/>
        <v>26</v>
      </c>
      <c r="W34" s="3">
        <f t="shared" si="7"/>
        <v>26</v>
      </c>
      <c r="X34" s="4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3">
        <f t="shared" si="4"/>
        <v>34</v>
      </c>
      <c r="B35" s="4"/>
      <c r="C35" s="3">
        <v>651.0</v>
      </c>
      <c r="D35" s="4">
        <f t="shared" si="5"/>
        <v>45</v>
      </c>
      <c r="E35" s="3">
        <v>33.0</v>
      </c>
      <c r="F35" s="3">
        <f t="shared" si="1"/>
        <v>12</v>
      </c>
      <c r="G35" s="5"/>
      <c r="H35" s="5"/>
      <c r="I35" s="5"/>
      <c r="J35" s="5"/>
      <c r="K35" s="5"/>
      <c r="L35" s="5"/>
      <c r="M35" s="4" t="s">
        <v>77</v>
      </c>
      <c r="N35" s="5">
        <f>(E35-1)+VLOOKUP(M35,Size,2,0)</f>
        <v>28</v>
      </c>
      <c r="O35" s="5">
        <f>VLOOKUP(E35,LevelData,4)</f>
        <v>33</v>
      </c>
      <c r="P35" s="5">
        <f>O35+VLOOKUP(M35,Size,3,0)</f>
        <v>29</v>
      </c>
      <c r="Q35" s="5">
        <f t="shared" si="2"/>
        <v>18</v>
      </c>
      <c r="R35" s="5">
        <f>VLOOKUP(E35,LevelData,2)</f>
        <v>18</v>
      </c>
      <c r="S35" s="5">
        <f t="shared" si="3"/>
        <v>18</v>
      </c>
      <c r="T35" s="4"/>
      <c r="U35" s="3"/>
      <c r="V35" s="4">
        <f t="shared" si="6"/>
        <v>26</v>
      </c>
      <c r="W35" s="3">
        <f t="shared" si="7"/>
        <v>26</v>
      </c>
      <c r="X35" s="4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3">
        <f t="shared" si="4"/>
        <v>35</v>
      </c>
      <c r="B36" s="4"/>
      <c r="C36" s="3">
        <v>701.0</v>
      </c>
      <c r="D36" s="4">
        <f t="shared" si="5"/>
        <v>46</v>
      </c>
      <c r="E36" s="3">
        <v>34.0</v>
      </c>
      <c r="F36" s="3">
        <f t="shared" si="1"/>
        <v>12</v>
      </c>
      <c r="G36" s="5"/>
      <c r="H36" s="5"/>
      <c r="I36" s="5"/>
      <c r="J36" s="5"/>
      <c r="K36" s="5"/>
      <c r="L36" s="5"/>
      <c r="M36" s="4" t="s">
        <v>77</v>
      </c>
      <c r="N36" s="5">
        <f>(E36-1)+VLOOKUP(M36,Size,2,0)</f>
        <v>29</v>
      </c>
      <c r="O36" s="5">
        <f>VLOOKUP(E36,LevelData,4)</f>
        <v>34</v>
      </c>
      <c r="P36" s="5">
        <f>O36+VLOOKUP(M36,Size,3,0)</f>
        <v>30</v>
      </c>
      <c r="Q36" s="5">
        <f t="shared" si="2"/>
        <v>19</v>
      </c>
      <c r="R36" s="5">
        <f>VLOOKUP(E36,LevelData,2)</f>
        <v>19</v>
      </c>
      <c r="S36" s="5">
        <f t="shared" si="3"/>
        <v>19</v>
      </c>
      <c r="T36" s="4"/>
      <c r="U36" s="3"/>
      <c r="V36" s="4">
        <f t="shared" si="6"/>
        <v>27</v>
      </c>
      <c r="W36" s="3">
        <f t="shared" si="7"/>
        <v>27</v>
      </c>
      <c r="X36" s="4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2.75" customHeight="1">
      <c r="A37" s="7">
        <f t="shared" si="4"/>
        <v>36</v>
      </c>
      <c r="B37" s="8"/>
      <c r="C37" s="7">
        <v>751.0</v>
      </c>
      <c r="D37" s="8">
        <f t="shared" si="5"/>
        <v>47</v>
      </c>
      <c r="E37" s="7">
        <v>34.0</v>
      </c>
      <c r="F37" s="7">
        <f t="shared" si="1"/>
        <v>13</v>
      </c>
      <c r="G37" s="9"/>
      <c r="H37" s="9"/>
      <c r="I37" s="9"/>
      <c r="J37" s="9"/>
      <c r="K37" s="9"/>
      <c r="L37" s="9"/>
      <c r="M37" s="8" t="s">
        <v>77</v>
      </c>
      <c r="N37" s="9">
        <f>(E37-1)+VLOOKUP(M37,Size,2,0)</f>
        <v>29</v>
      </c>
      <c r="O37" s="9">
        <f>VLOOKUP(E37,LevelData,4)</f>
        <v>34</v>
      </c>
      <c r="P37" s="9">
        <f>O37+VLOOKUP(M37,Size,3,0)</f>
        <v>30</v>
      </c>
      <c r="Q37" s="9">
        <f t="shared" si="2"/>
        <v>19</v>
      </c>
      <c r="R37" s="9">
        <f>VLOOKUP(E37,LevelData,2)</f>
        <v>19</v>
      </c>
      <c r="S37" s="9">
        <f t="shared" si="3"/>
        <v>19</v>
      </c>
      <c r="T37" s="8"/>
      <c r="U37" s="7"/>
      <c r="V37" s="8">
        <f t="shared" si="6"/>
        <v>27</v>
      </c>
      <c r="W37" s="7">
        <f t="shared" si="7"/>
        <v>27</v>
      </c>
      <c r="X37" s="8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ht="12.75" customHeight="1">
      <c r="A38" s="10">
        <f t="shared" si="4"/>
        <v>37</v>
      </c>
      <c r="B38" s="11" t="s">
        <v>71</v>
      </c>
      <c r="C38" s="10">
        <v>801.0</v>
      </c>
      <c r="D38" s="11">
        <f t="shared" si="5"/>
        <v>48</v>
      </c>
      <c r="E38" s="10">
        <v>35.0</v>
      </c>
      <c r="F38" s="10">
        <f t="shared" si="1"/>
        <v>13</v>
      </c>
      <c r="G38" s="12"/>
      <c r="H38" s="12"/>
      <c r="I38" s="12"/>
      <c r="J38" s="12"/>
      <c r="K38" s="12"/>
      <c r="L38" s="12"/>
      <c r="M38" s="11" t="s">
        <v>77</v>
      </c>
      <c r="N38" s="12">
        <f>(E38-1)+VLOOKUP(M38,Size,2,0)</f>
        <v>30</v>
      </c>
      <c r="O38" s="12">
        <f>VLOOKUP(E38,LevelData,4)</f>
        <v>35</v>
      </c>
      <c r="P38" s="12">
        <f>O38+VLOOKUP(M38,Size,3,0)</f>
        <v>31</v>
      </c>
      <c r="Q38" s="12">
        <f t="shared" si="2"/>
        <v>19</v>
      </c>
      <c r="R38" s="12">
        <f>VLOOKUP(E38,LevelData,2)</f>
        <v>19</v>
      </c>
      <c r="S38" s="12">
        <f t="shared" si="3"/>
        <v>19</v>
      </c>
      <c r="T38" s="11"/>
      <c r="U38" s="10"/>
      <c r="V38" s="11">
        <f t="shared" si="6"/>
        <v>27</v>
      </c>
      <c r="W38" s="10">
        <f t="shared" si="7"/>
        <v>27</v>
      </c>
      <c r="X38" s="11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2.75" customHeight="1">
      <c r="A39" s="10">
        <f t="shared" si="4"/>
        <v>38</v>
      </c>
      <c r="B39" s="11"/>
      <c r="C39" s="10">
        <v>851.0</v>
      </c>
      <c r="D39" s="11">
        <f t="shared" si="5"/>
        <v>49</v>
      </c>
      <c r="E39" s="10">
        <v>36.0</v>
      </c>
      <c r="F39" s="10">
        <f t="shared" si="1"/>
        <v>13</v>
      </c>
      <c r="G39" s="12"/>
      <c r="H39" s="12"/>
      <c r="I39" s="12"/>
      <c r="J39" s="12"/>
      <c r="K39" s="12"/>
      <c r="L39" s="12"/>
      <c r="M39" s="11" t="s">
        <v>77</v>
      </c>
      <c r="N39" s="12">
        <f>(E39-1)+VLOOKUP(M39,Size,2,0)</f>
        <v>31</v>
      </c>
      <c r="O39" s="12">
        <f>VLOOKUP(E39,LevelData,4)</f>
        <v>36</v>
      </c>
      <c r="P39" s="12">
        <f>O39+VLOOKUP(M39,Size,3,0)</f>
        <v>32</v>
      </c>
      <c r="Q39" s="12">
        <f t="shared" si="2"/>
        <v>20</v>
      </c>
      <c r="R39" s="12">
        <f>VLOOKUP(E39,LevelData,2)</f>
        <v>20</v>
      </c>
      <c r="S39" s="12">
        <f t="shared" si="3"/>
        <v>20</v>
      </c>
      <c r="T39" s="11"/>
      <c r="U39" s="10"/>
      <c r="V39" s="11">
        <f t="shared" si="6"/>
        <v>28</v>
      </c>
      <c r="W39" s="10">
        <f t="shared" si="7"/>
        <v>28</v>
      </c>
      <c r="X39" s="11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12.75" customHeight="1">
      <c r="A40" s="10">
        <f t="shared" si="4"/>
        <v>39</v>
      </c>
      <c r="B40" s="11"/>
      <c r="C40" s="10">
        <v>901.0</v>
      </c>
      <c r="D40" s="11">
        <f t="shared" si="5"/>
        <v>50</v>
      </c>
      <c r="E40" s="10">
        <v>37.0</v>
      </c>
      <c r="F40" s="10">
        <f t="shared" si="1"/>
        <v>13</v>
      </c>
      <c r="G40" s="12"/>
      <c r="H40" s="12"/>
      <c r="I40" s="12"/>
      <c r="J40" s="12"/>
      <c r="K40" s="12"/>
      <c r="L40" s="12"/>
      <c r="M40" s="11" t="s">
        <v>77</v>
      </c>
      <c r="N40" s="12">
        <f>(E40-1)+VLOOKUP(M40,Size,2,0)</f>
        <v>32</v>
      </c>
      <c r="O40" s="12">
        <f>VLOOKUP(E40,LevelData,4)</f>
        <v>37</v>
      </c>
      <c r="P40" s="12">
        <f>O40+VLOOKUP(M40,Size,3,0)</f>
        <v>33</v>
      </c>
      <c r="Q40" s="12">
        <f t="shared" si="2"/>
        <v>20</v>
      </c>
      <c r="R40" s="12">
        <f>VLOOKUP(E40,LevelData,2)</f>
        <v>20</v>
      </c>
      <c r="S40" s="12">
        <f t="shared" si="3"/>
        <v>20</v>
      </c>
      <c r="T40" s="11"/>
      <c r="U40" s="10"/>
      <c r="V40" s="11">
        <f t="shared" si="6"/>
        <v>28</v>
      </c>
      <c r="W40" s="10">
        <f t="shared" si="7"/>
        <v>28</v>
      </c>
      <c r="X40" s="11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12.75" customHeight="1">
      <c r="A41" s="1">
        <f t="shared" si="4"/>
        <v>40</v>
      </c>
      <c r="B41" s="2"/>
      <c r="C41" s="1">
        <v>851.0</v>
      </c>
      <c r="D41" s="2">
        <f t="shared" si="5"/>
        <v>51</v>
      </c>
      <c r="E41" s="1">
        <v>37.0</v>
      </c>
      <c r="F41" s="1">
        <f t="shared" si="1"/>
        <v>14</v>
      </c>
      <c r="G41" s="13"/>
      <c r="H41" s="13"/>
      <c r="I41" s="13"/>
      <c r="J41" s="13"/>
      <c r="K41" s="13"/>
      <c r="L41" s="13"/>
      <c r="M41" s="2" t="s">
        <v>77</v>
      </c>
      <c r="N41" s="13">
        <f>(E41-1)+VLOOKUP(M41,Size,2,0)</f>
        <v>32</v>
      </c>
      <c r="O41" s="13">
        <f>VLOOKUP(E41,LevelData,4)</f>
        <v>37</v>
      </c>
      <c r="P41" s="13">
        <f>O41+VLOOKUP(M41,Size,3,0)</f>
        <v>33</v>
      </c>
      <c r="Q41" s="13">
        <f t="shared" si="2"/>
        <v>20</v>
      </c>
      <c r="R41" s="13">
        <f>VLOOKUP(E41,LevelData,2)</f>
        <v>20</v>
      </c>
      <c r="S41" s="13">
        <f t="shared" si="3"/>
        <v>20</v>
      </c>
      <c r="T41" s="2"/>
      <c r="U41" s="1"/>
      <c r="V41" s="2">
        <f t="shared" si="6"/>
        <v>28</v>
      </c>
      <c r="W41" s="1">
        <f t="shared" si="7"/>
        <v>28</v>
      </c>
      <c r="X41" s="2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2.75" customHeight="1">
      <c r="A42" s="3">
        <f t="shared" si="4"/>
        <v>41</v>
      </c>
      <c r="B42" s="4" t="s">
        <v>76</v>
      </c>
      <c r="C42" s="3">
        <v>1001.0</v>
      </c>
      <c r="D42" s="4">
        <f t="shared" si="5"/>
        <v>52</v>
      </c>
      <c r="E42" s="3">
        <v>38.0</v>
      </c>
      <c r="F42" s="3">
        <f t="shared" si="1"/>
        <v>14</v>
      </c>
      <c r="G42" s="5"/>
      <c r="H42" s="5"/>
      <c r="I42" s="5"/>
      <c r="J42" s="5"/>
      <c r="K42" s="5"/>
      <c r="L42" s="5"/>
      <c r="M42" s="4" t="s">
        <v>162</v>
      </c>
      <c r="N42" s="5">
        <f>(E42-1)+VLOOKUP(M42,Size,2,0)</f>
        <v>29</v>
      </c>
      <c r="O42" s="5">
        <f>VLOOKUP(E42,LevelData,4)</f>
        <v>38</v>
      </c>
      <c r="P42" s="5">
        <f>O42+VLOOKUP(M42,Size,3,0)</f>
        <v>30</v>
      </c>
      <c r="Q42" s="5">
        <f t="shared" si="2"/>
        <v>21</v>
      </c>
      <c r="R42" s="5">
        <f>VLOOKUP(E42,LevelData,2)</f>
        <v>21</v>
      </c>
      <c r="S42" s="5">
        <f t="shared" si="3"/>
        <v>21</v>
      </c>
      <c r="T42" s="4"/>
      <c r="U42" s="3"/>
      <c r="V42" s="4">
        <f t="shared" si="6"/>
        <v>29</v>
      </c>
      <c r="W42" s="3">
        <f t="shared" si="7"/>
        <v>29</v>
      </c>
      <c r="X42" s="4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3">
        <f t="shared" si="4"/>
        <v>42</v>
      </c>
      <c r="B43" s="4"/>
      <c r="C43" s="3">
        <v>1051.0</v>
      </c>
      <c r="D43" s="4">
        <f t="shared" si="5"/>
        <v>53</v>
      </c>
      <c r="E43" s="3">
        <v>39.0</v>
      </c>
      <c r="F43" s="3">
        <f t="shared" si="1"/>
        <v>14</v>
      </c>
      <c r="G43" s="5"/>
      <c r="H43" s="5"/>
      <c r="I43" s="5"/>
      <c r="J43" s="5"/>
      <c r="K43" s="5"/>
      <c r="L43" s="5"/>
      <c r="M43" s="4" t="s">
        <v>162</v>
      </c>
      <c r="N43" s="5">
        <f>(E43-1)+VLOOKUP(M43,Size,2,0)</f>
        <v>30</v>
      </c>
      <c r="O43" s="5">
        <f>VLOOKUP(E43,LevelData,4)</f>
        <v>39</v>
      </c>
      <c r="P43" s="5">
        <f>O43+VLOOKUP(M43,Size,3,0)</f>
        <v>31</v>
      </c>
      <c r="Q43" s="5">
        <f t="shared" si="2"/>
        <v>21</v>
      </c>
      <c r="R43" s="5">
        <f>VLOOKUP(E43,LevelData,2)</f>
        <v>21</v>
      </c>
      <c r="S43" s="5">
        <f t="shared" si="3"/>
        <v>21</v>
      </c>
      <c r="T43" s="4"/>
      <c r="U43" s="3"/>
      <c r="V43" s="4">
        <f t="shared" si="6"/>
        <v>29</v>
      </c>
      <c r="W43" s="3">
        <f t="shared" si="7"/>
        <v>29</v>
      </c>
      <c r="X43" s="4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3">
        <f t="shared" si="4"/>
        <v>43</v>
      </c>
      <c r="B44" s="4"/>
      <c r="C44" s="3">
        <v>1101.0</v>
      </c>
      <c r="D44" s="4">
        <f t="shared" si="5"/>
        <v>54</v>
      </c>
      <c r="E44" s="3">
        <v>40.0</v>
      </c>
      <c r="F44" s="3">
        <f t="shared" si="1"/>
        <v>14</v>
      </c>
      <c r="G44" s="5"/>
      <c r="H44" s="5"/>
      <c r="I44" s="5"/>
      <c r="J44" s="5"/>
      <c r="K44" s="5"/>
      <c r="L44" s="5"/>
      <c r="M44" s="4" t="s">
        <v>162</v>
      </c>
      <c r="N44" s="5">
        <f>(E44-1)+VLOOKUP(M44,Size,2,0)</f>
        <v>31</v>
      </c>
      <c r="O44" s="5">
        <f>VLOOKUP(E44,LevelData,4)</f>
        <v>40</v>
      </c>
      <c r="P44" s="5">
        <f>O44+VLOOKUP(M44,Size,3,0)</f>
        <v>32</v>
      </c>
      <c r="Q44" s="5">
        <f t="shared" si="2"/>
        <v>22</v>
      </c>
      <c r="R44" s="5">
        <f>VLOOKUP(E44,LevelData,2)</f>
        <v>22</v>
      </c>
      <c r="S44" s="5">
        <f t="shared" si="3"/>
        <v>22</v>
      </c>
      <c r="T44" s="4"/>
      <c r="U44" s="3"/>
      <c r="V44" s="4">
        <f t="shared" si="6"/>
        <v>30</v>
      </c>
      <c r="W44" s="3">
        <f t="shared" si="7"/>
        <v>30</v>
      </c>
      <c r="X44" s="4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12.75" customHeight="1">
      <c r="A45" s="7">
        <f t="shared" si="4"/>
        <v>44</v>
      </c>
      <c r="B45" s="8"/>
      <c r="C45" s="7">
        <v>1151.0</v>
      </c>
      <c r="D45" s="8">
        <f t="shared" si="5"/>
        <v>55</v>
      </c>
      <c r="E45" s="7">
        <v>40.0</v>
      </c>
      <c r="F45" s="7">
        <f t="shared" si="1"/>
        <v>15</v>
      </c>
      <c r="G45" s="9"/>
      <c r="H45" s="9"/>
      <c r="I45" s="9"/>
      <c r="J45" s="9"/>
      <c r="K45" s="9"/>
      <c r="L45" s="9"/>
      <c r="M45" s="8" t="s">
        <v>162</v>
      </c>
      <c r="N45" s="9">
        <f>(E45-1)+VLOOKUP(M45,Size,2,0)</f>
        <v>31</v>
      </c>
      <c r="O45" s="9">
        <f>VLOOKUP(E45,LevelData,4)</f>
        <v>40</v>
      </c>
      <c r="P45" s="9">
        <f>O45+VLOOKUP(M45,Size,3,0)</f>
        <v>32</v>
      </c>
      <c r="Q45" s="9">
        <f t="shared" si="2"/>
        <v>22</v>
      </c>
      <c r="R45" s="9">
        <f>VLOOKUP(E45,LevelData,2)</f>
        <v>22</v>
      </c>
      <c r="S45" s="9">
        <f t="shared" si="3"/>
        <v>22</v>
      </c>
      <c r="T45" s="8"/>
      <c r="U45" s="7"/>
      <c r="V45" s="8">
        <f t="shared" si="6"/>
        <v>30</v>
      </c>
      <c r="W45" s="7">
        <f t="shared" si="7"/>
        <v>30</v>
      </c>
      <c r="X45" s="8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12.75" customHeight="1">
      <c r="A46" s="10">
        <f t="shared" si="4"/>
        <v>45</v>
      </c>
      <c r="B46" s="11" t="s">
        <v>81</v>
      </c>
      <c r="C46" s="10">
        <v>1201.0</v>
      </c>
      <c r="D46" s="11">
        <f t="shared" si="5"/>
        <v>56</v>
      </c>
      <c r="E46" s="10">
        <v>41.0</v>
      </c>
      <c r="F46" s="10">
        <f t="shared" si="1"/>
        <v>15</v>
      </c>
      <c r="G46" s="12"/>
      <c r="H46" s="12"/>
      <c r="I46" s="12"/>
      <c r="J46" s="12"/>
      <c r="K46" s="12"/>
      <c r="L46" s="12"/>
      <c r="M46" s="11" t="s">
        <v>162</v>
      </c>
      <c r="N46" s="12">
        <f>(E46-1)+VLOOKUP(M46,Size,2,0)</f>
        <v>32</v>
      </c>
      <c r="O46" s="12">
        <f>VLOOKUP(E46,LevelData,4)</f>
        <v>41</v>
      </c>
      <c r="P46" s="12">
        <f>O46+VLOOKUP(M46,Size,3,0)</f>
        <v>33</v>
      </c>
      <c r="Q46" s="12">
        <f t="shared" si="2"/>
        <v>22</v>
      </c>
      <c r="R46" s="12">
        <f>VLOOKUP(E46,LevelData,2)</f>
        <v>22</v>
      </c>
      <c r="S46" s="12">
        <f t="shared" si="3"/>
        <v>22</v>
      </c>
      <c r="T46" s="11"/>
      <c r="U46" s="10"/>
      <c r="V46" s="11">
        <f t="shared" si="6"/>
        <v>30</v>
      </c>
      <c r="W46" s="10">
        <f t="shared" si="7"/>
        <v>30</v>
      </c>
      <c r="X46" s="11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2.75" customHeight="1">
      <c r="A47" s="10">
        <f t="shared" si="4"/>
        <v>46</v>
      </c>
      <c r="B47" s="11"/>
      <c r="C47" s="10" t="s">
        <v>84</v>
      </c>
      <c r="D47" s="11">
        <f t="shared" si="5"/>
        <v>57</v>
      </c>
      <c r="E47" s="10">
        <v>42.0</v>
      </c>
      <c r="F47" s="10">
        <f t="shared" si="1"/>
        <v>15</v>
      </c>
      <c r="G47" s="12"/>
      <c r="H47" s="12"/>
      <c r="I47" s="12"/>
      <c r="J47" s="12"/>
      <c r="K47" s="12"/>
      <c r="L47" s="12"/>
      <c r="M47" s="11" t="s">
        <v>162</v>
      </c>
      <c r="N47" s="12">
        <f>(E47-1)+VLOOKUP(M47,Size,2,0)</f>
        <v>33</v>
      </c>
      <c r="O47" s="12">
        <f>VLOOKUP(E47,LevelData,4)</f>
        <v>42</v>
      </c>
      <c r="P47" s="12">
        <f>O47+VLOOKUP(M47,Size,3,0)</f>
        <v>34</v>
      </c>
      <c r="Q47" s="12">
        <f t="shared" si="2"/>
        <v>23</v>
      </c>
      <c r="R47" s="12">
        <f>VLOOKUP(E47,LevelData,2)</f>
        <v>23</v>
      </c>
      <c r="S47" s="12">
        <f t="shared" si="3"/>
        <v>23</v>
      </c>
      <c r="T47" s="11"/>
      <c r="U47" s="10"/>
      <c r="V47" s="11">
        <f t="shared" si="6"/>
        <v>31</v>
      </c>
      <c r="W47" s="10">
        <f t="shared" si="7"/>
        <v>31</v>
      </c>
      <c r="X47" s="11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12.75" customHeight="1">
      <c r="A48" s="10">
        <f t="shared" si="4"/>
        <v>47</v>
      </c>
      <c r="B48" s="11"/>
      <c r="C48" s="10" t="s">
        <v>86</v>
      </c>
      <c r="D48" s="11">
        <f t="shared" si="5"/>
        <v>58</v>
      </c>
      <c r="E48" s="10">
        <v>43.0</v>
      </c>
      <c r="F48" s="10">
        <f t="shared" si="1"/>
        <v>15</v>
      </c>
      <c r="G48" s="12"/>
      <c r="H48" s="12"/>
      <c r="I48" s="12"/>
      <c r="J48" s="12"/>
      <c r="K48" s="12"/>
      <c r="L48" s="12"/>
      <c r="M48" s="11" t="s">
        <v>162</v>
      </c>
      <c r="N48" s="12">
        <f>(E48-1)+VLOOKUP(M48,Size,2,0)</f>
        <v>34</v>
      </c>
      <c r="O48" s="12">
        <f>VLOOKUP(E48,LevelData,4)</f>
        <v>43</v>
      </c>
      <c r="P48" s="12">
        <f>O48+VLOOKUP(M48,Size,3,0)</f>
        <v>35</v>
      </c>
      <c r="Q48" s="12">
        <f t="shared" si="2"/>
        <v>23</v>
      </c>
      <c r="R48" s="12">
        <f>VLOOKUP(E48,LevelData,2)</f>
        <v>23</v>
      </c>
      <c r="S48" s="12">
        <f t="shared" si="3"/>
        <v>23</v>
      </c>
      <c r="T48" s="11"/>
      <c r="U48" s="10"/>
      <c r="V48" s="11">
        <f t="shared" si="6"/>
        <v>31</v>
      </c>
      <c r="W48" s="10">
        <f t="shared" si="7"/>
        <v>31</v>
      </c>
      <c r="X48" s="11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12.75" customHeight="1">
      <c r="A49" s="1">
        <f t="shared" si="4"/>
        <v>48</v>
      </c>
      <c r="B49" s="2"/>
      <c r="C49" s="1" t="s">
        <v>88</v>
      </c>
      <c r="D49" s="2">
        <f t="shared" si="5"/>
        <v>59</v>
      </c>
      <c r="E49" s="1">
        <v>43.0</v>
      </c>
      <c r="F49" s="1">
        <f t="shared" si="1"/>
        <v>16</v>
      </c>
      <c r="G49" s="13"/>
      <c r="H49" s="13"/>
      <c r="I49" s="13"/>
      <c r="J49" s="13"/>
      <c r="K49" s="13"/>
      <c r="L49" s="13"/>
      <c r="M49" s="2" t="s">
        <v>162</v>
      </c>
      <c r="N49" s="13">
        <f>(E49-1)+VLOOKUP(M49,Size,2,0)</f>
        <v>34</v>
      </c>
      <c r="O49" s="13">
        <f>VLOOKUP(E49,LevelData,4)</f>
        <v>43</v>
      </c>
      <c r="P49" s="13">
        <f>O49+VLOOKUP(M49,Size,3,0)</f>
        <v>35</v>
      </c>
      <c r="Q49" s="13">
        <f t="shared" si="2"/>
        <v>23</v>
      </c>
      <c r="R49" s="13">
        <f>VLOOKUP(E49,LevelData,2)</f>
        <v>23</v>
      </c>
      <c r="S49" s="13">
        <f t="shared" si="3"/>
        <v>23</v>
      </c>
      <c r="T49" s="2"/>
      <c r="U49" s="1"/>
      <c r="V49" s="2">
        <f t="shared" si="6"/>
        <v>31</v>
      </c>
      <c r="W49" s="1">
        <f t="shared" si="7"/>
        <v>31</v>
      </c>
      <c r="X49" s="2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2.75" customHeight="1">
      <c r="A50" s="3">
        <f t="shared" si="4"/>
        <v>49</v>
      </c>
      <c r="B50" s="4" t="s">
        <v>89</v>
      </c>
      <c r="C50" s="3" t="s">
        <v>90</v>
      </c>
      <c r="D50" s="4">
        <f t="shared" si="5"/>
        <v>60</v>
      </c>
      <c r="E50" s="3">
        <v>44.0</v>
      </c>
      <c r="F50" s="3">
        <f t="shared" si="1"/>
        <v>16</v>
      </c>
      <c r="G50" s="5"/>
      <c r="H50" s="5"/>
      <c r="I50" s="5"/>
      <c r="J50" s="5"/>
      <c r="K50" s="5"/>
      <c r="L50" s="5"/>
      <c r="M50" s="4" t="s">
        <v>162</v>
      </c>
      <c r="N50" s="5">
        <f>(E50-1)+VLOOKUP(M50,Size,2,0)</f>
        <v>35</v>
      </c>
      <c r="O50" s="5">
        <f>VLOOKUP(E50,LevelData,4)</f>
        <v>44</v>
      </c>
      <c r="P50" s="5">
        <f>O50+VLOOKUP(M50,Size,3,0)</f>
        <v>36</v>
      </c>
      <c r="Q50" s="5">
        <f t="shared" si="2"/>
        <v>24</v>
      </c>
      <c r="R50" s="5">
        <f>VLOOKUP(E50,LevelData,2)</f>
        <v>24</v>
      </c>
      <c r="S50" s="5">
        <f t="shared" si="3"/>
        <v>24</v>
      </c>
      <c r="T50" s="4"/>
      <c r="U50" s="3"/>
      <c r="V50" s="4">
        <f t="shared" si="6"/>
        <v>32</v>
      </c>
      <c r="W50" s="3">
        <f t="shared" si="7"/>
        <v>32</v>
      </c>
      <c r="X50" s="4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12.75" customHeight="1">
      <c r="A51" s="10"/>
      <c r="B51" s="11"/>
      <c r="C51" s="10"/>
      <c r="D51" s="11"/>
      <c r="E51" s="10"/>
      <c r="F51" s="10"/>
      <c r="G51" s="11"/>
      <c r="H51" s="11"/>
      <c r="I51" s="11"/>
      <c r="J51" s="11"/>
      <c r="K51" s="11"/>
      <c r="L51" s="11"/>
      <c r="M51" s="14" t="str">
        <f>HYPERLINK("http://www.geocities.com/galliard6/dragons_sheet.html","Back")</f>
        <v>Back</v>
      </c>
      <c r="N51" s="11"/>
      <c r="O51" s="11"/>
      <c r="P51" s="11"/>
      <c r="Q51" s="11"/>
      <c r="R51" s="11"/>
      <c r="S51" s="11"/>
      <c r="T51" s="11"/>
      <c r="U51" s="10"/>
      <c r="V51" s="11"/>
      <c r="W51" s="10"/>
      <c r="X51" s="1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2.75" customHeight="1">
      <c r="A52" s="10"/>
      <c r="B52" s="11"/>
      <c r="C52" s="10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/>
      <c r="V52" s="11"/>
      <c r="W52" s="10"/>
      <c r="X52" s="1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2.75" customHeight="1">
      <c r="A53" s="10"/>
      <c r="B53" s="11"/>
      <c r="C53" s="10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/>
      <c r="V53" s="11"/>
      <c r="W53" s="10"/>
      <c r="X53" s="11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2.75" customHeight="1">
      <c r="A54" s="10"/>
      <c r="B54" s="11"/>
      <c r="C54" s="10"/>
      <c r="D54" s="11"/>
      <c r="E54" s="10"/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1"/>
      <c r="W54" s="10"/>
      <c r="X54" s="11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2.75" customHeight="1">
      <c r="A55" s="10"/>
      <c r="B55" s="11"/>
      <c r="C55" s="10"/>
      <c r="D55" s="11"/>
      <c r="E55" s="10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/>
      <c r="V55" s="11"/>
      <c r="W55" s="10"/>
      <c r="X55" s="11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2.75" customHeight="1">
      <c r="A56" s="10"/>
      <c r="B56" s="11"/>
      <c r="C56" s="10"/>
      <c r="D56" s="11"/>
      <c r="E56" s="10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/>
      <c r="V56" s="11"/>
      <c r="W56" s="10"/>
      <c r="X56" s="11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2.75" customHeight="1">
      <c r="A57" s="10"/>
      <c r="B57" s="11"/>
      <c r="C57" s="10"/>
      <c r="D57" s="11"/>
      <c r="E57" s="10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/>
      <c r="V57" s="11"/>
      <c r="W57" s="10"/>
      <c r="X57" s="11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2.75" customHeight="1">
      <c r="A58" s="10"/>
      <c r="B58" s="11"/>
      <c r="C58" s="10"/>
      <c r="D58" s="11"/>
      <c r="E58" s="10"/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/>
      <c r="V58" s="11"/>
      <c r="W58" s="10"/>
      <c r="X58" s="11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2.75" customHeight="1">
      <c r="A59" s="10"/>
      <c r="B59" s="11"/>
      <c r="C59" s="10"/>
      <c r="D59" s="11"/>
      <c r="E59" s="10"/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/>
      <c r="V59" s="11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2.75" customHeight="1">
      <c r="A60" s="10"/>
      <c r="B60" s="11"/>
      <c r="C60" s="10"/>
      <c r="D60" s="11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/>
      <c r="V60" s="11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2.75" customHeight="1">
      <c r="A61" s="10"/>
      <c r="B61" s="11"/>
      <c r="C61" s="10"/>
      <c r="D61" s="11"/>
      <c r="E61" s="10"/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/>
      <c r="V61" s="11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2.75" customHeight="1">
      <c r="A62" s="10"/>
      <c r="B62" s="11"/>
      <c r="C62" s="10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/>
      <c r="V62" s="11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2.75" customHeight="1">
      <c r="A63" s="10"/>
      <c r="B63" s="11"/>
      <c r="C63" s="10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2.75" customHeight="1">
      <c r="A64" s="10"/>
      <c r="B64" s="11"/>
      <c r="C64" s="10"/>
      <c r="D64" s="11"/>
      <c r="E64" s="10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2.75" customHeight="1">
      <c r="A65" s="10"/>
      <c r="B65" s="11"/>
      <c r="C65" s="10"/>
      <c r="D65" s="11"/>
      <c r="E65" s="10"/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2.75" customHeight="1">
      <c r="A66" s="10"/>
      <c r="B66" s="11"/>
      <c r="C66" s="10"/>
      <c r="D66" s="11"/>
      <c r="E66" s="10"/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2.75" customHeight="1">
      <c r="A67" s="10"/>
      <c r="B67" s="11"/>
      <c r="C67" s="10"/>
      <c r="D67" s="11"/>
      <c r="E67" s="10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2.75" customHeight="1">
      <c r="A68" s="10"/>
      <c r="B68" s="11"/>
      <c r="C68" s="10"/>
      <c r="D68" s="11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2.75" customHeight="1">
      <c r="A69" s="10"/>
      <c r="B69" s="11"/>
      <c r="C69" s="10"/>
      <c r="D69" s="11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2.75" customHeight="1">
      <c r="A70" s="10"/>
      <c r="B70" s="11"/>
      <c r="C70" s="10"/>
      <c r="D70" s="11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2.75" customHeight="1">
      <c r="A71" s="10"/>
      <c r="B71" s="11"/>
      <c r="C71" s="10"/>
      <c r="D71" s="11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2.75" customHeight="1">
      <c r="A72" s="10"/>
      <c r="B72" s="11"/>
      <c r="C72" s="10"/>
      <c r="D72" s="11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2.75" customHeight="1">
      <c r="A73" s="10"/>
      <c r="B73" s="11"/>
      <c r="C73" s="10"/>
      <c r="D73" s="11"/>
      <c r="E73" s="10"/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2.75" customHeight="1">
      <c r="A74" s="10"/>
      <c r="B74" s="11"/>
      <c r="C74" s="10"/>
      <c r="D74" s="11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2.75" customHeight="1">
      <c r="A75" s="10"/>
      <c r="B75" s="11"/>
      <c r="C75" s="10"/>
      <c r="D75" s="11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2.75" customHeight="1">
      <c r="A76" s="10"/>
      <c r="B76" s="11"/>
      <c r="C76" s="10"/>
      <c r="D76" s="11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2.75" customHeight="1">
      <c r="A77" s="10"/>
      <c r="B77" s="11"/>
      <c r="C77" s="10"/>
      <c r="D77" s="11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2.75" customHeight="1">
      <c r="A78" s="10"/>
      <c r="B78" s="11"/>
      <c r="C78" s="10"/>
      <c r="D78" s="11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2.75" customHeight="1">
      <c r="A79" s="10"/>
      <c r="B79" s="11"/>
      <c r="C79" s="10"/>
      <c r="D79" s="11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2.75" customHeight="1">
      <c r="A80" s="10"/>
      <c r="B80" s="11"/>
      <c r="C80" s="10"/>
      <c r="D80" s="11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2.75" customHeight="1">
      <c r="A81" s="10"/>
      <c r="B81" s="11"/>
      <c r="C81" s="10"/>
      <c r="D81" s="11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2.75" customHeight="1">
      <c r="A82" s="10"/>
      <c r="B82" s="11"/>
      <c r="C82" s="10"/>
      <c r="D82" s="11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2.75" customHeight="1">
      <c r="A83" s="10"/>
      <c r="B83" s="11"/>
      <c r="C83" s="10"/>
      <c r="D83" s="11"/>
      <c r="E83" s="10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2.75" customHeight="1">
      <c r="A84" s="10"/>
      <c r="B84" s="11"/>
      <c r="C84" s="10"/>
      <c r="D84" s="11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2.75" customHeight="1">
      <c r="A85" s="10"/>
      <c r="B85" s="11"/>
      <c r="C85" s="10"/>
      <c r="D85" s="11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2.75" customHeight="1">
      <c r="A86" s="10"/>
      <c r="B86" s="11"/>
      <c r="C86" s="10"/>
      <c r="D86" s="11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2.75" customHeight="1">
      <c r="A87" s="10"/>
      <c r="B87" s="11"/>
      <c r="C87" s="10"/>
      <c r="D87" s="11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2.75" customHeight="1">
      <c r="A88" s="10"/>
      <c r="B88" s="11"/>
      <c r="C88" s="10"/>
      <c r="D88" s="11"/>
      <c r="E88" s="10"/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2.75" customHeight="1">
      <c r="A89" s="10"/>
      <c r="B89" s="11"/>
      <c r="C89" s="10"/>
      <c r="D89" s="11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2.75" customHeight="1">
      <c r="A90" s="10"/>
      <c r="B90" s="11"/>
      <c r="C90" s="10"/>
      <c r="D90" s="11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2.75" customHeight="1">
      <c r="A91" s="10"/>
      <c r="B91" s="11"/>
      <c r="C91" s="10"/>
      <c r="D91" s="11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2.75" customHeight="1">
      <c r="A92" s="10"/>
      <c r="B92" s="11"/>
      <c r="C92" s="10"/>
      <c r="D92" s="11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2.75" customHeight="1">
      <c r="A93" s="10"/>
      <c r="B93" s="11"/>
      <c r="C93" s="10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2.75" customHeight="1">
      <c r="A94" s="10"/>
      <c r="B94" s="11"/>
      <c r="C94" s="10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2.75" customHeight="1">
      <c r="A95" s="10"/>
      <c r="B95" s="11"/>
      <c r="C95" s="10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2.75" customHeight="1">
      <c r="A96" s="10"/>
      <c r="B96" s="11"/>
      <c r="C96" s="10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2.75" customHeight="1">
      <c r="A97" s="10"/>
      <c r="B97" s="11"/>
      <c r="C97" s="10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2.75" customHeight="1">
      <c r="A98" s="10"/>
      <c r="B98" s="11"/>
      <c r="C98" s="10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2.75" customHeight="1">
      <c r="A99" s="10"/>
      <c r="B99" s="11"/>
      <c r="C99" s="10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2.75" customHeight="1">
      <c r="A100" s="10"/>
      <c r="B100" s="11"/>
      <c r="C100" s="10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2.75" customHeight="1">
      <c r="A101" s="10"/>
      <c r="B101" s="11"/>
      <c r="C101" s="10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2.75" customHeight="1">
      <c r="A102" s="10"/>
      <c r="B102" s="11"/>
      <c r="C102" s="10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2.75" customHeight="1">
      <c r="A103" s="10"/>
      <c r="B103" s="11"/>
      <c r="C103" s="10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2.75" customHeight="1">
      <c r="A104" s="10"/>
      <c r="B104" s="11"/>
      <c r="C104" s="10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2.75" customHeight="1">
      <c r="A105" s="10"/>
      <c r="B105" s="11"/>
      <c r="C105" s="10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2.75" customHeight="1">
      <c r="A106" s="10"/>
      <c r="B106" s="11"/>
      <c r="C106" s="10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2.75" customHeight="1">
      <c r="A107" s="10"/>
      <c r="B107" s="11"/>
      <c r="C107" s="10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2.75" customHeight="1">
      <c r="A108" s="10"/>
      <c r="B108" s="11"/>
      <c r="C108" s="10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2.75" customHeight="1">
      <c r="A109" s="10"/>
      <c r="B109" s="11"/>
      <c r="C109" s="10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2.75" customHeight="1">
      <c r="A110" s="10"/>
      <c r="B110" s="11"/>
      <c r="C110" s="10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2.75" customHeight="1">
      <c r="A111" s="10"/>
      <c r="B111" s="11"/>
      <c r="C111" s="10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2.75" customHeight="1">
      <c r="A112" s="10"/>
      <c r="B112" s="11"/>
      <c r="C112" s="10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2.75" customHeight="1">
      <c r="A113" s="10"/>
      <c r="B113" s="11"/>
      <c r="C113" s="10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2.75" customHeight="1">
      <c r="A114" s="10"/>
      <c r="B114" s="11"/>
      <c r="C114" s="10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2.75" customHeight="1">
      <c r="A115" s="10"/>
      <c r="B115" s="11"/>
      <c r="C115" s="10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2.75" customHeight="1">
      <c r="A116" s="10"/>
      <c r="B116" s="11"/>
      <c r="C116" s="10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2.75" customHeight="1">
      <c r="A117" s="10"/>
      <c r="B117" s="11"/>
      <c r="C117" s="10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2.75" customHeight="1">
      <c r="A118" s="10"/>
      <c r="B118" s="11"/>
      <c r="C118" s="10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2.75" customHeight="1">
      <c r="A119" s="10"/>
      <c r="B119" s="11"/>
      <c r="C119" s="10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2.75" customHeight="1">
      <c r="A120" s="10"/>
      <c r="B120" s="11"/>
      <c r="C120" s="10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2.75" customHeight="1">
      <c r="A121" s="10"/>
      <c r="B121" s="11"/>
      <c r="C121" s="10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2.75" customHeight="1">
      <c r="A122" s="10"/>
      <c r="B122" s="11"/>
      <c r="C122" s="10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2.75" customHeight="1">
      <c r="A123" s="10"/>
      <c r="B123" s="11"/>
      <c r="C123" s="10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2.75" customHeight="1">
      <c r="A124" s="10"/>
      <c r="B124" s="11"/>
      <c r="C124" s="10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2.75" customHeight="1">
      <c r="A125" s="10"/>
      <c r="B125" s="11"/>
      <c r="C125" s="10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2.75" customHeight="1">
      <c r="A126" s="10"/>
      <c r="B126" s="11"/>
      <c r="C126" s="10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2.75" customHeight="1">
      <c r="A127" s="10"/>
      <c r="B127" s="11"/>
      <c r="C127" s="10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2.75" customHeight="1">
      <c r="A128" s="10"/>
      <c r="B128" s="11"/>
      <c r="C128" s="10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2.75" customHeight="1">
      <c r="A129" s="10"/>
      <c r="B129" s="11"/>
      <c r="C129" s="10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2.75" customHeight="1">
      <c r="A130" s="10"/>
      <c r="B130" s="11"/>
      <c r="C130" s="10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2.75" customHeight="1">
      <c r="A131" s="10"/>
      <c r="B131" s="11"/>
      <c r="C131" s="10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2.75" customHeight="1">
      <c r="A132" s="10"/>
      <c r="B132" s="11"/>
      <c r="C132" s="10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2.75" customHeight="1">
      <c r="A133" s="10"/>
      <c r="B133" s="11"/>
      <c r="C133" s="10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2.75" customHeight="1">
      <c r="A134" s="10"/>
      <c r="B134" s="11"/>
      <c r="C134" s="10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2.75" customHeight="1">
      <c r="A135" s="10"/>
      <c r="B135" s="11"/>
      <c r="C135" s="10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2.75" customHeight="1">
      <c r="A136" s="10"/>
      <c r="B136" s="11"/>
      <c r="C136" s="10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2.75" customHeight="1">
      <c r="A137" s="10"/>
      <c r="B137" s="11"/>
      <c r="C137" s="10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2.75" customHeight="1">
      <c r="A138" s="10"/>
      <c r="B138" s="11"/>
      <c r="C138" s="10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2.75" customHeight="1">
      <c r="A139" s="10"/>
      <c r="B139" s="11"/>
      <c r="C139" s="10"/>
      <c r="D139" s="11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2.75" customHeight="1">
      <c r="A140" s="10"/>
      <c r="B140" s="11"/>
      <c r="C140" s="10"/>
      <c r="D140" s="11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2.75" customHeight="1">
      <c r="A141" s="10"/>
      <c r="B141" s="11"/>
      <c r="C141" s="10"/>
      <c r="D141" s="11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2.75" customHeight="1">
      <c r="A142" s="10"/>
      <c r="B142" s="11"/>
      <c r="C142" s="10"/>
      <c r="D142" s="11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2.75" customHeight="1">
      <c r="A143" s="10"/>
      <c r="B143" s="11"/>
      <c r="C143" s="10"/>
      <c r="D143" s="11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2.75" customHeight="1">
      <c r="A144" s="10"/>
      <c r="B144" s="11"/>
      <c r="C144" s="10"/>
      <c r="D144" s="11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2.75" customHeight="1">
      <c r="A145" s="10"/>
      <c r="B145" s="11"/>
      <c r="C145" s="10"/>
      <c r="D145" s="11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/>
      <c r="V145" s="11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2.75" customHeight="1">
      <c r="A146" s="10"/>
      <c r="B146" s="11"/>
      <c r="C146" s="10"/>
      <c r="D146" s="11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/>
      <c r="V146" s="11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2.75" customHeight="1">
      <c r="A147" s="10"/>
      <c r="B147" s="11"/>
      <c r="C147" s="10"/>
      <c r="D147" s="11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/>
      <c r="V147" s="11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2.75" customHeight="1">
      <c r="A148" s="10"/>
      <c r="B148" s="11"/>
      <c r="C148" s="10"/>
      <c r="D148" s="11"/>
      <c r="E148" s="10"/>
      <c r="F148" s="1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/>
      <c r="V148" s="11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2.75" customHeight="1">
      <c r="A149" s="10"/>
      <c r="B149" s="11"/>
      <c r="C149" s="10"/>
      <c r="D149" s="11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2.75" customHeight="1">
      <c r="A150" s="10"/>
      <c r="B150" s="11"/>
      <c r="C150" s="10"/>
      <c r="D150" s="11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2.75" customHeight="1">
      <c r="A151" s="10"/>
      <c r="B151" s="11"/>
      <c r="C151" s="10"/>
      <c r="D151" s="11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2.75" customHeight="1">
      <c r="A152" s="10"/>
      <c r="B152" s="11"/>
      <c r="C152" s="10"/>
      <c r="D152" s="11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2.75" customHeight="1">
      <c r="A153" s="10"/>
      <c r="B153" s="11"/>
      <c r="C153" s="10"/>
      <c r="D153" s="11"/>
      <c r="E153" s="10"/>
      <c r="F153" s="1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2.75" customHeight="1">
      <c r="A154" s="10"/>
      <c r="B154" s="11"/>
      <c r="C154" s="10"/>
      <c r="D154" s="11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2.75" customHeight="1">
      <c r="A155" s="10"/>
      <c r="B155" s="11"/>
      <c r="C155" s="10"/>
      <c r="D155" s="11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  <c r="W155" s="10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2.75" customHeight="1">
      <c r="A156" s="10"/>
      <c r="B156" s="11"/>
      <c r="C156" s="10"/>
      <c r="D156" s="11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  <c r="W156" s="10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2.75" customHeight="1">
      <c r="A157" s="10"/>
      <c r="B157" s="11"/>
      <c r="C157" s="10"/>
      <c r="D157" s="11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  <c r="W157" s="10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2.75" customHeight="1">
      <c r="A158" s="10"/>
      <c r="B158" s="11"/>
      <c r="C158" s="10"/>
      <c r="D158" s="11"/>
      <c r="E158" s="10"/>
      <c r="F158" s="1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  <c r="W158" s="10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2.75" customHeight="1">
      <c r="A159" s="10"/>
      <c r="B159" s="11"/>
      <c r="C159" s="10"/>
      <c r="D159" s="11"/>
      <c r="E159" s="10"/>
      <c r="F159" s="1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2.75" customHeight="1">
      <c r="A160" s="10"/>
      <c r="B160" s="11"/>
      <c r="C160" s="10"/>
      <c r="D160" s="11"/>
      <c r="E160" s="10"/>
      <c r="F160" s="1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  <c r="W160" s="10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2.75" customHeight="1">
      <c r="A161" s="10"/>
      <c r="B161" s="11"/>
      <c r="C161" s="10"/>
      <c r="D161" s="11"/>
      <c r="E161" s="10"/>
      <c r="F161" s="1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/>
      <c r="V161" s="11"/>
      <c r="W161" s="10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2.75" customHeight="1">
      <c r="A162" s="10"/>
      <c r="B162" s="11"/>
      <c r="C162" s="10"/>
      <c r="D162" s="11"/>
      <c r="E162" s="10"/>
      <c r="F162" s="1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/>
      <c r="V162" s="11"/>
      <c r="W162" s="10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2.75" customHeight="1">
      <c r="A163" s="10"/>
      <c r="B163" s="11"/>
      <c r="C163" s="10"/>
      <c r="D163" s="11"/>
      <c r="E163" s="10"/>
      <c r="F163" s="1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/>
      <c r="V163" s="11"/>
      <c r="W163" s="10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2.75" customHeight="1">
      <c r="A164" s="10"/>
      <c r="B164" s="11"/>
      <c r="C164" s="10"/>
      <c r="D164" s="11"/>
      <c r="E164" s="10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  <c r="W164" s="10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2.75" customHeight="1">
      <c r="A165" s="10"/>
      <c r="B165" s="11"/>
      <c r="C165" s="10"/>
      <c r="D165" s="11"/>
      <c r="E165" s="10"/>
      <c r="F165" s="1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  <c r="W165" s="10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2.75" customHeight="1">
      <c r="A166" s="10"/>
      <c r="B166" s="11"/>
      <c r="C166" s="10"/>
      <c r="D166" s="11"/>
      <c r="E166" s="10"/>
      <c r="F166" s="1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/>
      <c r="V166" s="11"/>
      <c r="W166" s="10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2.75" customHeight="1">
      <c r="A167" s="10"/>
      <c r="B167" s="11"/>
      <c r="C167" s="10"/>
      <c r="D167" s="11"/>
      <c r="E167" s="10"/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/>
      <c r="V167" s="11"/>
      <c r="W167" s="10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2.75" customHeight="1">
      <c r="A168" s="10"/>
      <c r="B168" s="11"/>
      <c r="C168" s="10"/>
      <c r="D168" s="11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/>
      <c r="V168" s="11"/>
      <c r="W168" s="10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2.75" customHeight="1">
      <c r="A169" s="10"/>
      <c r="B169" s="11"/>
      <c r="C169" s="10"/>
      <c r="D169" s="11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/>
      <c r="V169" s="11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2.75" customHeight="1">
      <c r="A170" s="10"/>
      <c r="B170" s="11"/>
      <c r="C170" s="10"/>
      <c r="D170" s="11"/>
      <c r="E170" s="10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/>
      <c r="V170" s="11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2.75" customHeight="1">
      <c r="A171" s="10"/>
      <c r="B171" s="11"/>
      <c r="C171" s="10"/>
      <c r="D171" s="11"/>
      <c r="E171" s="10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/>
      <c r="V171" s="11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2.75" customHeight="1">
      <c r="A172" s="10"/>
      <c r="B172" s="11"/>
      <c r="C172" s="10"/>
      <c r="D172" s="11"/>
      <c r="E172" s="10"/>
      <c r="F172" s="1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/>
      <c r="V172" s="11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2.75" customHeight="1">
      <c r="A173" s="10"/>
      <c r="B173" s="11"/>
      <c r="C173" s="10"/>
      <c r="D173" s="11"/>
      <c r="E173" s="10"/>
      <c r="F173" s="1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/>
      <c r="V173" s="11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2.75" customHeight="1">
      <c r="A174" s="10"/>
      <c r="B174" s="11"/>
      <c r="C174" s="10"/>
      <c r="D174" s="11"/>
      <c r="E174" s="10"/>
      <c r="F174" s="1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/>
      <c r="V174" s="11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2.75" customHeight="1">
      <c r="A175" s="10"/>
      <c r="B175" s="11"/>
      <c r="C175" s="10"/>
      <c r="D175" s="11"/>
      <c r="E175" s="10"/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/>
      <c r="V175" s="11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2.75" customHeight="1">
      <c r="A176" s="10"/>
      <c r="B176" s="11"/>
      <c r="C176" s="10"/>
      <c r="D176" s="11"/>
      <c r="E176" s="10"/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/>
      <c r="V176" s="11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2.75" customHeight="1">
      <c r="A177" s="10"/>
      <c r="B177" s="11"/>
      <c r="C177" s="10"/>
      <c r="D177" s="11"/>
      <c r="E177" s="10"/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/>
      <c r="V177" s="11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2.75" customHeight="1">
      <c r="A178" s="10"/>
      <c r="B178" s="11"/>
      <c r="C178" s="10"/>
      <c r="D178" s="11"/>
      <c r="E178" s="10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/>
      <c r="V178" s="11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2.75" customHeight="1">
      <c r="A179" s="10"/>
      <c r="B179" s="11"/>
      <c r="C179" s="10"/>
      <c r="D179" s="11"/>
      <c r="E179" s="10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/>
      <c r="V179" s="11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2.75" customHeight="1">
      <c r="A180" s="10"/>
      <c r="B180" s="11"/>
      <c r="C180" s="10"/>
      <c r="D180" s="11"/>
      <c r="E180" s="10"/>
      <c r="F180" s="1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/>
      <c r="V180" s="11"/>
      <c r="W180" s="10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2.75" customHeight="1">
      <c r="A181" s="10"/>
      <c r="B181" s="11"/>
      <c r="C181" s="10"/>
      <c r="D181" s="11"/>
      <c r="E181" s="10"/>
      <c r="F181" s="1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/>
      <c r="V181" s="11"/>
      <c r="W181" s="10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2.75" customHeight="1">
      <c r="A182" s="10"/>
      <c r="B182" s="11"/>
      <c r="C182" s="10"/>
      <c r="D182" s="11"/>
      <c r="E182" s="10"/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/>
      <c r="V182" s="11"/>
      <c r="W182" s="10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2.75" customHeight="1">
      <c r="A183" s="10"/>
      <c r="B183" s="11"/>
      <c r="C183" s="10"/>
      <c r="D183" s="11"/>
      <c r="E183" s="10"/>
      <c r="F183" s="1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/>
      <c r="V183" s="11"/>
      <c r="W183" s="10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2.75" customHeight="1">
      <c r="A184" s="10"/>
      <c r="B184" s="11"/>
      <c r="C184" s="10"/>
      <c r="D184" s="11"/>
      <c r="E184" s="10"/>
      <c r="F184" s="1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/>
      <c r="V184" s="11"/>
      <c r="W184" s="10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2.75" customHeight="1">
      <c r="A185" s="10"/>
      <c r="B185" s="11"/>
      <c r="C185" s="10"/>
      <c r="D185" s="11"/>
      <c r="E185" s="10"/>
      <c r="F185" s="1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/>
      <c r="V185" s="11"/>
      <c r="W185" s="10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2.75" customHeight="1">
      <c r="A186" s="10"/>
      <c r="B186" s="11"/>
      <c r="C186" s="10"/>
      <c r="D186" s="11"/>
      <c r="E186" s="10"/>
      <c r="F186" s="1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/>
      <c r="V186" s="11"/>
      <c r="W186" s="10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2.75" customHeight="1">
      <c r="A187" s="10"/>
      <c r="B187" s="11"/>
      <c r="C187" s="10"/>
      <c r="D187" s="11"/>
      <c r="E187" s="10"/>
      <c r="F187" s="1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/>
      <c r="V187" s="11"/>
      <c r="W187" s="10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2.75" customHeight="1">
      <c r="A188" s="10"/>
      <c r="B188" s="11"/>
      <c r="C188" s="10"/>
      <c r="D188" s="11"/>
      <c r="E188" s="10"/>
      <c r="F188" s="1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/>
      <c r="V188" s="11"/>
      <c r="W188" s="10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2.75" customHeight="1">
      <c r="A189" s="10"/>
      <c r="B189" s="11"/>
      <c r="C189" s="10"/>
      <c r="D189" s="11"/>
      <c r="E189" s="10"/>
      <c r="F189" s="1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/>
      <c r="V189" s="11"/>
      <c r="W189" s="10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2.75" customHeight="1">
      <c r="A190" s="10"/>
      <c r="B190" s="11"/>
      <c r="C190" s="10"/>
      <c r="D190" s="11"/>
      <c r="E190" s="10"/>
      <c r="F190" s="1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/>
      <c r="V190" s="11"/>
      <c r="W190" s="10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2.75" customHeight="1">
      <c r="A191" s="10"/>
      <c r="B191" s="11"/>
      <c r="C191" s="10"/>
      <c r="D191" s="11"/>
      <c r="E191" s="10"/>
      <c r="F191" s="1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/>
      <c r="V191" s="11"/>
      <c r="W191" s="10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2.75" customHeight="1">
      <c r="A192" s="10"/>
      <c r="B192" s="11"/>
      <c r="C192" s="10"/>
      <c r="D192" s="11"/>
      <c r="E192" s="10"/>
      <c r="F192" s="1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/>
      <c r="V192" s="11"/>
      <c r="W192" s="10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2.75" customHeight="1">
      <c r="A193" s="10"/>
      <c r="B193" s="11"/>
      <c r="C193" s="10"/>
      <c r="D193" s="11"/>
      <c r="E193" s="10"/>
      <c r="F193" s="1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/>
      <c r="V193" s="11"/>
      <c r="W193" s="10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2.75" customHeight="1">
      <c r="A194" s="10"/>
      <c r="B194" s="11"/>
      <c r="C194" s="10"/>
      <c r="D194" s="11"/>
      <c r="E194" s="10"/>
      <c r="F194" s="1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/>
      <c r="V194" s="11"/>
      <c r="W194" s="10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2.75" customHeight="1">
      <c r="A195" s="10"/>
      <c r="B195" s="11"/>
      <c r="C195" s="10"/>
      <c r="D195" s="11"/>
      <c r="E195" s="10"/>
      <c r="F195" s="1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/>
      <c r="V195" s="11"/>
      <c r="W195" s="10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2.75" customHeight="1">
      <c r="A196" s="10"/>
      <c r="B196" s="11"/>
      <c r="C196" s="10"/>
      <c r="D196" s="11"/>
      <c r="E196" s="10"/>
      <c r="F196" s="1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/>
      <c r="V196" s="11"/>
      <c r="W196" s="10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2.75" customHeight="1">
      <c r="A197" s="10"/>
      <c r="B197" s="11"/>
      <c r="C197" s="10"/>
      <c r="D197" s="11"/>
      <c r="E197" s="10"/>
      <c r="F197" s="1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/>
      <c r="V197" s="11"/>
      <c r="W197" s="10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2.75" customHeight="1">
      <c r="A198" s="10"/>
      <c r="B198" s="11"/>
      <c r="C198" s="10"/>
      <c r="D198" s="11"/>
      <c r="E198" s="10"/>
      <c r="F198" s="1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/>
      <c r="V198" s="11"/>
      <c r="W198" s="10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2.75" customHeight="1">
      <c r="A199" s="10"/>
      <c r="B199" s="11"/>
      <c r="C199" s="10"/>
      <c r="D199" s="11"/>
      <c r="E199" s="10"/>
      <c r="F199" s="1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/>
      <c r="V199" s="11"/>
      <c r="W199" s="10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2.75" customHeight="1">
      <c r="A200" s="10"/>
      <c r="B200" s="11"/>
      <c r="C200" s="10"/>
      <c r="D200" s="11"/>
      <c r="E200" s="10"/>
      <c r="F200" s="1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/>
      <c r="V200" s="11"/>
      <c r="W200" s="10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2.75" customHeight="1">
      <c r="A201" s="10"/>
      <c r="B201" s="11"/>
      <c r="C201" s="10"/>
      <c r="D201" s="11"/>
      <c r="E201" s="10"/>
      <c r="F201" s="1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/>
      <c r="V201" s="11"/>
      <c r="W201" s="10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2.75" customHeight="1">
      <c r="A202" s="10"/>
      <c r="B202" s="11"/>
      <c r="C202" s="10"/>
      <c r="D202" s="11"/>
      <c r="E202" s="10"/>
      <c r="F202" s="1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/>
      <c r="V202" s="11"/>
      <c r="W202" s="10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2.75" customHeight="1">
      <c r="A203" s="10"/>
      <c r="B203" s="11"/>
      <c r="C203" s="10"/>
      <c r="D203" s="11"/>
      <c r="E203" s="10"/>
      <c r="F203" s="1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0"/>
      <c r="V203" s="11"/>
      <c r="W203" s="10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2.75" customHeight="1">
      <c r="A204" s="10"/>
      <c r="B204" s="11"/>
      <c r="C204" s="10"/>
      <c r="D204" s="11"/>
      <c r="E204" s="10"/>
      <c r="F204" s="1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0"/>
      <c r="V204" s="11"/>
      <c r="W204" s="10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2.75" customHeight="1">
      <c r="A205" s="10"/>
      <c r="B205" s="11"/>
      <c r="C205" s="10"/>
      <c r="D205" s="11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0"/>
      <c r="V205" s="11"/>
      <c r="W205" s="10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2.75" customHeight="1">
      <c r="A206" s="10"/>
      <c r="B206" s="11"/>
      <c r="C206" s="10"/>
      <c r="D206" s="11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0"/>
      <c r="V206" s="11"/>
      <c r="W206" s="10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2.75" customHeight="1">
      <c r="A207" s="10"/>
      <c r="B207" s="11"/>
      <c r="C207" s="10"/>
      <c r="D207" s="11"/>
      <c r="E207" s="10"/>
      <c r="F207" s="1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0"/>
      <c r="V207" s="11"/>
      <c r="W207" s="10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2.75" customHeight="1">
      <c r="A208" s="10"/>
      <c r="B208" s="11"/>
      <c r="C208" s="10"/>
      <c r="D208" s="11"/>
      <c r="E208" s="10"/>
      <c r="F208" s="1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0"/>
      <c r="V208" s="11"/>
      <c r="W208" s="10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2.75" customHeight="1">
      <c r="A209" s="10"/>
      <c r="B209" s="11"/>
      <c r="C209" s="10"/>
      <c r="D209" s="11"/>
      <c r="E209" s="10"/>
      <c r="F209" s="1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0"/>
      <c r="V209" s="11"/>
      <c r="W209" s="10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2.75" customHeight="1">
      <c r="A210" s="10"/>
      <c r="B210" s="11"/>
      <c r="C210" s="10"/>
      <c r="D210" s="11"/>
      <c r="E210" s="10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0"/>
      <c r="V210" s="11"/>
      <c r="W210" s="10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2.75" customHeight="1">
      <c r="A211" s="10"/>
      <c r="B211" s="11"/>
      <c r="C211" s="10"/>
      <c r="D211" s="11"/>
      <c r="E211" s="10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0"/>
      <c r="V211" s="11"/>
      <c r="W211" s="10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2.75" customHeight="1">
      <c r="A212" s="10"/>
      <c r="B212" s="11"/>
      <c r="C212" s="10"/>
      <c r="D212" s="11"/>
      <c r="E212" s="10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0"/>
      <c r="V212" s="11"/>
      <c r="W212" s="10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2.75" customHeight="1">
      <c r="A213" s="10"/>
      <c r="B213" s="11"/>
      <c r="C213" s="10"/>
      <c r="D213" s="11"/>
      <c r="E213" s="10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0"/>
      <c r="V213" s="11"/>
      <c r="W213" s="10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2.75" customHeight="1">
      <c r="A214" s="10"/>
      <c r="B214" s="11"/>
      <c r="C214" s="10"/>
      <c r="D214" s="11"/>
      <c r="E214" s="10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0"/>
      <c r="V214" s="11"/>
      <c r="W214" s="10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2.75" customHeight="1">
      <c r="A215" s="10"/>
      <c r="B215" s="11"/>
      <c r="C215" s="10"/>
      <c r="D215" s="11"/>
      <c r="E215" s="10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0"/>
      <c r="V215" s="11"/>
      <c r="W215" s="10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2.75" customHeight="1">
      <c r="A216" s="10"/>
      <c r="B216" s="11"/>
      <c r="C216" s="10"/>
      <c r="D216" s="11"/>
      <c r="E216" s="10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0"/>
      <c r="V216" s="11"/>
      <c r="W216" s="10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2.75" customHeight="1">
      <c r="A217" s="10"/>
      <c r="B217" s="11"/>
      <c r="C217" s="10"/>
      <c r="D217" s="11"/>
      <c r="E217" s="10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0"/>
      <c r="V217" s="11"/>
      <c r="W217" s="10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2.75" customHeight="1">
      <c r="A218" s="10"/>
      <c r="B218" s="11"/>
      <c r="C218" s="10"/>
      <c r="D218" s="11"/>
      <c r="E218" s="10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0"/>
      <c r="V218" s="11"/>
      <c r="W218" s="10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2.75" customHeight="1">
      <c r="A219" s="10"/>
      <c r="B219" s="11"/>
      <c r="C219" s="10"/>
      <c r="D219" s="11"/>
      <c r="E219" s="10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0"/>
      <c r="V219" s="11"/>
      <c r="W219" s="10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2.75" customHeight="1">
      <c r="A220" s="10"/>
      <c r="B220" s="11"/>
      <c r="C220" s="10"/>
      <c r="D220" s="11"/>
      <c r="E220" s="10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0"/>
      <c r="V220" s="11"/>
      <c r="W220" s="10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2.75" customHeight="1">
      <c r="A221" s="10"/>
      <c r="B221" s="11"/>
      <c r="C221" s="10"/>
      <c r="D221" s="11"/>
      <c r="E221" s="10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0"/>
      <c r="V221" s="11"/>
      <c r="W221" s="10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2.75" customHeight="1">
      <c r="A222" s="10"/>
      <c r="B222" s="11"/>
      <c r="C222" s="10"/>
      <c r="D222" s="11"/>
      <c r="E222" s="10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0"/>
      <c r="V222" s="11"/>
      <c r="W222" s="10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2.75" customHeight="1">
      <c r="A223" s="10"/>
      <c r="B223" s="11"/>
      <c r="C223" s="10"/>
      <c r="D223" s="11"/>
      <c r="E223" s="10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0"/>
      <c r="V223" s="11"/>
      <c r="W223" s="10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2.75" customHeight="1">
      <c r="A224" s="10"/>
      <c r="B224" s="11"/>
      <c r="C224" s="10"/>
      <c r="D224" s="11"/>
      <c r="E224" s="10"/>
      <c r="F224" s="1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0"/>
      <c r="V224" s="11"/>
      <c r="W224" s="10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2.75" customHeight="1">
      <c r="A225" s="10"/>
      <c r="B225" s="11"/>
      <c r="C225" s="10"/>
      <c r="D225" s="11"/>
      <c r="E225" s="10"/>
      <c r="F225" s="1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0"/>
      <c r="V225" s="11"/>
      <c r="W225" s="10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2.75" customHeight="1">
      <c r="A226" s="10"/>
      <c r="B226" s="11"/>
      <c r="C226" s="10"/>
      <c r="D226" s="11"/>
      <c r="E226" s="10"/>
      <c r="F226" s="1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0"/>
      <c r="V226" s="11"/>
      <c r="W226" s="10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2.75" customHeight="1">
      <c r="A227" s="10"/>
      <c r="B227" s="11"/>
      <c r="C227" s="10"/>
      <c r="D227" s="11"/>
      <c r="E227" s="10"/>
      <c r="F227" s="1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0"/>
      <c r="V227" s="11"/>
      <c r="W227" s="10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2.75" customHeight="1">
      <c r="A228" s="10"/>
      <c r="B228" s="11"/>
      <c r="C228" s="10"/>
      <c r="D228" s="11"/>
      <c r="E228" s="10"/>
      <c r="F228" s="1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0"/>
      <c r="V228" s="11"/>
      <c r="W228" s="10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2.75" customHeight="1">
      <c r="A229" s="10"/>
      <c r="B229" s="11"/>
      <c r="C229" s="10"/>
      <c r="D229" s="11"/>
      <c r="E229" s="10"/>
      <c r="F229" s="1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0"/>
      <c r="V229" s="11"/>
      <c r="W229" s="10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2.75" customHeight="1">
      <c r="A230" s="10"/>
      <c r="B230" s="11"/>
      <c r="C230" s="10"/>
      <c r="D230" s="11"/>
      <c r="E230" s="10"/>
      <c r="F230" s="1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0"/>
      <c r="V230" s="11"/>
      <c r="W230" s="10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2.75" customHeight="1">
      <c r="A231" s="10"/>
      <c r="B231" s="11"/>
      <c r="C231" s="10"/>
      <c r="D231" s="11"/>
      <c r="E231" s="10"/>
      <c r="F231" s="1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0"/>
      <c r="V231" s="11"/>
      <c r="W231" s="10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2.75" customHeight="1">
      <c r="A232" s="10"/>
      <c r="B232" s="11"/>
      <c r="C232" s="10"/>
      <c r="D232" s="11"/>
      <c r="E232" s="10"/>
      <c r="F232" s="1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0"/>
      <c r="V232" s="11"/>
      <c r="W232" s="10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2.75" customHeight="1">
      <c r="A233" s="10"/>
      <c r="B233" s="11"/>
      <c r="C233" s="10"/>
      <c r="D233" s="11"/>
      <c r="E233" s="10"/>
      <c r="F233" s="1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0"/>
      <c r="V233" s="11"/>
      <c r="W233" s="10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2.75" customHeight="1">
      <c r="A234" s="10"/>
      <c r="B234" s="11"/>
      <c r="C234" s="10"/>
      <c r="D234" s="11"/>
      <c r="E234" s="10"/>
      <c r="F234" s="1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0"/>
      <c r="V234" s="11"/>
      <c r="W234" s="10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2.75" customHeight="1">
      <c r="A235" s="10"/>
      <c r="B235" s="11"/>
      <c r="C235" s="10"/>
      <c r="D235" s="11"/>
      <c r="E235" s="10"/>
      <c r="F235" s="1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0"/>
      <c r="V235" s="11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2.75" customHeight="1">
      <c r="A236" s="10"/>
      <c r="B236" s="11"/>
      <c r="C236" s="10"/>
      <c r="D236" s="11"/>
      <c r="E236" s="10"/>
      <c r="F236" s="1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0"/>
      <c r="V236" s="11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2.75" customHeight="1">
      <c r="A237" s="10"/>
      <c r="B237" s="11"/>
      <c r="C237" s="10"/>
      <c r="D237" s="11"/>
      <c r="E237" s="10"/>
      <c r="F237" s="1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0"/>
      <c r="V237" s="11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2.75" customHeight="1">
      <c r="A238" s="10"/>
      <c r="B238" s="11"/>
      <c r="C238" s="10"/>
      <c r="D238" s="11"/>
      <c r="E238" s="10"/>
      <c r="F238" s="1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0"/>
      <c r="V238" s="11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2.75" customHeight="1">
      <c r="A239" s="10"/>
      <c r="B239" s="11"/>
      <c r="C239" s="10"/>
      <c r="D239" s="11"/>
      <c r="E239" s="10"/>
      <c r="F239" s="1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0"/>
      <c r="V239" s="11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2.75" customHeight="1">
      <c r="A240" s="10"/>
      <c r="B240" s="11"/>
      <c r="C240" s="10"/>
      <c r="D240" s="11"/>
      <c r="E240" s="10"/>
      <c r="F240" s="1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0"/>
      <c r="V240" s="11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2.75" customHeight="1">
      <c r="A241" s="10"/>
      <c r="B241" s="11"/>
      <c r="C241" s="10"/>
      <c r="D241" s="11"/>
      <c r="E241" s="10"/>
      <c r="F241" s="1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0"/>
      <c r="V241" s="11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2.75" customHeight="1">
      <c r="A242" s="10"/>
      <c r="B242" s="11"/>
      <c r="C242" s="10"/>
      <c r="D242" s="11"/>
      <c r="E242" s="10"/>
      <c r="F242" s="1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0"/>
      <c r="V242" s="11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2.75" customHeight="1">
      <c r="A243" s="10"/>
      <c r="B243" s="11"/>
      <c r="C243" s="10"/>
      <c r="D243" s="11"/>
      <c r="E243" s="10"/>
      <c r="F243" s="1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0"/>
      <c r="V243" s="11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2.75" customHeight="1">
      <c r="A244" s="10"/>
      <c r="B244" s="11"/>
      <c r="C244" s="10"/>
      <c r="D244" s="11"/>
      <c r="E244" s="10"/>
      <c r="F244" s="1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0"/>
      <c r="V244" s="11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2.75" customHeight="1">
      <c r="A245" s="10"/>
      <c r="B245" s="11"/>
      <c r="C245" s="10"/>
      <c r="D245" s="11"/>
      <c r="E245" s="10"/>
      <c r="F245" s="1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0"/>
      <c r="V245" s="11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2.75" customHeight="1">
      <c r="A246" s="10"/>
      <c r="B246" s="11"/>
      <c r="C246" s="10"/>
      <c r="D246" s="11"/>
      <c r="E246" s="10"/>
      <c r="F246" s="1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0"/>
      <c r="V246" s="11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2.75" customHeight="1">
      <c r="A247" s="10"/>
      <c r="B247" s="11"/>
      <c r="C247" s="10"/>
      <c r="D247" s="11"/>
      <c r="E247" s="10"/>
      <c r="F247" s="1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0"/>
      <c r="V247" s="11"/>
      <c r="W247" s="10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2.75" customHeight="1">
      <c r="A248" s="10"/>
      <c r="B248" s="11"/>
      <c r="C248" s="10"/>
      <c r="D248" s="11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0"/>
      <c r="V248" s="11"/>
      <c r="W248" s="10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2.75" customHeight="1">
      <c r="A249" s="10"/>
      <c r="B249" s="11"/>
      <c r="C249" s="10"/>
      <c r="D249" s="11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0"/>
      <c r="V249" s="11"/>
      <c r="W249" s="10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2.75" customHeight="1">
      <c r="A250" s="10"/>
      <c r="B250" s="11"/>
      <c r="C250" s="10"/>
      <c r="D250" s="11"/>
      <c r="E250" s="10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0"/>
      <c r="V250" s="11"/>
      <c r="W250" s="10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2.75" customHeight="1">
      <c r="A251" s="10"/>
      <c r="B251" s="11"/>
      <c r="C251" s="10"/>
      <c r="D251" s="11"/>
      <c r="E251" s="10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0"/>
      <c r="V251" s="11"/>
      <c r="W251" s="10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2.75" customHeight="1">
      <c r="A252" s="10"/>
      <c r="B252" s="11"/>
      <c r="C252" s="10"/>
      <c r="D252" s="11"/>
      <c r="E252" s="10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0"/>
      <c r="V252" s="11"/>
      <c r="W252" s="10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2.75" customHeight="1">
      <c r="A253" s="10"/>
      <c r="B253" s="11"/>
      <c r="C253" s="10"/>
      <c r="D253" s="11"/>
      <c r="E253" s="10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0"/>
      <c r="V253" s="11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2.75" customHeight="1">
      <c r="A254" s="10"/>
      <c r="B254" s="11"/>
      <c r="C254" s="10"/>
      <c r="D254" s="11"/>
      <c r="E254" s="10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0"/>
      <c r="V254" s="11"/>
      <c r="W254" s="10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2.75" customHeight="1">
      <c r="A255" s="10"/>
      <c r="B255" s="11"/>
      <c r="C255" s="10"/>
      <c r="D255" s="11"/>
      <c r="E255" s="10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0"/>
      <c r="V255" s="11"/>
      <c r="W255" s="10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2.75" customHeight="1">
      <c r="A256" s="10"/>
      <c r="B256" s="11"/>
      <c r="C256" s="10"/>
      <c r="D256" s="11"/>
      <c r="E256" s="10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0"/>
      <c r="V256" s="11"/>
      <c r="W256" s="10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2.75" customHeight="1">
      <c r="A257" s="10"/>
      <c r="B257" s="11"/>
      <c r="C257" s="10"/>
      <c r="D257" s="11"/>
      <c r="E257" s="10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0"/>
      <c r="V257" s="11"/>
      <c r="W257" s="10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2.75" customHeight="1">
      <c r="A258" s="10"/>
      <c r="B258" s="11"/>
      <c r="C258" s="10"/>
      <c r="D258" s="11"/>
      <c r="E258" s="10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0"/>
      <c r="V258" s="11"/>
      <c r="W258" s="10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2.75" customHeight="1">
      <c r="A259" s="10"/>
      <c r="B259" s="11"/>
      <c r="C259" s="10"/>
      <c r="D259" s="11"/>
      <c r="E259" s="10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0"/>
      <c r="V259" s="11"/>
      <c r="W259" s="10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2.75" customHeight="1">
      <c r="A260" s="10"/>
      <c r="B260" s="11"/>
      <c r="C260" s="10"/>
      <c r="D260" s="11"/>
      <c r="E260" s="10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0"/>
      <c r="V260" s="11"/>
      <c r="W260" s="10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2.75" customHeight="1">
      <c r="A261" s="10"/>
      <c r="B261" s="11"/>
      <c r="C261" s="10"/>
      <c r="D261" s="11"/>
      <c r="E261" s="10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0"/>
      <c r="V261" s="11"/>
      <c r="W261" s="10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2.75" customHeight="1">
      <c r="A262" s="10"/>
      <c r="B262" s="11"/>
      <c r="C262" s="10"/>
      <c r="D262" s="11"/>
      <c r="E262" s="10"/>
      <c r="F262" s="1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0"/>
      <c r="V262" s="11"/>
      <c r="W262" s="10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2.75" customHeight="1">
      <c r="A263" s="10"/>
      <c r="B263" s="11"/>
      <c r="C263" s="10"/>
      <c r="D263" s="11"/>
      <c r="E263" s="10"/>
      <c r="F263" s="1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0"/>
      <c r="V263" s="11"/>
      <c r="W263" s="10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2.75" customHeight="1">
      <c r="A264" s="10"/>
      <c r="B264" s="11"/>
      <c r="C264" s="10"/>
      <c r="D264" s="11"/>
      <c r="E264" s="10"/>
      <c r="F264" s="1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0"/>
      <c r="V264" s="11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2.75" customHeight="1">
      <c r="A265" s="10"/>
      <c r="B265" s="11"/>
      <c r="C265" s="10"/>
      <c r="D265" s="11"/>
      <c r="E265" s="10"/>
      <c r="F265" s="1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0"/>
      <c r="V265" s="11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2.75" customHeight="1">
      <c r="A266" s="10"/>
      <c r="B266" s="11"/>
      <c r="C266" s="10"/>
      <c r="D266" s="11"/>
      <c r="E266" s="10"/>
      <c r="F266" s="1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0"/>
      <c r="V266" s="11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2.75" customHeight="1">
      <c r="A267" s="10"/>
      <c r="B267" s="11"/>
      <c r="C267" s="10"/>
      <c r="D267" s="11"/>
      <c r="E267" s="10"/>
      <c r="F267" s="1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0"/>
      <c r="V267" s="11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2.75" customHeight="1">
      <c r="A268" s="10"/>
      <c r="B268" s="11"/>
      <c r="C268" s="10"/>
      <c r="D268" s="11"/>
      <c r="E268" s="10"/>
      <c r="F268" s="1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0"/>
      <c r="V268" s="11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2.75" customHeight="1">
      <c r="A269" s="10"/>
      <c r="B269" s="11"/>
      <c r="C269" s="10"/>
      <c r="D269" s="11"/>
      <c r="E269" s="10"/>
      <c r="F269" s="1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0"/>
      <c r="V269" s="11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2.75" customHeight="1">
      <c r="A270" s="10"/>
      <c r="B270" s="11"/>
      <c r="C270" s="10"/>
      <c r="D270" s="11"/>
      <c r="E270" s="10"/>
      <c r="F270" s="1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0"/>
      <c r="V270" s="11"/>
      <c r="W270" s="10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2.75" customHeight="1">
      <c r="A271" s="10"/>
      <c r="B271" s="11"/>
      <c r="C271" s="10"/>
      <c r="D271" s="11"/>
      <c r="E271" s="10"/>
      <c r="F271" s="1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0"/>
      <c r="V271" s="11"/>
      <c r="W271" s="10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2.75" customHeight="1">
      <c r="A272" s="10"/>
      <c r="B272" s="11"/>
      <c r="C272" s="10"/>
      <c r="D272" s="11"/>
      <c r="E272" s="10"/>
      <c r="F272" s="1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0"/>
      <c r="V272" s="11"/>
      <c r="W272" s="10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2.75" customHeight="1">
      <c r="A273" s="10"/>
      <c r="B273" s="11"/>
      <c r="C273" s="10"/>
      <c r="D273" s="11"/>
      <c r="E273" s="10"/>
      <c r="F273" s="1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0"/>
      <c r="V273" s="11"/>
      <c r="W273" s="10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2.75" customHeight="1">
      <c r="A274" s="10"/>
      <c r="B274" s="11"/>
      <c r="C274" s="10"/>
      <c r="D274" s="11"/>
      <c r="E274" s="10"/>
      <c r="F274" s="1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0"/>
      <c r="V274" s="11"/>
      <c r="W274" s="10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2.75" customHeight="1">
      <c r="A275" s="10"/>
      <c r="B275" s="11"/>
      <c r="C275" s="10"/>
      <c r="D275" s="11"/>
      <c r="E275" s="10"/>
      <c r="F275" s="1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0"/>
      <c r="V275" s="11"/>
      <c r="W275" s="10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2.75" customHeight="1">
      <c r="A276" s="10"/>
      <c r="B276" s="11"/>
      <c r="C276" s="10"/>
      <c r="D276" s="11"/>
      <c r="E276" s="10"/>
      <c r="F276" s="1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0"/>
      <c r="V276" s="11"/>
      <c r="W276" s="10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2.75" customHeight="1">
      <c r="A277" s="10"/>
      <c r="B277" s="11"/>
      <c r="C277" s="10"/>
      <c r="D277" s="11"/>
      <c r="E277" s="10"/>
      <c r="F277" s="1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0"/>
      <c r="V277" s="11"/>
      <c r="W277" s="10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2.75" customHeight="1">
      <c r="A278" s="10"/>
      <c r="B278" s="11"/>
      <c r="C278" s="10"/>
      <c r="D278" s="11"/>
      <c r="E278" s="10"/>
      <c r="F278" s="1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0"/>
      <c r="V278" s="11"/>
      <c r="W278" s="10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2.75" customHeight="1">
      <c r="A279" s="10"/>
      <c r="B279" s="11"/>
      <c r="C279" s="10"/>
      <c r="D279" s="11"/>
      <c r="E279" s="10"/>
      <c r="F279" s="1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0"/>
      <c r="V279" s="11"/>
      <c r="W279" s="10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2.75" customHeight="1">
      <c r="A280" s="10"/>
      <c r="B280" s="11"/>
      <c r="C280" s="10"/>
      <c r="D280" s="11"/>
      <c r="E280" s="10"/>
      <c r="F280" s="1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0"/>
      <c r="V280" s="11"/>
      <c r="W280" s="10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2.75" customHeight="1">
      <c r="A281" s="10"/>
      <c r="B281" s="11"/>
      <c r="C281" s="10"/>
      <c r="D281" s="11"/>
      <c r="E281" s="10"/>
      <c r="F281" s="1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0"/>
      <c r="V281" s="11"/>
      <c r="W281" s="10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2.75" customHeight="1">
      <c r="A282" s="10"/>
      <c r="B282" s="11"/>
      <c r="C282" s="10"/>
      <c r="D282" s="11"/>
      <c r="E282" s="10"/>
      <c r="F282" s="1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0"/>
      <c r="V282" s="11"/>
      <c r="W282" s="10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2.75" customHeight="1">
      <c r="A283" s="10"/>
      <c r="B283" s="11"/>
      <c r="C283" s="10"/>
      <c r="D283" s="11"/>
      <c r="E283" s="10"/>
      <c r="F283" s="1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0"/>
      <c r="V283" s="11"/>
      <c r="W283" s="10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2.75" customHeight="1">
      <c r="A284" s="10"/>
      <c r="B284" s="11"/>
      <c r="C284" s="10"/>
      <c r="D284" s="11"/>
      <c r="E284" s="10"/>
      <c r="F284" s="1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0"/>
      <c r="V284" s="11"/>
      <c r="W284" s="10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2.75" customHeight="1">
      <c r="A285" s="10"/>
      <c r="B285" s="11"/>
      <c r="C285" s="10"/>
      <c r="D285" s="11"/>
      <c r="E285" s="10"/>
      <c r="F285" s="1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0"/>
      <c r="V285" s="11"/>
      <c r="W285" s="10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2.75" customHeight="1">
      <c r="A286" s="10"/>
      <c r="B286" s="11"/>
      <c r="C286" s="10"/>
      <c r="D286" s="11"/>
      <c r="E286" s="10"/>
      <c r="F286" s="1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0"/>
      <c r="V286" s="11"/>
      <c r="W286" s="10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2.75" customHeight="1">
      <c r="A287" s="10"/>
      <c r="B287" s="11"/>
      <c r="C287" s="10"/>
      <c r="D287" s="11"/>
      <c r="E287" s="10"/>
      <c r="F287" s="1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0"/>
      <c r="V287" s="11"/>
      <c r="W287" s="10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2.75" customHeight="1">
      <c r="A288" s="10"/>
      <c r="B288" s="11"/>
      <c r="C288" s="10"/>
      <c r="D288" s="11"/>
      <c r="E288" s="10"/>
      <c r="F288" s="1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0"/>
      <c r="V288" s="11"/>
      <c r="W288" s="10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2.75" customHeight="1">
      <c r="A289" s="10"/>
      <c r="B289" s="11"/>
      <c r="C289" s="10"/>
      <c r="D289" s="11"/>
      <c r="E289" s="10"/>
      <c r="F289" s="1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0"/>
      <c r="V289" s="11"/>
      <c r="W289" s="10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2.75" customHeight="1">
      <c r="A290" s="10"/>
      <c r="B290" s="11"/>
      <c r="C290" s="10"/>
      <c r="D290" s="11"/>
      <c r="E290" s="10"/>
      <c r="F290" s="1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0"/>
      <c r="V290" s="11"/>
      <c r="W290" s="10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2.75" customHeight="1">
      <c r="A291" s="10"/>
      <c r="B291" s="11"/>
      <c r="C291" s="10"/>
      <c r="D291" s="11"/>
      <c r="E291" s="10"/>
      <c r="F291" s="1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0"/>
      <c r="V291" s="11"/>
      <c r="W291" s="10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2.75" customHeight="1">
      <c r="A292" s="10"/>
      <c r="B292" s="11"/>
      <c r="C292" s="10"/>
      <c r="D292" s="11"/>
      <c r="E292" s="10"/>
      <c r="F292" s="1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0"/>
      <c r="V292" s="11"/>
      <c r="W292" s="10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2.75" customHeight="1">
      <c r="A293" s="10"/>
      <c r="B293" s="11"/>
      <c r="C293" s="10"/>
      <c r="D293" s="11"/>
      <c r="E293" s="10"/>
      <c r="F293" s="1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0"/>
      <c r="V293" s="11"/>
      <c r="W293" s="10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2.75" customHeight="1">
      <c r="A294" s="10"/>
      <c r="B294" s="11"/>
      <c r="C294" s="10"/>
      <c r="D294" s="11"/>
      <c r="E294" s="10"/>
      <c r="F294" s="1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0"/>
      <c r="V294" s="11"/>
      <c r="W294" s="10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2.75" customHeight="1">
      <c r="A295" s="10"/>
      <c r="B295" s="11"/>
      <c r="C295" s="10"/>
      <c r="D295" s="11"/>
      <c r="E295" s="10"/>
      <c r="F295" s="1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0"/>
      <c r="V295" s="11"/>
      <c r="W295" s="10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2.75" customHeight="1">
      <c r="A296" s="10"/>
      <c r="B296" s="11"/>
      <c r="C296" s="10"/>
      <c r="D296" s="11"/>
      <c r="E296" s="10"/>
      <c r="F296" s="1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0"/>
      <c r="V296" s="11"/>
      <c r="W296" s="10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2.75" customHeight="1">
      <c r="A297" s="10"/>
      <c r="B297" s="11"/>
      <c r="C297" s="10"/>
      <c r="D297" s="11"/>
      <c r="E297" s="10"/>
      <c r="F297" s="1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0"/>
      <c r="V297" s="11"/>
      <c r="W297" s="10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2.75" customHeight="1">
      <c r="A298" s="10"/>
      <c r="B298" s="11"/>
      <c r="C298" s="10"/>
      <c r="D298" s="11"/>
      <c r="E298" s="10"/>
      <c r="F298" s="1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0"/>
      <c r="V298" s="11"/>
      <c r="W298" s="10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2.75" customHeight="1">
      <c r="A299" s="10"/>
      <c r="B299" s="11"/>
      <c r="C299" s="10"/>
      <c r="D299" s="11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0"/>
      <c r="V299" s="11"/>
      <c r="W299" s="10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2.75" customHeight="1">
      <c r="A300" s="10"/>
      <c r="B300" s="11"/>
      <c r="C300" s="10"/>
      <c r="D300" s="11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0"/>
      <c r="V300" s="11"/>
      <c r="W300" s="10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2.75" customHeight="1">
      <c r="A301" s="10"/>
      <c r="B301" s="11"/>
      <c r="C301" s="10"/>
      <c r="D301" s="11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0"/>
      <c r="V301" s="11"/>
      <c r="W301" s="10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2.75" customHeight="1">
      <c r="A302" s="10"/>
      <c r="B302" s="11"/>
      <c r="C302" s="10"/>
      <c r="D302" s="11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0"/>
      <c r="V302" s="11"/>
      <c r="W302" s="10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2.75" customHeight="1">
      <c r="A303" s="10"/>
      <c r="B303" s="11"/>
      <c r="C303" s="10"/>
      <c r="D303" s="11"/>
      <c r="E303" s="10"/>
      <c r="F303" s="1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0"/>
      <c r="V303" s="11"/>
      <c r="W303" s="10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2.75" customHeight="1">
      <c r="A304" s="10"/>
      <c r="B304" s="11"/>
      <c r="C304" s="10"/>
      <c r="D304" s="11"/>
      <c r="E304" s="10"/>
      <c r="F304" s="1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0"/>
      <c r="V304" s="11"/>
      <c r="W304" s="10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2.75" customHeight="1">
      <c r="A305" s="10"/>
      <c r="B305" s="11"/>
      <c r="C305" s="10"/>
      <c r="D305" s="11"/>
      <c r="E305" s="10"/>
      <c r="F305" s="1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0"/>
      <c r="V305" s="11"/>
      <c r="W305" s="10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2.75" customHeight="1">
      <c r="A306" s="10"/>
      <c r="B306" s="11"/>
      <c r="C306" s="10"/>
      <c r="D306" s="11"/>
      <c r="E306" s="10"/>
      <c r="F306" s="1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/>
      <c r="V306" s="11"/>
      <c r="W306" s="10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2.75" customHeight="1">
      <c r="A307" s="10"/>
      <c r="B307" s="11"/>
      <c r="C307" s="10"/>
      <c r="D307" s="11"/>
      <c r="E307" s="10"/>
      <c r="F307" s="1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0"/>
      <c r="V307" s="11"/>
      <c r="W307" s="10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2.75" customHeight="1">
      <c r="A308" s="10"/>
      <c r="B308" s="11"/>
      <c r="C308" s="10"/>
      <c r="D308" s="11"/>
      <c r="E308" s="10"/>
      <c r="F308" s="1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0"/>
      <c r="V308" s="11"/>
      <c r="W308" s="10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2.75" customHeight="1">
      <c r="A309" s="10"/>
      <c r="B309" s="11"/>
      <c r="C309" s="10"/>
      <c r="D309" s="11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0"/>
      <c r="V309" s="11"/>
      <c r="W309" s="10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2.75" customHeight="1">
      <c r="A310" s="10"/>
      <c r="B310" s="11"/>
      <c r="C310" s="10"/>
      <c r="D310" s="11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0"/>
      <c r="V310" s="11"/>
      <c r="W310" s="10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2.75" customHeight="1">
      <c r="A311" s="10"/>
      <c r="B311" s="11"/>
      <c r="C311" s="10"/>
      <c r="D311" s="11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0"/>
      <c r="V311" s="11"/>
      <c r="W311" s="10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2.75" customHeight="1">
      <c r="A312" s="10"/>
      <c r="B312" s="11"/>
      <c r="C312" s="10"/>
      <c r="D312" s="11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0"/>
      <c r="V312" s="11"/>
      <c r="W312" s="10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2.75" customHeight="1">
      <c r="A313" s="10"/>
      <c r="B313" s="11"/>
      <c r="C313" s="10"/>
      <c r="D313" s="11"/>
      <c r="E313" s="10"/>
      <c r="F313" s="1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0"/>
      <c r="V313" s="11"/>
      <c r="W313" s="10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2.75" customHeight="1">
      <c r="A314" s="10"/>
      <c r="B314" s="11"/>
      <c r="C314" s="10"/>
      <c r="D314" s="11"/>
      <c r="E314" s="10"/>
      <c r="F314" s="1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0"/>
      <c r="V314" s="11"/>
      <c r="W314" s="10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2.75" customHeight="1">
      <c r="A315" s="10"/>
      <c r="B315" s="11"/>
      <c r="C315" s="10"/>
      <c r="D315" s="11"/>
      <c r="E315" s="10"/>
      <c r="F315" s="1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0"/>
      <c r="V315" s="11"/>
      <c r="W315" s="10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2.75" customHeight="1">
      <c r="A316" s="10"/>
      <c r="B316" s="11"/>
      <c r="C316" s="10"/>
      <c r="D316" s="11"/>
      <c r="E316" s="10"/>
      <c r="F316" s="1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/>
      <c r="V316" s="11"/>
      <c r="W316" s="10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2.75" customHeight="1">
      <c r="A317" s="10"/>
      <c r="B317" s="11"/>
      <c r="C317" s="10"/>
      <c r="D317" s="11"/>
      <c r="E317" s="10"/>
      <c r="F317" s="1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0"/>
      <c r="V317" s="11"/>
      <c r="W317" s="10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2.75" customHeight="1">
      <c r="A318" s="10"/>
      <c r="B318" s="11"/>
      <c r="C318" s="10"/>
      <c r="D318" s="11"/>
      <c r="E318" s="10"/>
      <c r="F318" s="1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0"/>
      <c r="V318" s="11"/>
      <c r="W318" s="10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2.75" customHeight="1">
      <c r="A319" s="10"/>
      <c r="B319" s="11"/>
      <c r="C319" s="10"/>
      <c r="D319" s="11"/>
      <c r="E319" s="10"/>
      <c r="F319" s="1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0"/>
      <c r="V319" s="11"/>
      <c r="W319" s="10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2.75" customHeight="1">
      <c r="A320" s="10"/>
      <c r="B320" s="11"/>
      <c r="C320" s="10"/>
      <c r="D320" s="11"/>
      <c r="E320" s="10"/>
      <c r="F320" s="1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0"/>
      <c r="V320" s="11"/>
      <c r="W320" s="10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2.75" customHeight="1">
      <c r="A321" s="10"/>
      <c r="B321" s="11"/>
      <c r="C321" s="10"/>
      <c r="D321" s="11"/>
      <c r="E321" s="10"/>
      <c r="F321" s="1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0"/>
      <c r="V321" s="11"/>
      <c r="W321" s="10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2.75" customHeight="1">
      <c r="A322" s="10"/>
      <c r="B322" s="11"/>
      <c r="C322" s="10"/>
      <c r="D322" s="11"/>
      <c r="E322" s="10"/>
      <c r="F322" s="1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0"/>
      <c r="V322" s="11"/>
      <c r="W322" s="10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2.75" customHeight="1">
      <c r="A323" s="10"/>
      <c r="B323" s="11"/>
      <c r="C323" s="10"/>
      <c r="D323" s="11"/>
      <c r="E323" s="10"/>
      <c r="F323" s="1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0"/>
      <c r="V323" s="11"/>
      <c r="W323" s="10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2.75" customHeight="1">
      <c r="A324" s="10"/>
      <c r="B324" s="11"/>
      <c r="C324" s="10"/>
      <c r="D324" s="11"/>
      <c r="E324" s="10"/>
      <c r="F324" s="1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0"/>
      <c r="V324" s="11"/>
      <c r="W324" s="10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2.75" customHeight="1">
      <c r="A325" s="10"/>
      <c r="B325" s="11"/>
      <c r="C325" s="10"/>
      <c r="D325" s="11"/>
      <c r="E325" s="10"/>
      <c r="F325" s="1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0"/>
      <c r="V325" s="11"/>
      <c r="W325" s="10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2.75" customHeight="1">
      <c r="A326" s="10"/>
      <c r="B326" s="11"/>
      <c r="C326" s="10"/>
      <c r="D326" s="11"/>
      <c r="E326" s="10"/>
      <c r="F326" s="1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0"/>
      <c r="V326" s="11"/>
      <c r="W326" s="10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2.75" customHeight="1">
      <c r="A327" s="10"/>
      <c r="B327" s="11"/>
      <c r="C327" s="10"/>
      <c r="D327" s="11"/>
      <c r="E327" s="10"/>
      <c r="F327" s="1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0"/>
      <c r="V327" s="11"/>
      <c r="W327" s="10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2.75" customHeight="1">
      <c r="A328" s="10"/>
      <c r="B328" s="11"/>
      <c r="C328" s="10"/>
      <c r="D328" s="11"/>
      <c r="E328" s="10"/>
      <c r="F328" s="1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0"/>
      <c r="V328" s="11"/>
      <c r="W328" s="10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2.75" customHeight="1">
      <c r="A329" s="10"/>
      <c r="B329" s="11"/>
      <c r="C329" s="10"/>
      <c r="D329" s="11"/>
      <c r="E329" s="10"/>
      <c r="F329" s="1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0"/>
      <c r="V329" s="11"/>
      <c r="W329" s="10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2.75" customHeight="1">
      <c r="A330" s="10"/>
      <c r="B330" s="11"/>
      <c r="C330" s="10"/>
      <c r="D330" s="11"/>
      <c r="E330" s="10"/>
      <c r="F330" s="1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0"/>
      <c r="V330" s="11"/>
      <c r="W330" s="10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2.75" customHeight="1">
      <c r="A331" s="10"/>
      <c r="B331" s="11"/>
      <c r="C331" s="10"/>
      <c r="D331" s="11"/>
      <c r="E331" s="10"/>
      <c r="F331" s="1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0"/>
      <c r="V331" s="11"/>
      <c r="W331" s="10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2.75" customHeight="1">
      <c r="A332" s="10"/>
      <c r="B332" s="11"/>
      <c r="C332" s="10"/>
      <c r="D332" s="11"/>
      <c r="E332" s="10"/>
      <c r="F332" s="1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0"/>
      <c r="V332" s="11"/>
      <c r="W332" s="10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2.75" customHeight="1">
      <c r="A333" s="10"/>
      <c r="B333" s="11"/>
      <c r="C333" s="10"/>
      <c r="D333" s="11"/>
      <c r="E333" s="10"/>
      <c r="F333" s="1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0"/>
      <c r="V333" s="11"/>
      <c r="W333" s="10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2.75" customHeight="1">
      <c r="A334" s="10"/>
      <c r="B334" s="11"/>
      <c r="C334" s="10"/>
      <c r="D334" s="11"/>
      <c r="E334" s="10"/>
      <c r="F334" s="1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0"/>
      <c r="V334" s="11"/>
      <c r="W334" s="10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2.75" customHeight="1">
      <c r="A335" s="10"/>
      <c r="B335" s="11"/>
      <c r="C335" s="10"/>
      <c r="D335" s="11"/>
      <c r="E335" s="10"/>
      <c r="F335" s="1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0"/>
      <c r="V335" s="11"/>
      <c r="W335" s="10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2.75" customHeight="1">
      <c r="A336" s="10"/>
      <c r="B336" s="11"/>
      <c r="C336" s="10"/>
      <c r="D336" s="11"/>
      <c r="E336" s="10"/>
      <c r="F336" s="1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0"/>
      <c r="V336" s="11"/>
      <c r="W336" s="10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2.75" customHeight="1">
      <c r="A337" s="10"/>
      <c r="B337" s="11"/>
      <c r="C337" s="10"/>
      <c r="D337" s="11"/>
      <c r="E337" s="10"/>
      <c r="F337" s="1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0"/>
      <c r="V337" s="11"/>
      <c r="W337" s="10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2.75" customHeight="1">
      <c r="A338" s="10"/>
      <c r="B338" s="11"/>
      <c r="C338" s="10"/>
      <c r="D338" s="11"/>
      <c r="E338" s="10"/>
      <c r="F338" s="1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0"/>
      <c r="V338" s="11"/>
      <c r="W338" s="10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2.75" customHeight="1">
      <c r="A339" s="10"/>
      <c r="B339" s="11"/>
      <c r="C339" s="10"/>
      <c r="D339" s="11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0"/>
      <c r="V339" s="11"/>
      <c r="W339" s="10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2.75" customHeight="1">
      <c r="A340" s="10"/>
      <c r="B340" s="11"/>
      <c r="C340" s="10"/>
      <c r="D340" s="11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0"/>
      <c r="V340" s="11"/>
      <c r="W340" s="10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2.75" customHeight="1">
      <c r="A341" s="10"/>
      <c r="B341" s="11"/>
      <c r="C341" s="10"/>
      <c r="D341" s="11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0"/>
      <c r="V341" s="11"/>
      <c r="W341" s="10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2.75" customHeight="1">
      <c r="A342" s="10"/>
      <c r="B342" s="11"/>
      <c r="C342" s="10"/>
      <c r="D342" s="11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0"/>
      <c r="V342" s="11"/>
      <c r="W342" s="10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2.75" customHeight="1">
      <c r="A343" s="10"/>
      <c r="B343" s="11"/>
      <c r="C343" s="10"/>
      <c r="D343" s="11"/>
      <c r="E343" s="10"/>
      <c r="F343" s="1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0"/>
      <c r="V343" s="11"/>
      <c r="W343" s="10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2.75" customHeight="1">
      <c r="A344" s="10"/>
      <c r="B344" s="11"/>
      <c r="C344" s="10"/>
      <c r="D344" s="11"/>
      <c r="E344" s="10"/>
      <c r="F344" s="1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0"/>
      <c r="V344" s="11"/>
      <c r="W344" s="10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2.75" customHeight="1">
      <c r="A345" s="10"/>
      <c r="B345" s="11"/>
      <c r="C345" s="10"/>
      <c r="D345" s="11"/>
      <c r="E345" s="10"/>
      <c r="F345" s="1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0"/>
      <c r="V345" s="11"/>
      <c r="W345" s="10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2.75" customHeight="1">
      <c r="A346" s="10"/>
      <c r="B346" s="11"/>
      <c r="C346" s="10"/>
      <c r="D346" s="11"/>
      <c r="E346" s="10"/>
      <c r="F346" s="1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0"/>
      <c r="V346" s="11"/>
      <c r="W346" s="10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2.75" customHeight="1">
      <c r="A347" s="10"/>
      <c r="B347" s="11"/>
      <c r="C347" s="10"/>
      <c r="D347" s="11"/>
      <c r="E347" s="10"/>
      <c r="F347" s="1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0"/>
      <c r="V347" s="11"/>
      <c r="W347" s="10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2.75" customHeight="1">
      <c r="A348" s="10"/>
      <c r="B348" s="11"/>
      <c r="C348" s="10"/>
      <c r="D348" s="11"/>
      <c r="E348" s="10"/>
      <c r="F348" s="1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0"/>
      <c r="V348" s="11"/>
      <c r="W348" s="10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2.75" customHeight="1">
      <c r="A349" s="10"/>
      <c r="B349" s="11"/>
      <c r="C349" s="10"/>
      <c r="D349" s="11"/>
      <c r="E349" s="10"/>
      <c r="F349" s="1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0"/>
      <c r="V349" s="11"/>
      <c r="W349" s="10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2.75" customHeight="1">
      <c r="A350" s="10"/>
      <c r="B350" s="11"/>
      <c r="C350" s="10"/>
      <c r="D350" s="11"/>
      <c r="E350" s="10"/>
      <c r="F350" s="1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0"/>
      <c r="V350" s="11"/>
      <c r="W350" s="10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2.75" customHeight="1">
      <c r="A351" s="10"/>
      <c r="B351" s="11"/>
      <c r="C351" s="10"/>
      <c r="D351" s="11"/>
      <c r="E351" s="10"/>
      <c r="F351" s="1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0"/>
      <c r="V351" s="11"/>
      <c r="W351" s="10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2.75" customHeight="1">
      <c r="A352" s="10"/>
      <c r="B352" s="11"/>
      <c r="C352" s="10"/>
      <c r="D352" s="11"/>
      <c r="E352" s="10"/>
      <c r="F352" s="1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0"/>
      <c r="V352" s="11"/>
      <c r="W352" s="10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2.75" customHeight="1">
      <c r="A353" s="10"/>
      <c r="B353" s="11"/>
      <c r="C353" s="10"/>
      <c r="D353" s="11"/>
      <c r="E353" s="10"/>
      <c r="F353" s="1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0"/>
      <c r="V353" s="11"/>
      <c r="W353" s="10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2.75" customHeight="1">
      <c r="A354" s="10"/>
      <c r="B354" s="11"/>
      <c r="C354" s="10"/>
      <c r="D354" s="11"/>
      <c r="E354" s="10"/>
      <c r="F354" s="1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0"/>
      <c r="V354" s="11"/>
      <c r="W354" s="10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2.75" customHeight="1">
      <c r="A355" s="10"/>
      <c r="B355" s="11"/>
      <c r="C355" s="10"/>
      <c r="D355" s="11"/>
      <c r="E355" s="10"/>
      <c r="F355" s="1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0"/>
      <c r="V355" s="11"/>
      <c r="W355" s="10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2.75" customHeight="1">
      <c r="A356" s="10"/>
      <c r="B356" s="11"/>
      <c r="C356" s="10"/>
      <c r="D356" s="11"/>
      <c r="E356" s="10"/>
      <c r="F356" s="1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0"/>
      <c r="V356" s="11"/>
      <c r="W356" s="10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2.75" customHeight="1">
      <c r="A357" s="10"/>
      <c r="B357" s="11"/>
      <c r="C357" s="10"/>
      <c r="D357" s="11"/>
      <c r="E357" s="10"/>
      <c r="F357" s="1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0"/>
      <c r="V357" s="11"/>
      <c r="W357" s="10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2.75" customHeight="1">
      <c r="A358" s="10"/>
      <c r="B358" s="11"/>
      <c r="C358" s="10"/>
      <c r="D358" s="11"/>
      <c r="E358" s="10"/>
      <c r="F358" s="1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0"/>
      <c r="V358" s="11"/>
      <c r="W358" s="10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2.75" customHeight="1">
      <c r="A359" s="10"/>
      <c r="B359" s="11"/>
      <c r="C359" s="10"/>
      <c r="D359" s="11"/>
      <c r="E359" s="10"/>
      <c r="F359" s="1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0"/>
      <c r="V359" s="11"/>
      <c r="W359" s="10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2.75" customHeight="1">
      <c r="A360" s="10"/>
      <c r="B360" s="11"/>
      <c r="C360" s="10"/>
      <c r="D360" s="11"/>
      <c r="E360" s="10"/>
      <c r="F360" s="1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0"/>
      <c r="V360" s="11"/>
      <c r="W360" s="10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2.75" customHeight="1">
      <c r="A361" s="10"/>
      <c r="B361" s="11"/>
      <c r="C361" s="10"/>
      <c r="D361" s="11"/>
      <c r="E361" s="10"/>
      <c r="F361" s="1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0"/>
      <c r="V361" s="11"/>
      <c r="W361" s="10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2.75" customHeight="1">
      <c r="A362" s="10"/>
      <c r="B362" s="11"/>
      <c r="C362" s="10"/>
      <c r="D362" s="11"/>
      <c r="E362" s="10"/>
      <c r="F362" s="1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0"/>
      <c r="V362" s="11"/>
      <c r="W362" s="10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2.75" customHeight="1">
      <c r="A363" s="10"/>
      <c r="B363" s="11"/>
      <c r="C363" s="10"/>
      <c r="D363" s="11"/>
      <c r="E363" s="10"/>
      <c r="F363" s="1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0"/>
      <c r="V363" s="11"/>
      <c r="W363" s="10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2.75" customHeight="1">
      <c r="A364" s="10"/>
      <c r="B364" s="11"/>
      <c r="C364" s="10"/>
      <c r="D364" s="11"/>
      <c r="E364" s="10"/>
      <c r="F364" s="1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0"/>
      <c r="V364" s="11"/>
      <c r="W364" s="10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2.75" customHeight="1">
      <c r="A365" s="10"/>
      <c r="B365" s="11"/>
      <c r="C365" s="10"/>
      <c r="D365" s="11"/>
      <c r="E365" s="10"/>
      <c r="F365" s="1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0"/>
      <c r="V365" s="11"/>
      <c r="W365" s="10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2.75" customHeight="1">
      <c r="A366" s="10"/>
      <c r="B366" s="11"/>
      <c r="C366" s="10"/>
      <c r="D366" s="11"/>
      <c r="E366" s="10"/>
      <c r="F366" s="1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0"/>
      <c r="V366" s="11"/>
      <c r="W366" s="10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2.75" customHeight="1">
      <c r="A367" s="10"/>
      <c r="B367" s="11"/>
      <c r="C367" s="10"/>
      <c r="D367" s="11"/>
      <c r="E367" s="10"/>
      <c r="F367" s="1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0"/>
      <c r="V367" s="11"/>
      <c r="W367" s="10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2.75" customHeight="1">
      <c r="A368" s="10"/>
      <c r="B368" s="11"/>
      <c r="C368" s="10"/>
      <c r="D368" s="11"/>
      <c r="E368" s="10"/>
      <c r="F368" s="1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0"/>
      <c r="V368" s="11"/>
      <c r="W368" s="10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2.75" customHeight="1">
      <c r="A369" s="10"/>
      <c r="B369" s="11"/>
      <c r="C369" s="10"/>
      <c r="D369" s="11"/>
      <c r="E369" s="10"/>
      <c r="F369" s="1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0"/>
      <c r="V369" s="11"/>
      <c r="W369" s="10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2.75" customHeight="1">
      <c r="A370" s="10"/>
      <c r="B370" s="11"/>
      <c r="C370" s="10"/>
      <c r="D370" s="11"/>
      <c r="E370" s="10"/>
      <c r="F370" s="1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0"/>
      <c r="V370" s="11"/>
      <c r="W370" s="10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2.75" customHeight="1">
      <c r="A371" s="10"/>
      <c r="B371" s="11"/>
      <c r="C371" s="10"/>
      <c r="D371" s="11"/>
      <c r="E371" s="10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0"/>
      <c r="V371" s="11"/>
      <c r="W371" s="10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2.75" customHeight="1">
      <c r="A372" s="10"/>
      <c r="B372" s="11"/>
      <c r="C372" s="10"/>
      <c r="D372" s="11"/>
      <c r="E372" s="10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0"/>
      <c r="V372" s="11"/>
      <c r="W372" s="10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2.75" customHeight="1">
      <c r="A373" s="10"/>
      <c r="B373" s="11"/>
      <c r="C373" s="10"/>
      <c r="D373" s="11"/>
      <c r="E373" s="10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0"/>
      <c r="V373" s="11"/>
      <c r="W373" s="10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2.75" customHeight="1">
      <c r="A374" s="10"/>
      <c r="B374" s="11"/>
      <c r="C374" s="10"/>
      <c r="D374" s="11"/>
      <c r="E374" s="10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0"/>
      <c r="V374" s="11"/>
      <c r="W374" s="10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2.75" customHeight="1">
      <c r="A375" s="10"/>
      <c r="B375" s="11"/>
      <c r="C375" s="10"/>
      <c r="D375" s="11"/>
      <c r="E375" s="10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0"/>
      <c r="V375" s="11"/>
      <c r="W375" s="10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2.75" customHeight="1">
      <c r="A376" s="10"/>
      <c r="B376" s="11"/>
      <c r="C376" s="10"/>
      <c r="D376" s="11"/>
      <c r="E376" s="10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0"/>
      <c r="V376" s="11"/>
      <c r="W376" s="10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2.75" customHeight="1">
      <c r="A377" s="10"/>
      <c r="B377" s="11"/>
      <c r="C377" s="10"/>
      <c r="D377" s="11"/>
      <c r="E377" s="10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0"/>
      <c r="V377" s="11"/>
      <c r="W377" s="10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2.75" customHeight="1">
      <c r="A378" s="10"/>
      <c r="B378" s="11"/>
      <c r="C378" s="10"/>
      <c r="D378" s="11"/>
      <c r="E378" s="10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0"/>
      <c r="V378" s="11"/>
      <c r="W378" s="10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2.75" customHeight="1">
      <c r="A379" s="10"/>
      <c r="B379" s="11"/>
      <c r="C379" s="10"/>
      <c r="D379" s="11"/>
      <c r="E379" s="10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0"/>
      <c r="V379" s="11"/>
      <c r="W379" s="10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2.75" customHeight="1">
      <c r="A380" s="10"/>
      <c r="B380" s="11"/>
      <c r="C380" s="10"/>
      <c r="D380" s="11"/>
      <c r="E380" s="10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0"/>
      <c r="V380" s="11"/>
      <c r="W380" s="10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2.75" customHeight="1">
      <c r="A381" s="10"/>
      <c r="B381" s="11"/>
      <c r="C381" s="10"/>
      <c r="D381" s="11"/>
      <c r="E381" s="10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0"/>
      <c r="V381" s="11"/>
      <c r="W381" s="10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2.75" customHeight="1">
      <c r="A382" s="10"/>
      <c r="B382" s="11"/>
      <c r="C382" s="10"/>
      <c r="D382" s="11"/>
      <c r="E382" s="10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0"/>
      <c r="V382" s="11"/>
      <c r="W382" s="10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2.75" customHeight="1">
      <c r="A383" s="10"/>
      <c r="B383" s="11"/>
      <c r="C383" s="10"/>
      <c r="D383" s="11"/>
      <c r="E383" s="10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0"/>
      <c r="V383" s="11"/>
      <c r="W383" s="10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2.75" customHeight="1">
      <c r="A384" s="10"/>
      <c r="B384" s="11"/>
      <c r="C384" s="10"/>
      <c r="D384" s="11"/>
      <c r="E384" s="10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0"/>
      <c r="V384" s="11"/>
      <c r="W384" s="10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2.75" customHeight="1">
      <c r="A385" s="10"/>
      <c r="B385" s="11"/>
      <c r="C385" s="10"/>
      <c r="D385" s="11"/>
      <c r="E385" s="10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0"/>
      <c r="V385" s="11"/>
      <c r="W385" s="10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2.75" customHeight="1">
      <c r="A386" s="10"/>
      <c r="B386" s="11"/>
      <c r="C386" s="10"/>
      <c r="D386" s="11"/>
      <c r="E386" s="10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0"/>
      <c r="V386" s="11"/>
      <c r="W386" s="10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2.75" customHeight="1">
      <c r="A387" s="10"/>
      <c r="B387" s="11"/>
      <c r="C387" s="10"/>
      <c r="D387" s="11"/>
      <c r="E387" s="10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0"/>
      <c r="V387" s="11"/>
      <c r="W387" s="10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2.75" customHeight="1">
      <c r="A388" s="10"/>
      <c r="B388" s="11"/>
      <c r="C388" s="10"/>
      <c r="D388" s="11"/>
      <c r="E388" s="10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0"/>
      <c r="V388" s="11"/>
      <c r="W388" s="10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2.75" customHeight="1">
      <c r="A389" s="10"/>
      <c r="B389" s="11"/>
      <c r="C389" s="10"/>
      <c r="D389" s="11"/>
      <c r="E389" s="10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0"/>
      <c r="V389" s="11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2.75" customHeight="1">
      <c r="A390" s="10"/>
      <c r="B390" s="11"/>
      <c r="C390" s="10"/>
      <c r="D390" s="11"/>
      <c r="E390" s="10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0"/>
      <c r="V390" s="11"/>
      <c r="W390" s="10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2.75" customHeight="1">
      <c r="A391" s="10"/>
      <c r="B391" s="11"/>
      <c r="C391" s="10"/>
      <c r="D391" s="11"/>
      <c r="E391" s="10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0"/>
      <c r="V391" s="11"/>
      <c r="W391" s="10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2.75" customHeight="1">
      <c r="A392" s="10"/>
      <c r="B392" s="11"/>
      <c r="C392" s="10"/>
      <c r="D392" s="11"/>
      <c r="E392" s="10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0"/>
      <c r="V392" s="11"/>
      <c r="W392" s="10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2.75" customHeight="1">
      <c r="A393" s="10"/>
      <c r="B393" s="11"/>
      <c r="C393" s="10"/>
      <c r="D393" s="11"/>
      <c r="E393" s="10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0"/>
      <c r="V393" s="11"/>
      <c r="W393" s="10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2.75" customHeight="1">
      <c r="A394" s="10"/>
      <c r="B394" s="11"/>
      <c r="C394" s="10"/>
      <c r="D394" s="11"/>
      <c r="E394" s="10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0"/>
      <c r="V394" s="11"/>
      <c r="W394" s="10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2.75" customHeight="1">
      <c r="A395" s="10"/>
      <c r="B395" s="11"/>
      <c r="C395" s="10"/>
      <c r="D395" s="11"/>
      <c r="E395" s="10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0"/>
      <c r="V395" s="11"/>
      <c r="W395" s="10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2.75" customHeight="1">
      <c r="A396" s="10"/>
      <c r="B396" s="11"/>
      <c r="C396" s="10"/>
      <c r="D396" s="11"/>
      <c r="E396" s="10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0"/>
      <c r="V396" s="11"/>
      <c r="W396" s="10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2.75" customHeight="1">
      <c r="A397" s="10"/>
      <c r="B397" s="11"/>
      <c r="C397" s="10"/>
      <c r="D397" s="11"/>
      <c r="E397" s="10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0"/>
      <c r="V397" s="11"/>
      <c r="W397" s="10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2.75" customHeight="1">
      <c r="A398" s="10"/>
      <c r="B398" s="11"/>
      <c r="C398" s="10"/>
      <c r="D398" s="11"/>
      <c r="E398" s="10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0"/>
      <c r="V398" s="11"/>
      <c r="W398" s="10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2.75" customHeight="1">
      <c r="A399" s="10"/>
      <c r="B399" s="11"/>
      <c r="C399" s="10"/>
      <c r="D399" s="11"/>
      <c r="E399" s="10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0"/>
      <c r="V399" s="11"/>
      <c r="W399" s="10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2.75" customHeight="1">
      <c r="A400" s="10"/>
      <c r="B400" s="11"/>
      <c r="C400" s="10"/>
      <c r="D400" s="11"/>
      <c r="E400" s="10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0"/>
      <c r="V400" s="11"/>
      <c r="W400" s="10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2.75" customHeight="1">
      <c r="A401" s="10"/>
      <c r="B401" s="11"/>
      <c r="C401" s="10"/>
      <c r="D401" s="11"/>
      <c r="E401" s="10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0"/>
      <c r="V401" s="11"/>
      <c r="W401" s="10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2.75" customHeight="1">
      <c r="A402" s="10"/>
      <c r="B402" s="11"/>
      <c r="C402" s="10"/>
      <c r="D402" s="11"/>
      <c r="E402" s="10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0"/>
      <c r="V402" s="11"/>
      <c r="W402" s="10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2.75" customHeight="1">
      <c r="A403" s="10"/>
      <c r="B403" s="11"/>
      <c r="C403" s="10"/>
      <c r="D403" s="11"/>
      <c r="E403" s="10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0"/>
      <c r="V403" s="11"/>
      <c r="W403" s="10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2.75" customHeight="1">
      <c r="A404" s="10"/>
      <c r="B404" s="11"/>
      <c r="C404" s="10"/>
      <c r="D404" s="11"/>
      <c r="E404" s="10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0"/>
      <c r="V404" s="11"/>
      <c r="W404" s="10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2.75" customHeight="1">
      <c r="A405" s="10"/>
      <c r="B405" s="11"/>
      <c r="C405" s="10"/>
      <c r="D405" s="11"/>
      <c r="E405" s="10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0"/>
      <c r="V405" s="11"/>
      <c r="W405" s="10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2.75" customHeight="1">
      <c r="A406" s="10"/>
      <c r="B406" s="11"/>
      <c r="C406" s="10"/>
      <c r="D406" s="11"/>
      <c r="E406" s="10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0"/>
      <c r="V406" s="11"/>
      <c r="W406" s="10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2.75" customHeight="1">
      <c r="A407" s="10"/>
      <c r="B407" s="11"/>
      <c r="C407" s="10"/>
      <c r="D407" s="11"/>
      <c r="E407" s="10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0"/>
      <c r="V407" s="11"/>
      <c r="W407" s="10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2.75" customHeight="1">
      <c r="A408" s="10"/>
      <c r="B408" s="11"/>
      <c r="C408" s="10"/>
      <c r="D408" s="11"/>
      <c r="E408" s="10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0"/>
      <c r="V408" s="11"/>
      <c r="W408" s="10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2.75" customHeight="1">
      <c r="A409" s="10"/>
      <c r="B409" s="11"/>
      <c r="C409" s="10"/>
      <c r="D409" s="11"/>
      <c r="E409" s="10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0"/>
      <c r="V409" s="11"/>
      <c r="W409" s="10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2.75" customHeight="1">
      <c r="A410" s="10"/>
      <c r="B410" s="11"/>
      <c r="C410" s="10"/>
      <c r="D410" s="11"/>
      <c r="E410" s="10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0"/>
      <c r="V410" s="11"/>
      <c r="W410" s="10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2.75" customHeight="1">
      <c r="A411" s="10"/>
      <c r="B411" s="11"/>
      <c r="C411" s="10"/>
      <c r="D411" s="11"/>
      <c r="E411" s="10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0"/>
      <c r="V411" s="11"/>
      <c r="W411" s="10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2.75" customHeight="1">
      <c r="A412" s="10"/>
      <c r="B412" s="11"/>
      <c r="C412" s="10"/>
      <c r="D412" s="11"/>
      <c r="E412" s="10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0"/>
      <c r="V412" s="11"/>
      <c r="W412" s="10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2.75" customHeight="1">
      <c r="A413" s="10"/>
      <c r="B413" s="11"/>
      <c r="C413" s="10"/>
      <c r="D413" s="11"/>
      <c r="E413" s="10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0"/>
      <c r="V413" s="11"/>
      <c r="W413" s="10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2.75" customHeight="1">
      <c r="A414" s="10"/>
      <c r="B414" s="11"/>
      <c r="C414" s="10"/>
      <c r="D414" s="11"/>
      <c r="E414" s="10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0"/>
      <c r="V414" s="11"/>
      <c r="W414" s="10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2.75" customHeight="1">
      <c r="A415" s="10"/>
      <c r="B415" s="11"/>
      <c r="C415" s="10"/>
      <c r="D415" s="11"/>
      <c r="E415" s="10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0"/>
      <c r="V415" s="11"/>
      <c r="W415" s="10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2.75" customHeight="1">
      <c r="A416" s="10"/>
      <c r="B416" s="11"/>
      <c r="C416" s="10"/>
      <c r="D416" s="11"/>
      <c r="E416" s="10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0"/>
      <c r="V416" s="11"/>
      <c r="W416" s="10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2.75" customHeight="1">
      <c r="A417" s="10"/>
      <c r="B417" s="11"/>
      <c r="C417" s="10"/>
      <c r="D417" s="11"/>
      <c r="E417" s="10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0"/>
      <c r="V417" s="11"/>
      <c r="W417" s="10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2.75" customHeight="1">
      <c r="A418" s="10"/>
      <c r="B418" s="11"/>
      <c r="C418" s="10"/>
      <c r="D418" s="11"/>
      <c r="E418" s="10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0"/>
      <c r="V418" s="11"/>
      <c r="W418" s="10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2.75" customHeight="1">
      <c r="A419" s="10"/>
      <c r="B419" s="11"/>
      <c r="C419" s="10"/>
      <c r="D419" s="11"/>
      <c r="E419" s="10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0"/>
      <c r="V419" s="11"/>
      <c r="W419" s="10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2.75" customHeight="1">
      <c r="A420" s="10"/>
      <c r="B420" s="11"/>
      <c r="C420" s="10"/>
      <c r="D420" s="11"/>
      <c r="E420" s="10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0"/>
      <c r="V420" s="11"/>
      <c r="W420" s="10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2.75" customHeight="1">
      <c r="A421" s="10"/>
      <c r="B421" s="11"/>
      <c r="C421" s="10"/>
      <c r="D421" s="11"/>
      <c r="E421" s="10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0"/>
      <c r="V421" s="11"/>
      <c r="W421" s="10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2.75" customHeight="1">
      <c r="A422" s="10"/>
      <c r="B422" s="11"/>
      <c r="C422" s="10"/>
      <c r="D422" s="11"/>
      <c r="E422" s="10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0"/>
      <c r="V422" s="11"/>
      <c r="W422" s="10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2.75" customHeight="1">
      <c r="A423" s="10"/>
      <c r="B423" s="11"/>
      <c r="C423" s="10"/>
      <c r="D423" s="11"/>
      <c r="E423" s="10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0"/>
      <c r="V423" s="11"/>
      <c r="W423" s="10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2.75" customHeight="1">
      <c r="A424" s="10"/>
      <c r="B424" s="11"/>
      <c r="C424" s="10"/>
      <c r="D424" s="11"/>
      <c r="E424" s="10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0"/>
      <c r="V424" s="11"/>
      <c r="W424" s="10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2.75" customHeight="1">
      <c r="A425" s="10"/>
      <c r="B425" s="11"/>
      <c r="C425" s="10"/>
      <c r="D425" s="11"/>
      <c r="E425" s="10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0"/>
      <c r="V425" s="11"/>
      <c r="W425" s="10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2.75" customHeight="1">
      <c r="A426" s="10"/>
      <c r="B426" s="11"/>
      <c r="C426" s="10"/>
      <c r="D426" s="11"/>
      <c r="E426" s="10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0"/>
      <c r="V426" s="11"/>
      <c r="W426" s="10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2.75" customHeight="1">
      <c r="A427" s="10"/>
      <c r="B427" s="11"/>
      <c r="C427" s="10"/>
      <c r="D427" s="11"/>
      <c r="E427" s="10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0"/>
      <c r="V427" s="11"/>
      <c r="W427" s="10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2.75" customHeight="1">
      <c r="A428" s="10"/>
      <c r="B428" s="11"/>
      <c r="C428" s="10"/>
      <c r="D428" s="11"/>
      <c r="E428" s="10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0"/>
      <c r="V428" s="11"/>
      <c r="W428" s="10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2.75" customHeight="1">
      <c r="A429" s="10"/>
      <c r="B429" s="11"/>
      <c r="C429" s="10"/>
      <c r="D429" s="11"/>
      <c r="E429" s="10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0"/>
      <c r="V429" s="11"/>
      <c r="W429" s="10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2.75" customHeight="1">
      <c r="A430" s="10"/>
      <c r="B430" s="11"/>
      <c r="C430" s="10"/>
      <c r="D430" s="11"/>
      <c r="E430" s="10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0"/>
      <c r="V430" s="11"/>
      <c r="W430" s="10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2.75" customHeight="1">
      <c r="A431" s="10"/>
      <c r="B431" s="11"/>
      <c r="C431" s="10"/>
      <c r="D431" s="11"/>
      <c r="E431" s="10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0"/>
      <c r="V431" s="11"/>
      <c r="W431" s="10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2.75" customHeight="1">
      <c r="A432" s="10"/>
      <c r="B432" s="11"/>
      <c r="C432" s="10"/>
      <c r="D432" s="11"/>
      <c r="E432" s="10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0"/>
      <c r="V432" s="11"/>
      <c r="W432" s="10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2.75" customHeight="1">
      <c r="A433" s="10"/>
      <c r="B433" s="11"/>
      <c r="C433" s="10"/>
      <c r="D433" s="11"/>
      <c r="E433" s="10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0"/>
      <c r="V433" s="11"/>
      <c r="W433" s="10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2.75" customHeight="1">
      <c r="A434" s="10"/>
      <c r="B434" s="11"/>
      <c r="C434" s="10"/>
      <c r="D434" s="11"/>
      <c r="E434" s="10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0"/>
      <c r="V434" s="11"/>
      <c r="W434" s="10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2.75" customHeight="1">
      <c r="A435" s="10"/>
      <c r="B435" s="11"/>
      <c r="C435" s="10"/>
      <c r="D435" s="11"/>
      <c r="E435" s="10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0"/>
      <c r="V435" s="11"/>
      <c r="W435" s="10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2.75" customHeight="1">
      <c r="A436" s="10"/>
      <c r="B436" s="11"/>
      <c r="C436" s="10"/>
      <c r="D436" s="11"/>
      <c r="E436" s="10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0"/>
      <c r="V436" s="11"/>
      <c r="W436" s="10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2.75" customHeight="1">
      <c r="A437" s="10"/>
      <c r="B437" s="11"/>
      <c r="C437" s="10"/>
      <c r="D437" s="11"/>
      <c r="E437" s="10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0"/>
      <c r="V437" s="11"/>
      <c r="W437" s="10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2.75" customHeight="1">
      <c r="A438" s="10"/>
      <c r="B438" s="11"/>
      <c r="C438" s="10"/>
      <c r="D438" s="11"/>
      <c r="E438" s="10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0"/>
      <c r="V438" s="11"/>
      <c r="W438" s="10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2.75" customHeight="1">
      <c r="A439" s="10"/>
      <c r="B439" s="11"/>
      <c r="C439" s="10"/>
      <c r="D439" s="11"/>
      <c r="E439" s="10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0"/>
      <c r="V439" s="11"/>
      <c r="W439" s="10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2.75" customHeight="1">
      <c r="A440" s="10"/>
      <c r="B440" s="11"/>
      <c r="C440" s="10"/>
      <c r="D440" s="11"/>
      <c r="E440" s="10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0"/>
      <c r="V440" s="11"/>
      <c r="W440" s="10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2.75" customHeight="1">
      <c r="A441" s="10"/>
      <c r="B441" s="11"/>
      <c r="C441" s="10"/>
      <c r="D441" s="11"/>
      <c r="E441" s="10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0"/>
      <c r="V441" s="11"/>
      <c r="W441" s="10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2.75" customHeight="1">
      <c r="A442" s="10"/>
      <c r="B442" s="11"/>
      <c r="C442" s="10"/>
      <c r="D442" s="11"/>
      <c r="E442" s="10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0"/>
      <c r="V442" s="11"/>
      <c r="W442" s="10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2.75" customHeight="1">
      <c r="A443" s="10"/>
      <c r="B443" s="11"/>
      <c r="C443" s="10"/>
      <c r="D443" s="11"/>
      <c r="E443" s="10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0"/>
      <c r="V443" s="11"/>
      <c r="W443" s="10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2.75" customHeight="1">
      <c r="A444" s="10"/>
      <c r="B444" s="11"/>
      <c r="C444" s="10"/>
      <c r="D444" s="11"/>
      <c r="E444" s="10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0"/>
      <c r="V444" s="11"/>
      <c r="W444" s="10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2.75" customHeight="1">
      <c r="A445" s="10"/>
      <c r="B445" s="11"/>
      <c r="C445" s="10"/>
      <c r="D445" s="11"/>
      <c r="E445" s="10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0"/>
      <c r="V445" s="11"/>
      <c r="W445" s="10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2.75" customHeight="1">
      <c r="A446" s="10"/>
      <c r="B446" s="11"/>
      <c r="C446" s="10"/>
      <c r="D446" s="11"/>
      <c r="E446" s="10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0"/>
      <c r="V446" s="11"/>
      <c r="W446" s="10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2.75" customHeight="1">
      <c r="A447" s="10"/>
      <c r="B447" s="11"/>
      <c r="C447" s="10"/>
      <c r="D447" s="11"/>
      <c r="E447" s="10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0"/>
      <c r="V447" s="11"/>
      <c r="W447" s="10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2.75" customHeight="1">
      <c r="A448" s="10"/>
      <c r="B448" s="11"/>
      <c r="C448" s="10"/>
      <c r="D448" s="11"/>
      <c r="E448" s="10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0"/>
      <c r="V448" s="11"/>
      <c r="W448" s="10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2.75" customHeight="1">
      <c r="A449" s="10"/>
      <c r="B449" s="11"/>
      <c r="C449" s="10"/>
      <c r="D449" s="11"/>
      <c r="E449" s="10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0"/>
      <c r="V449" s="11"/>
      <c r="W449" s="10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2.75" customHeight="1">
      <c r="A450" s="10"/>
      <c r="B450" s="11"/>
      <c r="C450" s="10"/>
      <c r="D450" s="11"/>
      <c r="E450" s="10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0"/>
      <c r="V450" s="11"/>
      <c r="W450" s="10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2.75" customHeight="1">
      <c r="A451" s="10"/>
      <c r="B451" s="11"/>
      <c r="C451" s="10"/>
      <c r="D451" s="11"/>
      <c r="E451" s="10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0"/>
      <c r="V451" s="11"/>
      <c r="W451" s="10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2.75" customHeight="1">
      <c r="A452" s="10"/>
      <c r="B452" s="11"/>
      <c r="C452" s="10"/>
      <c r="D452" s="11"/>
      <c r="E452" s="10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0"/>
      <c r="V452" s="11"/>
      <c r="W452" s="10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2.75" customHeight="1">
      <c r="A453" s="10"/>
      <c r="B453" s="11"/>
      <c r="C453" s="10"/>
      <c r="D453" s="11"/>
      <c r="E453" s="10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0"/>
      <c r="V453" s="11"/>
      <c r="W453" s="10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2.75" customHeight="1">
      <c r="A454" s="10"/>
      <c r="B454" s="11"/>
      <c r="C454" s="10"/>
      <c r="D454" s="11"/>
      <c r="E454" s="10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0"/>
      <c r="V454" s="11"/>
      <c r="W454" s="10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2.75" customHeight="1">
      <c r="A455" s="10"/>
      <c r="B455" s="11"/>
      <c r="C455" s="10"/>
      <c r="D455" s="11"/>
      <c r="E455" s="10"/>
      <c r="F455" s="1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0"/>
      <c r="V455" s="11"/>
      <c r="W455" s="10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2.75" customHeight="1">
      <c r="A456" s="10"/>
      <c r="B456" s="11"/>
      <c r="C456" s="10"/>
      <c r="D456" s="11"/>
      <c r="E456" s="10"/>
      <c r="F456" s="1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0"/>
      <c r="V456" s="11"/>
      <c r="W456" s="10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2.75" customHeight="1">
      <c r="A457" s="10"/>
      <c r="B457" s="11"/>
      <c r="C457" s="10"/>
      <c r="D457" s="11"/>
      <c r="E457" s="10"/>
      <c r="F457" s="1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0"/>
      <c r="V457" s="11"/>
      <c r="W457" s="10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2.75" customHeight="1">
      <c r="A458" s="10"/>
      <c r="B458" s="11"/>
      <c r="C458" s="10"/>
      <c r="D458" s="11"/>
      <c r="E458" s="10"/>
      <c r="F458" s="1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0"/>
      <c r="V458" s="11"/>
      <c r="W458" s="10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2.75" customHeight="1">
      <c r="A459" s="10"/>
      <c r="B459" s="11"/>
      <c r="C459" s="10"/>
      <c r="D459" s="11"/>
      <c r="E459" s="10"/>
      <c r="F459" s="1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0"/>
      <c r="V459" s="11"/>
      <c r="W459" s="10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2.75" customHeight="1">
      <c r="A460" s="10"/>
      <c r="B460" s="11"/>
      <c r="C460" s="10"/>
      <c r="D460" s="11"/>
      <c r="E460" s="10"/>
      <c r="F460" s="1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0"/>
      <c r="V460" s="11"/>
      <c r="W460" s="10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2.75" customHeight="1">
      <c r="A461" s="10"/>
      <c r="B461" s="11"/>
      <c r="C461" s="10"/>
      <c r="D461" s="11"/>
      <c r="E461" s="10"/>
      <c r="F461" s="1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0"/>
      <c r="V461" s="11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2.75" customHeight="1">
      <c r="A462" s="10"/>
      <c r="B462" s="11"/>
      <c r="C462" s="10"/>
      <c r="D462" s="11"/>
      <c r="E462" s="10"/>
      <c r="F462" s="1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0"/>
      <c r="V462" s="11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2.75" customHeight="1">
      <c r="A463" s="10"/>
      <c r="B463" s="11"/>
      <c r="C463" s="10"/>
      <c r="D463" s="11"/>
      <c r="E463" s="10"/>
      <c r="F463" s="1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0"/>
      <c r="V463" s="11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2.75" customHeight="1">
      <c r="A464" s="10"/>
      <c r="B464" s="11"/>
      <c r="C464" s="10"/>
      <c r="D464" s="11"/>
      <c r="E464" s="10"/>
      <c r="F464" s="1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0"/>
      <c r="V464" s="11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2.75" customHeight="1">
      <c r="A465" s="10"/>
      <c r="B465" s="11"/>
      <c r="C465" s="10"/>
      <c r="D465" s="11"/>
      <c r="E465" s="10"/>
      <c r="F465" s="1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0"/>
      <c r="V465" s="11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2.75" customHeight="1">
      <c r="A466" s="10"/>
      <c r="B466" s="11"/>
      <c r="C466" s="10"/>
      <c r="D466" s="11"/>
      <c r="E466" s="10"/>
      <c r="F466" s="1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0"/>
      <c r="V466" s="11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2.75" customHeight="1">
      <c r="A467" s="10"/>
      <c r="B467" s="11"/>
      <c r="C467" s="10"/>
      <c r="D467" s="11"/>
      <c r="E467" s="10"/>
      <c r="F467" s="1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0"/>
      <c r="V467" s="11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2.75" customHeight="1">
      <c r="A468" s="10"/>
      <c r="B468" s="11"/>
      <c r="C468" s="10"/>
      <c r="D468" s="11"/>
      <c r="E468" s="10"/>
      <c r="F468" s="1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0"/>
      <c r="V468" s="11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2.75" customHeight="1">
      <c r="A469" s="10"/>
      <c r="B469" s="11"/>
      <c r="C469" s="10"/>
      <c r="D469" s="11"/>
      <c r="E469" s="10"/>
      <c r="F469" s="1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0"/>
      <c r="V469" s="11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2.75" customHeight="1">
      <c r="A470" s="10"/>
      <c r="B470" s="11"/>
      <c r="C470" s="10"/>
      <c r="D470" s="11"/>
      <c r="E470" s="10"/>
      <c r="F470" s="1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0"/>
      <c r="V470" s="11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2.75" customHeight="1">
      <c r="A471" s="10"/>
      <c r="B471" s="11"/>
      <c r="C471" s="10"/>
      <c r="D471" s="11"/>
      <c r="E471" s="10"/>
      <c r="F471" s="1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0"/>
      <c r="V471" s="11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2.75" customHeight="1">
      <c r="A472" s="10"/>
      <c r="B472" s="11"/>
      <c r="C472" s="10"/>
      <c r="D472" s="11"/>
      <c r="E472" s="10"/>
      <c r="F472" s="1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0"/>
      <c r="V472" s="11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2.75" customHeight="1">
      <c r="A473" s="10"/>
      <c r="B473" s="11"/>
      <c r="C473" s="10"/>
      <c r="D473" s="11"/>
      <c r="E473" s="10"/>
      <c r="F473" s="1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0"/>
      <c r="V473" s="11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2.75" customHeight="1">
      <c r="A474" s="10"/>
      <c r="B474" s="11"/>
      <c r="C474" s="10"/>
      <c r="D474" s="11"/>
      <c r="E474" s="10"/>
      <c r="F474" s="1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0"/>
      <c r="V474" s="11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2.75" customHeight="1">
      <c r="A475" s="10"/>
      <c r="B475" s="11"/>
      <c r="C475" s="10"/>
      <c r="D475" s="11"/>
      <c r="E475" s="10"/>
      <c r="F475" s="1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0"/>
      <c r="V475" s="11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2.75" customHeight="1">
      <c r="A476" s="10"/>
      <c r="B476" s="11"/>
      <c r="C476" s="10"/>
      <c r="D476" s="11"/>
      <c r="E476" s="10"/>
      <c r="F476" s="1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0"/>
      <c r="V476" s="11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2.75" customHeight="1">
      <c r="A477" s="10"/>
      <c r="B477" s="11"/>
      <c r="C477" s="10"/>
      <c r="D477" s="11"/>
      <c r="E477" s="10"/>
      <c r="F477" s="1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0"/>
      <c r="V477" s="11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2.75" customHeight="1">
      <c r="A478" s="10"/>
      <c r="B478" s="11"/>
      <c r="C478" s="10"/>
      <c r="D478" s="11"/>
      <c r="E478" s="10"/>
      <c r="F478" s="1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0"/>
      <c r="V478" s="11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2.75" customHeight="1">
      <c r="A479" s="10"/>
      <c r="B479" s="11"/>
      <c r="C479" s="10"/>
      <c r="D479" s="11"/>
      <c r="E479" s="10"/>
      <c r="F479" s="1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0"/>
      <c r="V479" s="11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2.75" customHeight="1">
      <c r="A480" s="10"/>
      <c r="B480" s="11"/>
      <c r="C480" s="10"/>
      <c r="D480" s="11"/>
      <c r="E480" s="10"/>
      <c r="F480" s="1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0"/>
      <c r="V480" s="11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2.75" customHeight="1">
      <c r="A481" s="10"/>
      <c r="B481" s="11"/>
      <c r="C481" s="10"/>
      <c r="D481" s="11"/>
      <c r="E481" s="10"/>
      <c r="F481" s="1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0"/>
      <c r="V481" s="11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2.75" customHeight="1">
      <c r="A482" s="10"/>
      <c r="B482" s="11"/>
      <c r="C482" s="10"/>
      <c r="D482" s="11"/>
      <c r="E482" s="10"/>
      <c r="F482" s="1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0"/>
      <c r="V482" s="11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2.75" customHeight="1">
      <c r="A483" s="10"/>
      <c r="B483" s="11"/>
      <c r="C483" s="10"/>
      <c r="D483" s="11"/>
      <c r="E483" s="10"/>
      <c r="F483" s="1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0"/>
      <c r="V483" s="11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2.75" customHeight="1">
      <c r="A484" s="10"/>
      <c r="B484" s="11"/>
      <c r="C484" s="10"/>
      <c r="D484" s="11"/>
      <c r="E484" s="10"/>
      <c r="F484" s="1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0"/>
      <c r="V484" s="11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2.75" customHeight="1">
      <c r="A485" s="10"/>
      <c r="B485" s="11"/>
      <c r="C485" s="10"/>
      <c r="D485" s="11"/>
      <c r="E485" s="10"/>
      <c r="F485" s="1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0"/>
      <c r="V485" s="11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2.75" customHeight="1">
      <c r="A486" s="10"/>
      <c r="B486" s="11"/>
      <c r="C486" s="10"/>
      <c r="D486" s="11"/>
      <c r="E486" s="10"/>
      <c r="F486" s="1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0"/>
      <c r="V486" s="11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2.75" customHeight="1">
      <c r="A487" s="10"/>
      <c r="B487" s="11"/>
      <c r="C487" s="10"/>
      <c r="D487" s="11"/>
      <c r="E487" s="10"/>
      <c r="F487" s="1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0"/>
      <c r="V487" s="11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2.75" customHeight="1">
      <c r="A488" s="10"/>
      <c r="B488" s="11"/>
      <c r="C488" s="10"/>
      <c r="D488" s="11"/>
      <c r="E488" s="10"/>
      <c r="F488" s="1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0"/>
      <c r="V488" s="11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2.75" customHeight="1">
      <c r="A489" s="10"/>
      <c r="B489" s="11"/>
      <c r="C489" s="10"/>
      <c r="D489" s="11"/>
      <c r="E489" s="10"/>
      <c r="F489" s="1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0"/>
      <c r="V489" s="11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2.75" customHeight="1">
      <c r="A490" s="10"/>
      <c r="B490" s="11"/>
      <c r="C490" s="10"/>
      <c r="D490" s="11"/>
      <c r="E490" s="10"/>
      <c r="F490" s="1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0"/>
      <c r="V490" s="11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2.75" customHeight="1">
      <c r="A491" s="10"/>
      <c r="B491" s="11"/>
      <c r="C491" s="10"/>
      <c r="D491" s="11"/>
      <c r="E491" s="10"/>
      <c r="F491" s="1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0"/>
      <c r="V491" s="11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2.75" customHeight="1">
      <c r="A492" s="10"/>
      <c r="B492" s="11"/>
      <c r="C492" s="10"/>
      <c r="D492" s="11"/>
      <c r="E492" s="10"/>
      <c r="F492" s="1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0"/>
      <c r="V492" s="11"/>
      <c r="W492" s="10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2.75" customHeight="1">
      <c r="A493" s="10"/>
      <c r="B493" s="11"/>
      <c r="C493" s="10"/>
      <c r="D493" s="11"/>
      <c r="E493" s="10"/>
      <c r="F493" s="1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0"/>
      <c r="V493" s="11"/>
      <c r="W493" s="10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2.75" customHeight="1">
      <c r="A494" s="10"/>
      <c r="B494" s="11"/>
      <c r="C494" s="10"/>
      <c r="D494" s="11"/>
      <c r="E494" s="10"/>
      <c r="F494" s="1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0"/>
      <c r="V494" s="11"/>
      <c r="W494" s="10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2.75" customHeight="1">
      <c r="A495" s="10"/>
      <c r="B495" s="11"/>
      <c r="C495" s="10"/>
      <c r="D495" s="11"/>
      <c r="E495" s="10"/>
      <c r="F495" s="1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0"/>
      <c r="V495" s="11"/>
      <c r="W495" s="10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2.75" customHeight="1">
      <c r="A496" s="10"/>
      <c r="B496" s="11"/>
      <c r="C496" s="10"/>
      <c r="D496" s="11"/>
      <c r="E496" s="10"/>
      <c r="F496" s="1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0"/>
      <c r="V496" s="11"/>
      <c r="W496" s="10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2.75" customHeight="1">
      <c r="A497" s="10"/>
      <c r="B497" s="11"/>
      <c r="C497" s="10"/>
      <c r="D497" s="11"/>
      <c r="E497" s="10"/>
      <c r="F497" s="1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0"/>
      <c r="V497" s="11"/>
      <c r="W497" s="10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2.75" customHeight="1">
      <c r="A498" s="10"/>
      <c r="B498" s="11"/>
      <c r="C498" s="10"/>
      <c r="D498" s="11"/>
      <c r="E498" s="10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0"/>
      <c r="V498" s="11"/>
      <c r="W498" s="10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2.75" customHeight="1">
      <c r="A499" s="10"/>
      <c r="B499" s="11"/>
      <c r="C499" s="10"/>
      <c r="D499" s="11"/>
      <c r="E499" s="10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0"/>
      <c r="V499" s="11"/>
      <c r="W499" s="10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2.75" customHeight="1">
      <c r="A500" s="10"/>
      <c r="B500" s="11"/>
      <c r="C500" s="10"/>
      <c r="D500" s="11"/>
      <c r="E500" s="10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0"/>
      <c r="V500" s="11"/>
      <c r="W500" s="10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2.75" customHeight="1">
      <c r="A501" s="10"/>
      <c r="B501" s="11"/>
      <c r="C501" s="10"/>
      <c r="D501" s="11"/>
      <c r="E501" s="10"/>
      <c r="F501" s="1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0"/>
      <c r="V501" s="11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2.75" customHeight="1">
      <c r="A502" s="10"/>
      <c r="B502" s="11"/>
      <c r="C502" s="10"/>
      <c r="D502" s="11"/>
      <c r="E502" s="10"/>
      <c r="F502" s="1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0"/>
      <c r="V502" s="11"/>
      <c r="W502" s="10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2.75" customHeight="1">
      <c r="A503" s="10"/>
      <c r="B503" s="11"/>
      <c r="C503" s="10"/>
      <c r="D503" s="11"/>
      <c r="E503" s="10"/>
      <c r="F503" s="1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0"/>
      <c r="V503" s="11"/>
      <c r="W503" s="10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2.75" customHeight="1">
      <c r="A504" s="10"/>
      <c r="B504" s="11"/>
      <c r="C504" s="10"/>
      <c r="D504" s="11"/>
      <c r="E504" s="10"/>
      <c r="F504" s="1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0"/>
      <c r="V504" s="11"/>
      <c r="W504" s="10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2.75" customHeight="1">
      <c r="A505" s="10"/>
      <c r="B505" s="11"/>
      <c r="C505" s="10"/>
      <c r="D505" s="11"/>
      <c r="E505" s="10"/>
      <c r="F505" s="1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0"/>
      <c r="V505" s="11"/>
      <c r="W505" s="10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2.75" customHeight="1">
      <c r="A506" s="10"/>
      <c r="B506" s="11"/>
      <c r="C506" s="10"/>
      <c r="D506" s="11"/>
      <c r="E506" s="10"/>
      <c r="F506" s="1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0"/>
      <c r="V506" s="11"/>
      <c r="W506" s="10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2.75" customHeight="1">
      <c r="A507" s="10"/>
      <c r="B507" s="11"/>
      <c r="C507" s="10"/>
      <c r="D507" s="11"/>
      <c r="E507" s="10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0"/>
      <c r="V507" s="11"/>
      <c r="W507" s="10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2.75" customHeight="1">
      <c r="A508" s="10"/>
      <c r="B508" s="11"/>
      <c r="C508" s="10"/>
      <c r="D508" s="11"/>
      <c r="E508" s="10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0"/>
      <c r="V508" s="11"/>
      <c r="W508" s="10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2.75" customHeight="1">
      <c r="A509" s="10"/>
      <c r="B509" s="11"/>
      <c r="C509" s="10"/>
      <c r="D509" s="11"/>
      <c r="E509" s="10"/>
      <c r="F509" s="1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0"/>
      <c r="V509" s="11"/>
      <c r="W509" s="10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2.75" customHeight="1">
      <c r="A510" s="10"/>
      <c r="B510" s="11"/>
      <c r="C510" s="10"/>
      <c r="D510" s="11"/>
      <c r="E510" s="10"/>
      <c r="F510" s="1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0"/>
      <c r="V510" s="11"/>
      <c r="W510" s="10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2.75" customHeight="1">
      <c r="A511" s="10"/>
      <c r="B511" s="11"/>
      <c r="C511" s="10"/>
      <c r="D511" s="11"/>
      <c r="E511" s="10"/>
      <c r="F511" s="1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0"/>
      <c r="V511" s="11"/>
      <c r="W511" s="10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2.75" customHeight="1">
      <c r="A512" s="10"/>
      <c r="B512" s="11"/>
      <c r="C512" s="10"/>
      <c r="D512" s="11"/>
      <c r="E512" s="10"/>
      <c r="F512" s="1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0"/>
      <c r="V512" s="11"/>
      <c r="W512" s="10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2.75" customHeight="1">
      <c r="A513" s="10"/>
      <c r="B513" s="11"/>
      <c r="C513" s="10"/>
      <c r="D513" s="11"/>
      <c r="E513" s="10"/>
      <c r="F513" s="1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0"/>
      <c r="V513" s="11"/>
      <c r="W513" s="10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2.75" customHeight="1">
      <c r="A514" s="10"/>
      <c r="B514" s="11"/>
      <c r="C514" s="10"/>
      <c r="D514" s="11"/>
      <c r="E514" s="10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0"/>
      <c r="V514" s="11"/>
      <c r="W514" s="10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2.75" customHeight="1">
      <c r="A515" s="10"/>
      <c r="B515" s="11"/>
      <c r="C515" s="10"/>
      <c r="D515" s="11"/>
      <c r="E515" s="10"/>
      <c r="F515" s="1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0"/>
      <c r="V515" s="11"/>
      <c r="W515" s="10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2.75" customHeight="1">
      <c r="A516" s="10"/>
      <c r="B516" s="11"/>
      <c r="C516" s="10"/>
      <c r="D516" s="11"/>
      <c r="E516" s="10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0"/>
      <c r="V516" s="11"/>
      <c r="W516" s="10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2.75" customHeight="1">
      <c r="A517" s="10"/>
      <c r="B517" s="11"/>
      <c r="C517" s="10"/>
      <c r="D517" s="11"/>
      <c r="E517" s="10"/>
      <c r="F517" s="1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0"/>
      <c r="V517" s="11"/>
      <c r="W517" s="10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2.75" customHeight="1">
      <c r="A518" s="10"/>
      <c r="B518" s="11"/>
      <c r="C518" s="10"/>
      <c r="D518" s="11"/>
      <c r="E518" s="10"/>
      <c r="F518" s="1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0"/>
      <c r="V518" s="11"/>
      <c r="W518" s="10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2.75" customHeight="1">
      <c r="A519" s="10"/>
      <c r="B519" s="11"/>
      <c r="C519" s="10"/>
      <c r="D519" s="11"/>
      <c r="E519" s="10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0"/>
      <c r="V519" s="11"/>
      <c r="W519" s="10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2.75" customHeight="1">
      <c r="A520" s="10"/>
      <c r="B520" s="11"/>
      <c r="C520" s="10"/>
      <c r="D520" s="11"/>
      <c r="E520" s="10"/>
      <c r="F520" s="1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0"/>
      <c r="V520" s="11"/>
      <c r="W520" s="10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2.75" customHeight="1">
      <c r="A521" s="10"/>
      <c r="B521" s="11"/>
      <c r="C521" s="10"/>
      <c r="D521" s="11"/>
      <c r="E521" s="10"/>
      <c r="F521" s="1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0"/>
      <c r="V521" s="11"/>
      <c r="W521" s="10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2.75" customHeight="1">
      <c r="A522" s="10"/>
      <c r="B522" s="11"/>
      <c r="C522" s="10"/>
      <c r="D522" s="11"/>
      <c r="E522" s="10"/>
      <c r="F522" s="1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0"/>
      <c r="V522" s="11"/>
      <c r="W522" s="10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2.75" customHeight="1">
      <c r="A523" s="10"/>
      <c r="B523" s="11"/>
      <c r="C523" s="10"/>
      <c r="D523" s="11"/>
      <c r="E523" s="10"/>
      <c r="F523" s="1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0"/>
      <c r="V523" s="11"/>
      <c r="W523" s="10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2.75" customHeight="1">
      <c r="A524" s="10"/>
      <c r="B524" s="11"/>
      <c r="C524" s="10"/>
      <c r="D524" s="11"/>
      <c r="E524" s="10"/>
      <c r="F524" s="1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0"/>
      <c r="V524" s="11"/>
      <c r="W524" s="10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2.75" customHeight="1">
      <c r="A525" s="10"/>
      <c r="B525" s="11"/>
      <c r="C525" s="10"/>
      <c r="D525" s="11"/>
      <c r="E525" s="10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0"/>
      <c r="V525" s="11"/>
      <c r="W525" s="10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2.75" customHeight="1">
      <c r="A526" s="10"/>
      <c r="B526" s="11"/>
      <c r="C526" s="10"/>
      <c r="D526" s="11"/>
      <c r="E526" s="10"/>
      <c r="F526" s="1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0"/>
      <c r="V526" s="11"/>
      <c r="W526" s="10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2.75" customHeight="1">
      <c r="A527" s="10"/>
      <c r="B527" s="11"/>
      <c r="C527" s="10"/>
      <c r="D527" s="11"/>
      <c r="E527" s="10"/>
      <c r="F527" s="1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0"/>
      <c r="V527" s="11"/>
      <c r="W527" s="10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2.75" customHeight="1">
      <c r="A528" s="10"/>
      <c r="B528" s="11"/>
      <c r="C528" s="10"/>
      <c r="D528" s="11"/>
      <c r="E528" s="10"/>
      <c r="F528" s="1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0"/>
      <c r="V528" s="11"/>
      <c r="W528" s="10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2.75" customHeight="1">
      <c r="A529" s="10"/>
      <c r="B529" s="11"/>
      <c r="C529" s="10"/>
      <c r="D529" s="11"/>
      <c r="E529" s="10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0"/>
      <c r="V529" s="11"/>
      <c r="W529" s="10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2.75" customHeight="1">
      <c r="A530" s="10"/>
      <c r="B530" s="11"/>
      <c r="C530" s="10"/>
      <c r="D530" s="11"/>
      <c r="E530" s="10"/>
      <c r="F530" s="1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0"/>
      <c r="V530" s="11"/>
      <c r="W530" s="10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2.75" customHeight="1">
      <c r="A531" s="10"/>
      <c r="B531" s="11"/>
      <c r="C531" s="10"/>
      <c r="D531" s="11"/>
      <c r="E531" s="10"/>
      <c r="F531" s="1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0"/>
      <c r="V531" s="11"/>
      <c r="W531" s="10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2.75" customHeight="1">
      <c r="A532" s="10"/>
      <c r="B532" s="11"/>
      <c r="C532" s="10"/>
      <c r="D532" s="11"/>
      <c r="E532" s="10"/>
      <c r="F532" s="1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0"/>
      <c r="V532" s="11"/>
      <c r="W532" s="10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2.75" customHeight="1">
      <c r="A533" s="10"/>
      <c r="B533" s="11"/>
      <c r="C533" s="10"/>
      <c r="D533" s="11"/>
      <c r="E533" s="10"/>
      <c r="F533" s="1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0"/>
      <c r="V533" s="11"/>
      <c r="W533" s="10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2.75" customHeight="1">
      <c r="A534" s="10"/>
      <c r="B534" s="11"/>
      <c r="C534" s="10"/>
      <c r="D534" s="11"/>
      <c r="E534" s="10"/>
      <c r="F534" s="1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0"/>
      <c r="V534" s="11"/>
      <c r="W534" s="10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2.75" customHeight="1">
      <c r="A535" s="10"/>
      <c r="B535" s="11"/>
      <c r="C535" s="10"/>
      <c r="D535" s="11"/>
      <c r="E535" s="10"/>
      <c r="F535" s="1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0"/>
      <c r="V535" s="11"/>
      <c r="W535" s="10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2.75" customHeight="1">
      <c r="A536" s="10"/>
      <c r="B536" s="11"/>
      <c r="C536" s="10"/>
      <c r="D536" s="11"/>
      <c r="E536" s="10"/>
      <c r="F536" s="1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0"/>
      <c r="V536" s="11"/>
      <c r="W536" s="10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2.75" customHeight="1">
      <c r="A537" s="10"/>
      <c r="B537" s="11"/>
      <c r="C537" s="10"/>
      <c r="D537" s="11"/>
      <c r="E537" s="10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0"/>
      <c r="V537" s="11"/>
      <c r="W537" s="10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2.75" customHeight="1">
      <c r="A538" s="10"/>
      <c r="B538" s="11"/>
      <c r="C538" s="10"/>
      <c r="D538" s="11"/>
      <c r="E538" s="10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0"/>
      <c r="V538" s="11"/>
      <c r="W538" s="10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2.75" customHeight="1">
      <c r="A539" s="10"/>
      <c r="B539" s="11"/>
      <c r="C539" s="10"/>
      <c r="D539" s="11"/>
      <c r="E539" s="10"/>
      <c r="F539" s="1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0"/>
      <c r="V539" s="11"/>
      <c r="W539" s="10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2.75" customHeight="1">
      <c r="A540" s="10"/>
      <c r="B540" s="11"/>
      <c r="C540" s="10"/>
      <c r="D540" s="11"/>
      <c r="E540" s="10"/>
      <c r="F540" s="1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0"/>
      <c r="V540" s="11"/>
      <c r="W540" s="10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2.75" customHeight="1">
      <c r="A541" s="10"/>
      <c r="B541" s="11"/>
      <c r="C541" s="10"/>
      <c r="D541" s="11"/>
      <c r="E541" s="10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0"/>
      <c r="V541" s="11"/>
      <c r="W541" s="10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2.75" customHeight="1">
      <c r="A542" s="10"/>
      <c r="B542" s="11"/>
      <c r="C542" s="10"/>
      <c r="D542" s="11"/>
      <c r="E542" s="10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0"/>
      <c r="V542" s="11"/>
      <c r="W542" s="10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2.75" customHeight="1">
      <c r="A543" s="10"/>
      <c r="B543" s="11"/>
      <c r="C543" s="10"/>
      <c r="D543" s="11"/>
      <c r="E543" s="10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0"/>
      <c r="V543" s="11"/>
      <c r="W543" s="10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2.75" customHeight="1">
      <c r="A544" s="10"/>
      <c r="B544" s="11"/>
      <c r="C544" s="10"/>
      <c r="D544" s="11"/>
      <c r="E544" s="10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0"/>
      <c r="V544" s="11"/>
      <c r="W544" s="10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2.75" customHeight="1">
      <c r="A545" s="10"/>
      <c r="B545" s="11"/>
      <c r="C545" s="10"/>
      <c r="D545" s="11"/>
      <c r="E545" s="10"/>
      <c r="F545" s="1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0"/>
      <c r="V545" s="11"/>
      <c r="W545" s="10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2.75" customHeight="1">
      <c r="A546" s="10"/>
      <c r="B546" s="11"/>
      <c r="C546" s="10"/>
      <c r="D546" s="11"/>
      <c r="E546" s="10"/>
      <c r="F546" s="1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0"/>
      <c r="V546" s="11"/>
      <c r="W546" s="10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2.75" customHeight="1">
      <c r="A547" s="10"/>
      <c r="B547" s="11"/>
      <c r="C547" s="10"/>
      <c r="D547" s="11"/>
      <c r="E547" s="10"/>
      <c r="F547" s="1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0"/>
      <c r="V547" s="11"/>
      <c r="W547" s="10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2.75" customHeight="1">
      <c r="A548" s="10"/>
      <c r="B548" s="11"/>
      <c r="C548" s="10"/>
      <c r="D548" s="11"/>
      <c r="E548" s="10"/>
      <c r="F548" s="1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0"/>
      <c r="V548" s="11"/>
      <c r="W548" s="10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2.75" customHeight="1">
      <c r="A549" s="10"/>
      <c r="B549" s="11"/>
      <c r="C549" s="10"/>
      <c r="D549" s="11"/>
      <c r="E549" s="10"/>
      <c r="F549" s="1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0"/>
      <c r="V549" s="11"/>
      <c r="W549" s="10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2.75" customHeight="1">
      <c r="A550" s="10"/>
      <c r="B550" s="11"/>
      <c r="C550" s="10"/>
      <c r="D550" s="11"/>
      <c r="E550" s="10"/>
      <c r="F550" s="1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0"/>
      <c r="V550" s="11"/>
      <c r="W550" s="10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2.75" customHeight="1">
      <c r="A551" s="10"/>
      <c r="B551" s="11"/>
      <c r="C551" s="10"/>
      <c r="D551" s="11"/>
      <c r="E551" s="10"/>
      <c r="F551" s="1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0"/>
      <c r="V551" s="11"/>
      <c r="W551" s="10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2.75" customHeight="1">
      <c r="A552" s="10"/>
      <c r="B552" s="11"/>
      <c r="C552" s="10"/>
      <c r="D552" s="11"/>
      <c r="E552" s="10"/>
      <c r="F552" s="1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0"/>
      <c r="V552" s="11"/>
      <c r="W552" s="10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2.75" customHeight="1">
      <c r="A553" s="10"/>
      <c r="B553" s="11"/>
      <c r="C553" s="10"/>
      <c r="D553" s="11"/>
      <c r="E553" s="10"/>
      <c r="F553" s="1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0"/>
      <c r="V553" s="11"/>
      <c r="W553" s="10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2.75" customHeight="1">
      <c r="A554" s="10"/>
      <c r="B554" s="11"/>
      <c r="C554" s="10"/>
      <c r="D554" s="11"/>
      <c r="E554" s="10"/>
      <c r="F554" s="1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0"/>
      <c r="V554" s="11"/>
      <c r="W554" s="10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2.75" customHeight="1">
      <c r="A555" s="10"/>
      <c r="B555" s="11"/>
      <c r="C555" s="10"/>
      <c r="D555" s="11"/>
      <c r="E555" s="10"/>
      <c r="F555" s="1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0"/>
      <c r="V555" s="11"/>
      <c r="W555" s="10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2.75" customHeight="1">
      <c r="A556" s="10"/>
      <c r="B556" s="11"/>
      <c r="C556" s="10"/>
      <c r="D556" s="11"/>
      <c r="E556" s="10"/>
      <c r="F556" s="1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0"/>
      <c r="V556" s="11"/>
      <c r="W556" s="10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2.75" customHeight="1">
      <c r="A557" s="10"/>
      <c r="B557" s="11"/>
      <c r="C557" s="10"/>
      <c r="D557" s="11"/>
      <c r="E557" s="10"/>
      <c r="F557" s="1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0"/>
      <c r="V557" s="11"/>
      <c r="W557" s="10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2.75" customHeight="1">
      <c r="A558" s="10"/>
      <c r="B558" s="11"/>
      <c r="C558" s="10"/>
      <c r="D558" s="11"/>
      <c r="E558" s="10"/>
      <c r="F558" s="1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0"/>
      <c r="V558" s="11"/>
      <c r="W558" s="10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2.75" customHeight="1">
      <c r="A559" s="10"/>
      <c r="B559" s="11"/>
      <c r="C559" s="10"/>
      <c r="D559" s="11"/>
      <c r="E559" s="10"/>
      <c r="F559" s="1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0"/>
      <c r="V559" s="11"/>
      <c r="W559" s="10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2.75" customHeight="1">
      <c r="A560" s="10"/>
      <c r="B560" s="11"/>
      <c r="C560" s="10"/>
      <c r="D560" s="11"/>
      <c r="E560" s="10"/>
      <c r="F560" s="1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0"/>
      <c r="V560" s="11"/>
      <c r="W560" s="10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2.75" customHeight="1">
      <c r="A561" s="10"/>
      <c r="B561" s="11"/>
      <c r="C561" s="10"/>
      <c r="D561" s="11"/>
      <c r="E561" s="10"/>
      <c r="F561" s="1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0"/>
      <c r="V561" s="11"/>
      <c r="W561" s="10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2.75" customHeight="1">
      <c r="A562" s="10"/>
      <c r="B562" s="11"/>
      <c r="C562" s="10"/>
      <c r="D562" s="11"/>
      <c r="E562" s="10"/>
      <c r="F562" s="1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0"/>
      <c r="V562" s="11"/>
      <c r="W562" s="10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2.75" customHeight="1">
      <c r="A563" s="10"/>
      <c r="B563" s="11"/>
      <c r="C563" s="10"/>
      <c r="D563" s="11"/>
      <c r="E563" s="10"/>
      <c r="F563" s="1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0"/>
      <c r="V563" s="11"/>
      <c r="W563" s="10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2.75" customHeight="1">
      <c r="A564" s="10"/>
      <c r="B564" s="11"/>
      <c r="C564" s="10"/>
      <c r="D564" s="11"/>
      <c r="E564" s="10"/>
      <c r="F564" s="1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0"/>
      <c r="V564" s="11"/>
      <c r="W564" s="10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2.75" customHeight="1">
      <c r="A565" s="10"/>
      <c r="B565" s="11"/>
      <c r="C565" s="10"/>
      <c r="D565" s="11"/>
      <c r="E565" s="10"/>
      <c r="F565" s="1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0"/>
      <c r="V565" s="11"/>
      <c r="W565" s="10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2.75" customHeight="1">
      <c r="A566" s="10"/>
      <c r="B566" s="11"/>
      <c r="C566" s="10"/>
      <c r="D566" s="11"/>
      <c r="E566" s="10"/>
      <c r="F566" s="1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0"/>
      <c r="V566" s="11"/>
      <c r="W566" s="10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2.75" customHeight="1">
      <c r="A567" s="10"/>
      <c r="B567" s="11"/>
      <c r="C567" s="10"/>
      <c r="D567" s="11"/>
      <c r="E567" s="10"/>
      <c r="F567" s="1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0"/>
      <c r="V567" s="11"/>
      <c r="W567" s="10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2.75" customHeight="1">
      <c r="A568" s="10"/>
      <c r="B568" s="11"/>
      <c r="C568" s="10"/>
      <c r="D568" s="11"/>
      <c r="E568" s="10"/>
      <c r="F568" s="1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0"/>
      <c r="V568" s="11"/>
      <c r="W568" s="10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2.75" customHeight="1">
      <c r="A569" s="10"/>
      <c r="B569" s="11"/>
      <c r="C569" s="10"/>
      <c r="D569" s="11"/>
      <c r="E569" s="10"/>
      <c r="F569" s="1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0"/>
      <c r="V569" s="11"/>
      <c r="W569" s="10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2.75" customHeight="1">
      <c r="A570" s="10"/>
      <c r="B570" s="11"/>
      <c r="C570" s="10"/>
      <c r="D570" s="11"/>
      <c r="E570" s="10"/>
      <c r="F570" s="1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0"/>
      <c r="V570" s="11"/>
      <c r="W570" s="10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2.75" customHeight="1">
      <c r="A571" s="10"/>
      <c r="B571" s="11"/>
      <c r="C571" s="10"/>
      <c r="D571" s="11"/>
      <c r="E571" s="10"/>
      <c r="F571" s="1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0"/>
      <c r="V571" s="11"/>
      <c r="W571" s="10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2.75" customHeight="1">
      <c r="A572" s="10"/>
      <c r="B572" s="11"/>
      <c r="C572" s="10"/>
      <c r="D572" s="11"/>
      <c r="E572" s="10"/>
      <c r="F572" s="1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0"/>
      <c r="V572" s="11"/>
      <c r="W572" s="10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2.75" customHeight="1">
      <c r="A573" s="10"/>
      <c r="B573" s="11"/>
      <c r="C573" s="10"/>
      <c r="D573" s="11"/>
      <c r="E573" s="10"/>
      <c r="F573" s="1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0"/>
      <c r="V573" s="11"/>
      <c r="W573" s="10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2.75" customHeight="1">
      <c r="A574" s="10"/>
      <c r="B574" s="11"/>
      <c r="C574" s="10"/>
      <c r="D574" s="11"/>
      <c r="E574" s="10"/>
      <c r="F574" s="1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0"/>
      <c r="V574" s="11"/>
      <c r="W574" s="10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2.75" customHeight="1">
      <c r="A575" s="10"/>
      <c r="B575" s="11"/>
      <c r="C575" s="10"/>
      <c r="D575" s="11"/>
      <c r="E575" s="10"/>
      <c r="F575" s="1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0"/>
      <c r="V575" s="11"/>
      <c r="W575" s="10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2.75" customHeight="1">
      <c r="A576" s="10"/>
      <c r="B576" s="11"/>
      <c r="C576" s="10"/>
      <c r="D576" s="11"/>
      <c r="E576" s="10"/>
      <c r="F576" s="1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0"/>
      <c r="V576" s="11"/>
      <c r="W576" s="10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2.75" customHeight="1">
      <c r="A577" s="10"/>
      <c r="B577" s="11"/>
      <c r="C577" s="10"/>
      <c r="D577" s="11"/>
      <c r="E577" s="10"/>
      <c r="F577" s="1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0"/>
      <c r="V577" s="11"/>
      <c r="W577" s="10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2.75" customHeight="1">
      <c r="A578" s="10"/>
      <c r="B578" s="11"/>
      <c r="C578" s="10"/>
      <c r="D578" s="11"/>
      <c r="E578" s="10"/>
      <c r="F578" s="1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0"/>
      <c r="V578" s="11"/>
      <c r="W578" s="10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2.75" customHeight="1">
      <c r="A579" s="10"/>
      <c r="B579" s="11"/>
      <c r="C579" s="10"/>
      <c r="D579" s="11"/>
      <c r="E579" s="10"/>
      <c r="F579" s="1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0"/>
      <c r="V579" s="11"/>
      <c r="W579" s="10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2.75" customHeight="1">
      <c r="A580" s="10"/>
      <c r="B580" s="11"/>
      <c r="C580" s="10"/>
      <c r="D580" s="11"/>
      <c r="E580" s="10"/>
      <c r="F580" s="1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0"/>
      <c r="V580" s="11"/>
      <c r="W580" s="10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2.75" customHeight="1">
      <c r="A581" s="10"/>
      <c r="B581" s="11"/>
      <c r="C581" s="10"/>
      <c r="D581" s="11"/>
      <c r="E581" s="10"/>
      <c r="F581" s="1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0"/>
      <c r="V581" s="11"/>
      <c r="W581" s="10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2.75" customHeight="1">
      <c r="A582" s="10"/>
      <c r="B582" s="11"/>
      <c r="C582" s="10"/>
      <c r="D582" s="11"/>
      <c r="E582" s="10"/>
      <c r="F582" s="1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0"/>
      <c r="V582" s="11"/>
      <c r="W582" s="10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2.75" customHeight="1">
      <c r="A583" s="10"/>
      <c r="B583" s="11"/>
      <c r="C583" s="10"/>
      <c r="D583" s="11"/>
      <c r="E583" s="10"/>
      <c r="F583" s="1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0"/>
      <c r="V583" s="11"/>
      <c r="W583" s="10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2.75" customHeight="1">
      <c r="A584" s="10"/>
      <c r="B584" s="11"/>
      <c r="C584" s="10"/>
      <c r="D584" s="11"/>
      <c r="E584" s="10"/>
      <c r="F584" s="1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0"/>
      <c r="V584" s="11"/>
      <c r="W584" s="10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2.75" customHeight="1">
      <c r="A585" s="10"/>
      <c r="B585" s="11"/>
      <c r="C585" s="10"/>
      <c r="D585" s="11"/>
      <c r="E585" s="10"/>
      <c r="F585" s="1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0"/>
      <c r="V585" s="11"/>
      <c r="W585" s="10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2.75" customHeight="1">
      <c r="A586" s="10"/>
      <c r="B586" s="11"/>
      <c r="C586" s="10"/>
      <c r="D586" s="11"/>
      <c r="E586" s="10"/>
      <c r="F586" s="1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0"/>
      <c r="V586" s="11"/>
      <c r="W586" s="10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2.75" customHeight="1">
      <c r="A587" s="10"/>
      <c r="B587" s="11"/>
      <c r="C587" s="10"/>
      <c r="D587" s="11"/>
      <c r="E587" s="10"/>
      <c r="F587" s="1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0"/>
      <c r="V587" s="11"/>
      <c r="W587" s="10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2.75" customHeight="1">
      <c r="A588" s="10"/>
      <c r="B588" s="11"/>
      <c r="C588" s="10"/>
      <c r="D588" s="11"/>
      <c r="E588" s="10"/>
      <c r="F588" s="1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0"/>
      <c r="V588" s="11"/>
      <c r="W588" s="10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2.75" customHeight="1">
      <c r="A589" s="10"/>
      <c r="B589" s="11"/>
      <c r="C589" s="10"/>
      <c r="D589" s="11"/>
      <c r="E589" s="10"/>
      <c r="F589" s="1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0"/>
      <c r="V589" s="11"/>
      <c r="W589" s="10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2.75" customHeight="1">
      <c r="A590" s="10"/>
      <c r="B590" s="11"/>
      <c r="C590" s="10"/>
      <c r="D590" s="11"/>
      <c r="E590" s="10"/>
      <c r="F590" s="1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0"/>
      <c r="V590" s="11"/>
      <c r="W590" s="10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2.75" customHeight="1">
      <c r="A591" s="10"/>
      <c r="B591" s="11"/>
      <c r="C591" s="10"/>
      <c r="D591" s="11"/>
      <c r="E591" s="10"/>
      <c r="F591" s="1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0"/>
      <c r="V591" s="11"/>
      <c r="W591" s="10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2.75" customHeight="1">
      <c r="A592" s="10"/>
      <c r="B592" s="11"/>
      <c r="C592" s="10"/>
      <c r="D592" s="11"/>
      <c r="E592" s="10"/>
      <c r="F592" s="1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0"/>
      <c r="V592" s="11"/>
      <c r="W592" s="10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2.75" customHeight="1">
      <c r="A593" s="10"/>
      <c r="B593" s="11"/>
      <c r="C593" s="10"/>
      <c r="D593" s="11"/>
      <c r="E593" s="10"/>
      <c r="F593" s="1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0"/>
      <c r="V593" s="11"/>
      <c r="W593" s="10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2.75" customHeight="1">
      <c r="A594" s="10"/>
      <c r="B594" s="11"/>
      <c r="C594" s="10"/>
      <c r="D594" s="11"/>
      <c r="E594" s="10"/>
      <c r="F594" s="1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0"/>
      <c r="V594" s="11"/>
      <c r="W594" s="10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2.75" customHeight="1">
      <c r="A595" s="10"/>
      <c r="B595" s="11"/>
      <c r="C595" s="10"/>
      <c r="D595" s="11"/>
      <c r="E595" s="10"/>
      <c r="F595" s="1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0"/>
      <c r="V595" s="11"/>
      <c r="W595" s="10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2.75" customHeight="1">
      <c r="A596" s="10"/>
      <c r="B596" s="11"/>
      <c r="C596" s="10"/>
      <c r="D596" s="11"/>
      <c r="E596" s="10"/>
      <c r="F596" s="1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0"/>
      <c r="V596" s="11"/>
      <c r="W596" s="10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2.75" customHeight="1">
      <c r="A597" s="10"/>
      <c r="B597" s="11"/>
      <c r="C597" s="10"/>
      <c r="D597" s="11"/>
      <c r="E597" s="10"/>
      <c r="F597" s="1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0"/>
      <c r="V597" s="11"/>
      <c r="W597" s="10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2.75" customHeight="1">
      <c r="A598" s="10"/>
      <c r="B598" s="11"/>
      <c r="C598" s="10"/>
      <c r="D598" s="11"/>
      <c r="E598" s="10"/>
      <c r="F598" s="1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0"/>
      <c r="V598" s="11"/>
      <c r="W598" s="10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2.75" customHeight="1">
      <c r="A599" s="10"/>
      <c r="B599" s="11"/>
      <c r="C599" s="10"/>
      <c r="D599" s="11"/>
      <c r="E599" s="10"/>
      <c r="F599" s="1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0"/>
      <c r="V599" s="11"/>
      <c r="W599" s="10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2.75" customHeight="1">
      <c r="A600" s="10"/>
      <c r="B600" s="11"/>
      <c r="C600" s="10"/>
      <c r="D600" s="11"/>
      <c r="E600" s="10"/>
      <c r="F600" s="1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0"/>
      <c r="V600" s="11"/>
      <c r="W600" s="10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2.75" customHeight="1">
      <c r="A601" s="10"/>
      <c r="B601" s="11"/>
      <c r="C601" s="10"/>
      <c r="D601" s="11"/>
      <c r="E601" s="10"/>
      <c r="F601" s="1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0"/>
      <c r="V601" s="11"/>
      <c r="W601" s="10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2.75" customHeight="1">
      <c r="A602" s="10"/>
      <c r="B602" s="11"/>
      <c r="C602" s="10"/>
      <c r="D602" s="11"/>
      <c r="E602" s="10"/>
      <c r="F602" s="1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0"/>
      <c r="V602" s="11"/>
      <c r="W602" s="10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2.75" customHeight="1">
      <c r="A603" s="10"/>
      <c r="B603" s="11"/>
      <c r="C603" s="10"/>
      <c r="D603" s="11"/>
      <c r="E603" s="10"/>
      <c r="F603" s="1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0"/>
      <c r="V603" s="11"/>
      <c r="W603" s="10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2.75" customHeight="1">
      <c r="A604" s="10"/>
      <c r="B604" s="11"/>
      <c r="C604" s="10"/>
      <c r="D604" s="11"/>
      <c r="E604" s="10"/>
      <c r="F604" s="1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0"/>
      <c r="V604" s="11"/>
      <c r="W604" s="10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2.75" customHeight="1">
      <c r="A605" s="10"/>
      <c r="B605" s="11"/>
      <c r="C605" s="10"/>
      <c r="D605" s="11"/>
      <c r="E605" s="10"/>
      <c r="F605" s="1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0"/>
      <c r="V605" s="11"/>
      <c r="W605" s="10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2.75" customHeight="1">
      <c r="A606" s="10"/>
      <c r="B606" s="11"/>
      <c r="C606" s="10"/>
      <c r="D606" s="11"/>
      <c r="E606" s="10"/>
      <c r="F606" s="1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0"/>
      <c r="V606" s="11"/>
      <c r="W606" s="10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2.75" customHeight="1">
      <c r="A607" s="10"/>
      <c r="B607" s="11"/>
      <c r="C607" s="10"/>
      <c r="D607" s="11"/>
      <c r="E607" s="10"/>
      <c r="F607" s="1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0"/>
      <c r="V607" s="11"/>
      <c r="W607" s="10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2.75" customHeight="1">
      <c r="A608" s="10"/>
      <c r="B608" s="11"/>
      <c r="C608" s="10"/>
      <c r="D608" s="11"/>
      <c r="E608" s="10"/>
      <c r="F608" s="1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0"/>
      <c r="V608" s="11"/>
      <c r="W608" s="10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2.75" customHeight="1">
      <c r="A609" s="10"/>
      <c r="B609" s="11"/>
      <c r="C609" s="10"/>
      <c r="D609" s="11"/>
      <c r="E609" s="10"/>
      <c r="F609" s="1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0"/>
      <c r="V609" s="11"/>
      <c r="W609" s="10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2.75" customHeight="1">
      <c r="A610" s="10"/>
      <c r="B610" s="11"/>
      <c r="C610" s="10"/>
      <c r="D610" s="11"/>
      <c r="E610" s="10"/>
      <c r="F610" s="1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0"/>
      <c r="V610" s="11"/>
      <c r="W610" s="10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2.75" customHeight="1">
      <c r="A611" s="10"/>
      <c r="B611" s="11"/>
      <c r="C611" s="10"/>
      <c r="D611" s="11"/>
      <c r="E611" s="10"/>
      <c r="F611" s="1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0"/>
      <c r="V611" s="11"/>
      <c r="W611" s="10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2.75" customHeight="1">
      <c r="A612" s="10"/>
      <c r="B612" s="11"/>
      <c r="C612" s="10"/>
      <c r="D612" s="11"/>
      <c r="E612" s="10"/>
      <c r="F612" s="1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0"/>
      <c r="V612" s="11"/>
      <c r="W612" s="10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2.75" customHeight="1">
      <c r="A613" s="10"/>
      <c r="B613" s="11"/>
      <c r="C613" s="10"/>
      <c r="D613" s="11"/>
      <c r="E613" s="10"/>
      <c r="F613" s="1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0"/>
      <c r="V613" s="11"/>
      <c r="W613" s="10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2.75" customHeight="1">
      <c r="A614" s="10"/>
      <c r="B614" s="11"/>
      <c r="C614" s="10"/>
      <c r="D614" s="11"/>
      <c r="E614" s="10"/>
      <c r="F614" s="1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0"/>
      <c r="V614" s="11"/>
      <c r="W614" s="10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2.75" customHeight="1">
      <c r="A615" s="10"/>
      <c r="B615" s="11"/>
      <c r="C615" s="10"/>
      <c r="D615" s="11"/>
      <c r="E615" s="10"/>
      <c r="F615" s="1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0"/>
      <c r="V615" s="11"/>
      <c r="W615" s="10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2.75" customHeight="1">
      <c r="A616" s="10"/>
      <c r="B616" s="11"/>
      <c r="C616" s="10"/>
      <c r="D616" s="11"/>
      <c r="E616" s="10"/>
      <c r="F616" s="1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0"/>
      <c r="V616" s="11"/>
      <c r="W616" s="10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2.75" customHeight="1">
      <c r="A617" s="10"/>
      <c r="B617" s="11"/>
      <c r="C617" s="10"/>
      <c r="D617" s="11"/>
      <c r="E617" s="10"/>
      <c r="F617" s="1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0"/>
      <c r="V617" s="11"/>
      <c r="W617" s="10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2.75" customHeight="1">
      <c r="A618" s="10"/>
      <c r="B618" s="11"/>
      <c r="C618" s="10"/>
      <c r="D618" s="11"/>
      <c r="E618" s="10"/>
      <c r="F618" s="1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0"/>
      <c r="V618" s="11"/>
      <c r="W618" s="10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2.75" customHeight="1">
      <c r="A619" s="10"/>
      <c r="B619" s="11"/>
      <c r="C619" s="10"/>
      <c r="D619" s="11"/>
      <c r="E619" s="10"/>
      <c r="F619" s="1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0"/>
      <c r="V619" s="11"/>
      <c r="W619" s="10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2.75" customHeight="1">
      <c r="A620" s="10"/>
      <c r="B620" s="11"/>
      <c r="C620" s="10"/>
      <c r="D620" s="11"/>
      <c r="E620" s="10"/>
      <c r="F620" s="1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0"/>
      <c r="V620" s="11"/>
      <c r="W620" s="10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2.75" customHeight="1">
      <c r="A621" s="10"/>
      <c r="B621" s="11"/>
      <c r="C621" s="10"/>
      <c r="D621" s="11"/>
      <c r="E621" s="10"/>
      <c r="F621" s="1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0"/>
      <c r="V621" s="11"/>
      <c r="W621" s="10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2.75" customHeight="1">
      <c r="A622" s="10"/>
      <c r="B622" s="11"/>
      <c r="C622" s="10"/>
      <c r="D622" s="11"/>
      <c r="E622" s="10"/>
      <c r="F622" s="1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0"/>
      <c r="V622" s="11"/>
      <c r="W622" s="10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2.75" customHeight="1">
      <c r="A623" s="10"/>
      <c r="B623" s="11"/>
      <c r="C623" s="10"/>
      <c r="D623" s="11"/>
      <c r="E623" s="10"/>
      <c r="F623" s="1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0"/>
      <c r="V623" s="11"/>
      <c r="W623" s="10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2.75" customHeight="1">
      <c r="A624" s="10"/>
      <c r="B624" s="11"/>
      <c r="C624" s="10"/>
      <c r="D624" s="11"/>
      <c r="E624" s="10"/>
      <c r="F624" s="1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0"/>
      <c r="V624" s="11"/>
      <c r="W624" s="10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2.75" customHeight="1">
      <c r="A625" s="10"/>
      <c r="B625" s="11"/>
      <c r="C625" s="10"/>
      <c r="D625" s="11"/>
      <c r="E625" s="10"/>
      <c r="F625" s="1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0"/>
      <c r="V625" s="11"/>
      <c r="W625" s="10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2.75" customHeight="1">
      <c r="A626" s="10"/>
      <c r="B626" s="11"/>
      <c r="C626" s="10"/>
      <c r="D626" s="11"/>
      <c r="E626" s="10"/>
      <c r="F626" s="1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0"/>
      <c r="V626" s="11"/>
      <c r="W626" s="10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2.75" customHeight="1">
      <c r="A627" s="10"/>
      <c r="B627" s="11"/>
      <c r="C627" s="10"/>
      <c r="D627" s="11"/>
      <c r="E627" s="10"/>
      <c r="F627" s="1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0"/>
      <c r="V627" s="11"/>
      <c r="W627" s="10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2.75" customHeight="1">
      <c r="A628" s="10"/>
      <c r="B628" s="11"/>
      <c r="C628" s="10"/>
      <c r="D628" s="11"/>
      <c r="E628" s="10"/>
      <c r="F628" s="1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0"/>
      <c r="V628" s="11"/>
      <c r="W628" s="10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2.75" customHeight="1">
      <c r="A629" s="10"/>
      <c r="B629" s="11"/>
      <c r="C629" s="10"/>
      <c r="D629" s="11"/>
      <c r="E629" s="10"/>
      <c r="F629" s="1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0"/>
      <c r="V629" s="11"/>
      <c r="W629" s="10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2.75" customHeight="1">
      <c r="A630" s="10"/>
      <c r="B630" s="11"/>
      <c r="C630" s="10"/>
      <c r="D630" s="11"/>
      <c r="E630" s="10"/>
      <c r="F630" s="1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0"/>
      <c r="V630" s="11"/>
      <c r="W630" s="10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2.75" customHeight="1">
      <c r="A631" s="10"/>
      <c r="B631" s="11"/>
      <c r="C631" s="10"/>
      <c r="D631" s="11"/>
      <c r="E631" s="10"/>
      <c r="F631" s="1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0"/>
      <c r="V631" s="11"/>
      <c r="W631" s="10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2.75" customHeight="1">
      <c r="A632" s="10"/>
      <c r="B632" s="11"/>
      <c r="C632" s="10"/>
      <c r="D632" s="11"/>
      <c r="E632" s="10"/>
      <c r="F632" s="1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0"/>
      <c r="V632" s="11"/>
      <c r="W632" s="10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2.75" customHeight="1">
      <c r="A633" s="10"/>
      <c r="B633" s="11"/>
      <c r="C633" s="10"/>
      <c r="D633" s="11"/>
      <c r="E633" s="10"/>
      <c r="F633" s="1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0"/>
      <c r="V633" s="11"/>
      <c r="W633" s="10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2.75" customHeight="1">
      <c r="A634" s="10"/>
      <c r="B634" s="11"/>
      <c r="C634" s="10"/>
      <c r="D634" s="11"/>
      <c r="E634" s="10"/>
      <c r="F634" s="1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0"/>
      <c r="V634" s="11"/>
      <c r="W634" s="10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2.75" customHeight="1">
      <c r="A635" s="10"/>
      <c r="B635" s="11"/>
      <c r="C635" s="10"/>
      <c r="D635" s="11"/>
      <c r="E635" s="10"/>
      <c r="F635" s="1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0"/>
      <c r="V635" s="11"/>
      <c r="W635" s="10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2.75" customHeight="1">
      <c r="A636" s="10"/>
      <c r="B636" s="11"/>
      <c r="C636" s="10"/>
      <c r="D636" s="11"/>
      <c r="E636" s="10"/>
      <c r="F636" s="1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0"/>
      <c r="V636" s="11"/>
      <c r="W636" s="10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2.75" customHeight="1">
      <c r="A637" s="10"/>
      <c r="B637" s="11"/>
      <c r="C637" s="10"/>
      <c r="D637" s="11"/>
      <c r="E637" s="10"/>
      <c r="F637" s="1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0"/>
      <c r="V637" s="11"/>
      <c r="W637" s="10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2.75" customHeight="1">
      <c r="A638" s="10"/>
      <c r="B638" s="11"/>
      <c r="C638" s="10"/>
      <c r="D638" s="11"/>
      <c r="E638" s="10"/>
      <c r="F638" s="1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0"/>
      <c r="V638" s="11"/>
      <c r="W638" s="10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2.75" customHeight="1">
      <c r="A639" s="10"/>
      <c r="B639" s="11"/>
      <c r="C639" s="10"/>
      <c r="D639" s="11"/>
      <c r="E639" s="10"/>
      <c r="F639" s="1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0"/>
      <c r="V639" s="11"/>
      <c r="W639" s="10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2.75" customHeight="1">
      <c r="A640" s="10"/>
      <c r="B640" s="11"/>
      <c r="C640" s="10"/>
      <c r="D640" s="11"/>
      <c r="E640" s="10"/>
      <c r="F640" s="1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0"/>
      <c r="V640" s="11"/>
      <c r="W640" s="10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2.75" customHeight="1">
      <c r="A641" s="10"/>
      <c r="B641" s="11"/>
      <c r="C641" s="10"/>
      <c r="D641" s="11"/>
      <c r="E641" s="10"/>
      <c r="F641" s="1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0"/>
      <c r="V641" s="11"/>
      <c r="W641" s="10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2.75" customHeight="1">
      <c r="A642" s="10"/>
      <c r="B642" s="11"/>
      <c r="C642" s="10"/>
      <c r="D642" s="11"/>
      <c r="E642" s="10"/>
      <c r="F642" s="1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0"/>
      <c r="V642" s="11"/>
      <c r="W642" s="10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2.75" customHeight="1">
      <c r="A643" s="10"/>
      <c r="B643" s="11"/>
      <c r="C643" s="10"/>
      <c r="D643" s="11"/>
      <c r="E643" s="10"/>
      <c r="F643" s="1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0"/>
      <c r="V643" s="11"/>
      <c r="W643" s="10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2.75" customHeight="1">
      <c r="A644" s="10"/>
      <c r="B644" s="11"/>
      <c r="C644" s="10"/>
      <c r="D644" s="11"/>
      <c r="E644" s="10"/>
      <c r="F644" s="1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0"/>
      <c r="V644" s="11"/>
      <c r="W644" s="10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2.75" customHeight="1">
      <c r="A645" s="10"/>
      <c r="B645" s="11"/>
      <c r="C645" s="10"/>
      <c r="D645" s="11"/>
      <c r="E645" s="10"/>
      <c r="F645" s="1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0"/>
      <c r="V645" s="11"/>
      <c r="W645" s="10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2.75" customHeight="1">
      <c r="A646" s="10"/>
      <c r="B646" s="11"/>
      <c r="C646" s="10"/>
      <c r="D646" s="11"/>
      <c r="E646" s="10"/>
      <c r="F646" s="1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0"/>
      <c r="V646" s="11"/>
      <c r="W646" s="10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2.75" customHeight="1">
      <c r="A647" s="10"/>
      <c r="B647" s="11"/>
      <c r="C647" s="10"/>
      <c r="D647" s="11"/>
      <c r="E647" s="10"/>
      <c r="F647" s="1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0"/>
      <c r="V647" s="11"/>
      <c r="W647" s="10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2.75" customHeight="1">
      <c r="A648" s="10"/>
      <c r="B648" s="11"/>
      <c r="C648" s="10"/>
      <c r="D648" s="11"/>
      <c r="E648" s="10"/>
      <c r="F648" s="1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0"/>
      <c r="V648" s="11"/>
      <c r="W648" s="10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2.75" customHeight="1">
      <c r="A649" s="10"/>
      <c r="B649" s="11"/>
      <c r="C649" s="10"/>
      <c r="D649" s="11"/>
      <c r="E649" s="10"/>
      <c r="F649" s="1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0"/>
      <c r="V649" s="11"/>
      <c r="W649" s="10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2.75" customHeight="1">
      <c r="A650" s="10"/>
      <c r="B650" s="11"/>
      <c r="C650" s="10"/>
      <c r="D650" s="11"/>
      <c r="E650" s="10"/>
      <c r="F650" s="1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0"/>
      <c r="V650" s="11"/>
      <c r="W650" s="10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2.75" customHeight="1">
      <c r="A651" s="10"/>
      <c r="B651" s="11"/>
      <c r="C651" s="10"/>
      <c r="D651" s="11"/>
      <c r="E651" s="10"/>
      <c r="F651" s="1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0"/>
      <c r="V651" s="11"/>
      <c r="W651" s="10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2.75" customHeight="1">
      <c r="A652" s="10"/>
      <c r="B652" s="11"/>
      <c r="C652" s="10"/>
      <c r="D652" s="11"/>
      <c r="E652" s="10"/>
      <c r="F652" s="1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0"/>
      <c r="V652" s="11"/>
      <c r="W652" s="10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2.75" customHeight="1">
      <c r="A653" s="10"/>
      <c r="B653" s="11"/>
      <c r="C653" s="10"/>
      <c r="D653" s="11"/>
      <c r="E653" s="10"/>
      <c r="F653" s="1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0"/>
      <c r="V653" s="11"/>
      <c r="W653" s="10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2.75" customHeight="1">
      <c r="A654" s="10"/>
      <c r="B654" s="11"/>
      <c r="C654" s="10"/>
      <c r="D654" s="11"/>
      <c r="E654" s="10"/>
      <c r="F654" s="1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0"/>
      <c r="V654" s="11"/>
      <c r="W654" s="10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2.75" customHeight="1">
      <c r="A655" s="10"/>
      <c r="B655" s="11"/>
      <c r="C655" s="10"/>
      <c r="D655" s="11"/>
      <c r="E655" s="10"/>
      <c r="F655" s="1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0"/>
      <c r="V655" s="11"/>
      <c r="W655" s="10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2.75" customHeight="1">
      <c r="A656" s="10"/>
      <c r="B656" s="11"/>
      <c r="C656" s="10"/>
      <c r="D656" s="11"/>
      <c r="E656" s="10"/>
      <c r="F656" s="1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0"/>
      <c r="V656" s="11"/>
      <c r="W656" s="10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2.75" customHeight="1">
      <c r="A657" s="10"/>
      <c r="B657" s="11"/>
      <c r="C657" s="10"/>
      <c r="D657" s="11"/>
      <c r="E657" s="10"/>
      <c r="F657" s="1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0"/>
      <c r="V657" s="11"/>
      <c r="W657" s="10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2.75" customHeight="1">
      <c r="A658" s="10"/>
      <c r="B658" s="11"/>
      <c r="C658" s="10"/>
      <c r="D658" s="11"/>
      <c r="E658" s="10"/>
      <c r="F658" s="1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0"/>
      <c r="V658" s="11"/>
      <c r="W658" s="10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2.75" customHeight="1">
      <c r="A659" s="10"/>
      <c r="B659" s="11"/>
      <c r="C659" s="10"/>
      <c r="D659" s="11"/>
      <c r="E659" s="10"/>
      <c r="F659" s="1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0"/>
      <c r="V659" s="11"/>
      <c r="W659" s="10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2.75" customHeight="1">
      <c r="A660" s="10"/>
      <c r="B660" s="11"/>
      <c r="C660" s="10"/>
      <c r="D660" s="11"/>
      <c r="E660" s="10"/>
      <c r="F660" s="1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0"/>
      <c r="V660" s="11"/>
      <c r="W660" s="10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2.75" customHeight="1">
      <c r="A661" s="10"/>
      <c r="B661" s="11"/>
      <c r="C661" s="10"/>
      <c r="D661" s="11"/>
      <c r="E661" s="10"/>
      <c r="F661" s="1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0"/>
      <c r="V661" s="11"/>
      <c r="W661" s="10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2.75" customHeight="1">
      <c r="A662" s="10"/>
      <c r="B662" s="11"/>
      <c r="C662" s="10"/>
      <c r="D662" s="11"/>
      <c r="E662" s="10"/>
      <c r="F662" s="1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0"/>
      <c r="V662" s="11"/>
      <c r="W662" s="10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2.75" customHeight="1">
      <c r="A663" s="10"/>
      <c r="B663" s="11"/>
      <c r="C663" s="10"/>
      <c r="D663" s="11"/>
      <c r="E663" s="10"/>
      <c r="F663" s="1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0"/>
      <c r="V663" s="11"/>
      <c r="W663" s="10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2.75" customHeight="1">
      <c r="A664" s="10"/>
      <c r="B664" s="11"/>
      <c r="C664" s="10"/>
      <c r="D664" s="11"/>
      <c r="E664" s="10"/>
      <c r="F664" s="1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0"/>
      <c r="V664" s="11"/>
      <c r="W664" s="10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2.75" customHeight="1">
      <c r="A665" s="10"/>
      <c r="B665" s="11"/>
      <c r="C665" s="10"/>
      <c r="D665" s="11"/>
      <c r="E665" s="10"/>
      <c r="F665" s="1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0"/>
      <c r="V665" s="11"/>
      <c r="W665" s="10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2.75" customHeight="1">
      <c r="A666" s="10"/>
      <c r="B666" s="11"/>
      <c r="C666" s="10"/>
      <c r="D666" s="11"/>
      <c r="E666" s="10"/>
      <c r="F666" s="1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0"/>
      <c r="V666" s="11"/>
      <c r="W666" s="10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2.75" customHeight="1">
      <c r="A667" s="10"/>
      <c r="B667" s="11"/>
      <c r="C667" s="10"/>
      <c r="D667" s="11"/>
      <c r="E667" s="10"/>
      <c r="F667" s="1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0"/>
      <c r="V667" s="11"/>
      <c r="W667" s="10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2.75" customHeight="1">
      <c r="A668" s="10"/>
      <c r="B668" s="11"/>
      <c r="C668" s="10"/>
      <c r="D668" s="11"/>
      <c r="E668" s="10"/>
      <c r="F668" s="1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0"/>
      <c r="V668" s="11"/>
      <c r="W668" s="10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2.75" customHeight="1">
      <c r="A669" s="10"/>
      <c r="B669" s="11"/>
      <c r="C669" s="10"/>
      <c r="D669" s="11"/>
      <c r="E669" s="10"/>
      <c r="F669" s="1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0"/>
      <c r="V669" s="11"/>
      <c r="W669" s="10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2.75" customHeight="1">
      <c r="A670" s="10"/>
      <c r="B670" s="11"/>
      <c r="C670" s="10"/>
      <c r="D670" s="11"/>
      <c r="E670" s="10"/>
      <c r="F670" s="1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0"/>
      <c r="V670" s="11"/>
      <c r="W670" s="10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2.75" customHeight="1">
      <c r="A671" s="10"/>
      <c r="B671" s="11"/>
      <c r="C671" s="10"/>
      <c r="D671" s="11"/>
      <c r="E671" s="10"/>
      <c r="F671" s="1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0"/>
      <c r="V671" s="11"/>
      <c r="W671" s="10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2.75" customHeight="1">
      <c r="A672" s="10"/>
      <c r="B672" s="11"/>
      <c r="C672" s="10"/>
      <c r="D672" s="11"/>
      <c r="E672" s="10"/>
      <c r="F672" s="1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0"/>
      <c r="V672" s="11"/>
      <c r="W672" s="10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2.75" customHeight="1">
      <c r="A673" s="10"/>
      <c r="B673" s="11"/>
      <c r="C673" s="10"/>
      <c r="D673" s="11"/>
      <c r="E673" s="10"/>
      <c r="F673" s="1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0"/>
      <c r="V673" s="11"/>
      <c r="W673" s="10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2.75" customHeight="1">
      <c r="A674" s="10"/>
      <c r="B674" s="11"/>
      <c r="C674" s="10"/>
      <c r="D674" s="11"/>
      <c r="E674" s="10"/>
      <c r="F674" s="1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0"/>
      <c r="V674" s="11"/>
      <c r="W674" s="10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2.75" customHeight="1">
      <c r="A675" s="10"/>
      <c r="B675" s="11"/>
      <c r="C675" s="10"/>
      <c r="D675" s="11"/>
      <c r="E675" s="10"/>
      <c r="F675" s="1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0"/>
      <c r="V675" s="11"/>
      <c r="W675" s="10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2.75" customHeight="1">
      <c r="A676" s="10"/>
      <c r="B676" s="11"/>
      <c r="C676" s="10"/>
      <c r="D676" s="11"/>
      <c r="E676" s="10"/>
      <c r="F676" s="1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0"/>
      <c r="V676" s="11"/>
      <c r="W676" s="10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2.75" customHeight="1">
      <c r="A677" s="10"/>
      <c r="B677" s="11"/>
      <c r="C677" s="10"/>
      <c r="D677" s="11"/>
      <c r="E677" s="10"/>
      <c r="F677" s="1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0"/>
      <c r="V677" s="11"/>
      <c r="W677" s="10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2.75" customHeight="1">
      <c r="A678" s="10"/>
      <c r="B678" s="11"/>
      <c r="C678" s="10"/>
      <c r="D678" s="11"/>
      <c r="E678" s="10"/>
      <c r="F678" s="1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0"/>
      <c r="V678" s="11"/>
      <c r="W678" s="10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2.75" customHeight="1">
      <c r="A679" s="10"/>
      <c r="B679" s="11"/>
      <c r="C679" s="10"/>
      <c r="D679" s="11"/>
      <c r="E679" s="10"/>
      <c r="F679" s="1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0"/>
      <c r="V679" s="11"/>
      <c r="W679" s="10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2.75" customHeight="1">
      <c r="A680" s="10"/>
      <c r="B680" s="11"/>
      <c r="C680" s="10"/>
      <c r="D680" s="11"/>
      <c r="E680" s="10"/>
      <c r="F680" s="1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0"/>
      <c r="V680" s="11"/>
      <c r="W680" s="10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2.75" customHeight="1">
      <c r="A681" s="10"/>
      <c r="B681" s="11"/>
      <c r="C681" s="10"/>
      <c r="D681" s="11"/>
      <c r="E681" s="10"/>
      <c r="F681" s="1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0"/>
      <c r="V681" s="11"/>
      <c r="W681" s="10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2.75" customHeight="1">
      <c r="A682" s="10"/>
      <c r="B682" s="11"/>
      <c r="C682" s="10"/>
      <c r="D682" s="11"/>
      <c r="E682" s="10"/>
      <c r="F682" s="1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0"/>
      <c r="V682" s="11"/>
      <c r="W682" s="10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2.75" customHeight="1">
      <c r="A683" s="10"/>
      <c r="B683" s="11"/>
      <c r="C683" s="10"/>
      <c r="D683" s="11"/>
      <c r="E683" s="10"/>
      <c r="F683" s="1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0"/>
      <c r="V683" s="11"/>
      <c r="W683" s="10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2.75" customHeight="1">
      <c r="A684" s="10"/>
      <c r="B684" s="11"/>
      <c r="C684" s="10"/>
      <c r="D684" s="11"/>
      <c r="E684" s="10"/>
      <c r="F684" s="1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0"/>
      <c r="V684" s="11"/>
      <c r="W684" s="10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2.75" customHeight="1">
      <c r="A685" s="10"/>
      <c r="B685" s="11"/>
      <c r="C685" s="10"/>
      <c r="D685" s="11"/>
      <c r="E685" s="10"/>
      <c r="F685" s="1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0"/>
      <c r="V685" s="11"/>
      <c r="W685" s="10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2.75" customHeight="1">
      <c r="A686" s="10"/>
      <c r="B686" s="11"/>
      <c r="C686" s="10"/>
      <c r="D686" s="11"/>
      <c r="E686" s="10"/>
      <c r="F686" s="1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0"/>
      <c r="V686" s="11"/>
      <c r="W686" s="10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2.75" customHeight="1">
      <c r="A687" s="10"/>
      <c r="B687" s="11"/>
      <c r="C687" s="10"/>
      <c r="D687" s="11"/>
      <c r="E687" s="10"/>
      <c r="F687" s="1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0"/>
      <c r="V687" s="11"/>
      <c r="W687" s="10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2.75" customHeight="1">
      <c r="A688" s="10"/>
      <c r="B688" s="11"/>
      <c r="C688" s="10"/>
      <c r="D688" s="11"/>
      <c r="E688" s="10"/>
      <c r="F688" s="1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0"/>
      <c r="V688" s="11"/>
      <c r="W688" s="10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2.75" customHeight="1">
      <c r="A689" s="10"/>
      <c r="B689" s="11"/>
      <c r="C689" s="10"/>
      <c r="D689" s="11"/>
      <c r="E689" s="10"/>
      <c r="F689" s="1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0"/>
      <c r="V689" s="11"/>
      <c r="W689" s="10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2.75" customHeight="1">
      <c r="A690" s="10"/>
      <c r="B690" s="11"/>
      <c r="C690" s="10"/>
      <c r="D690" s="11"/>
      <c r="E690" s="10"/>
      <c r="F690" s="1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0"/>
      <c r="V690" s="11"/>
      <c r="W690" s="10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2.75" customHeight="1">
      <c r="A691" s="10"/>
      <c r="B691" s="11"/>
      <c r="C691" s="10"/>
      <c r="D691" s="11"/>
      <c r="E691" s="10"/>
      <c r="F691" s="1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0"/>
      <c r="V691" s="11"/>
      <c r="W691" s="10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2.75" customHeight="1">
      <c r="A692" s="10"/>
      <c r="B692" s="11"/>
      <c r="C692" s="10"/>
      <c r="D692" s="11"/>
      <c r="E692" s="10"/>
      <c r="F692" s="1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0"/>
      <c r="V692" s="11"/>
      <c r="W692" s="10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2.75" customHeight="1">
      <c r="A693" s="10"/>
      <c r="B693" s="11"/>
      <c r="C693" s="10"/>
      <c r="D693" s="11"/>
      <c r="E693" s="10"/>
      <c r="F693" s="1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0"/>
      <c r="V693" s="11"/>
      <c r="W693" s="10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2.75" customHeight="1">
      <c r="A694" s="10"/>
      <c r="B694" s="11"/>
      <c r="C694" s="10"/>
      <c r="D694" s="11"/>
      <c r="E694" s="10"/>
      <c r="F694" s="1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0"/>
      <c r="V694" s="11"/>
      <c r="W694" s="10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2.75" customHeight="1">
      <c r="A695" s="10"/>
      <c r="B695" s="11"/>
      <c r="C695" s="10"/>
      <c r="D695" s="11"/>
      <c r="E695" s="10"/>
      <c r="F695" s="1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0"/>
      <c r="V695" s="11"/>
      <c r="W695" s="10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2.75" customHeight="1">
      <c r="A696" s="10"/>
      <c r="B696" s="11"/>
      <c r="C696" s="10"/>
      <c r="D696" s="11"/>
      <c r="E696" s="10"/>
      <c r="F696" s="1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0"/>
      <c r="V696" s="11"/>
      <c r="W696" s="10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2.75" customHeight="1">
      <c r="A697" s="10"/>
      <c r="B697" s="11"/>
      <c r="C697" s="10"/>
      <c r="D697" s="11"/>
      <c r="E697" s="10"/>
      <c r="F697" s="1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0"/>
      <c r="V697" s="11"/>
      <c r="W697" s="10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2.75" customHeight="1">
      <c r="A698" s="10"/>
      <c r="B698" s="11"/>
      <c r="C698" s="10"/>
      <c r="D698" s="11"/>
      <c r="E698" s="10"/>
      <c r="F698" s="1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0"/>
      <c r="V698" s="11"/>
      <c r="W698" s="10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2.75" customHeight="1">
      <c r="A699" s="10"/>
      <c r="B699" s="11"/>
      <c r="C699" s="10"/>
      <c r="D699" s="11"/>
      <c r="E699" s="10"/>
      <c r="F699" s="1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0"/>
      <c r="V699" s="11"/>
      <c r="W699" s="10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2.75" customHeight="1">
      <c r="A700" s="10"/>
      <c r="B700" s="11"/>
      <c r="C700" s="10"/>
      <c r="D700" s="11"/>
      <c r="E700" s="10"/>
      <c r="F700" s="1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0"/>
      <c r="V700" s="11"/>
      <c r="W700" s="10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2.75" customHeight="1">
      <c r="A701" s="10"/>
      <c r="B701" s="11"/>
      <c r="C701" s="10"/>
      <c r="D701" s="11"/>
      <c r="E701" s="10"/>
      <c r="F701" s="1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0"/>
      <c r="V701" s="11"/>
      <c r="W701" s="10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2.75" customHeight="1">
      <c r="A702" s="10"/>
      <c r="B702" s="11"/>
      <c r="C702" s="10"/>
      <c r="D702" s="11"/>
      <c r="E702" s="10"/>
      <c r="F702" s="1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0"/>
      <c r="V702" s="11"/>
      <c r="W702" s="10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2.75" customHeight="1">
      <c r="A703" s="10"/>
      <c r="B703" s="11"/>
      <c r="C703" s="10"/>
      <c r="D703" s="11"/>
      <c r="E703" s="10"/>
      <c r="F703" s="1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0"/>
      <c r="V703" s="11"/>
      <c r="W703" s="10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2.75" customHeight="1">
      <c r="A704" s="10"/>
      <c r="B704" s="11"/>
      <c r="C704" s="10"/>
      <c r="D704" s="11"/>
      <c r="E704" s="10"/>
      <c r="F704" s="1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0"/>
      <c r="V704" s="11"/>
      <c r="W704" s="10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2.75" customHeight="1">
      <c r="A705" s="10"/>
      <c r="B705" s="11"/>
      <c r="C705" s="10"/>
      <c r="D705" s="11"/>
      <c r="E705" s="10"/>
      <c r="F705" s="1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0"/>
      <c r="V705" s="11"/>
      <c r="W705" s="10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2.75" customHeight="1">
      <c r="A706" s="10"/>
      <c r="B706" s="11"/>
      <c r="C706" s="10"/>
      <c r="D706" s="11"/>
      <c r="E706" s="10"/>
      <c r="F706" s="1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0"/>
      <c r="V706" s="11"/>
      <c r="W706" s="10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2.75" customHeight="1">
      <c r="A707" s="10"/>
      <c r="B707" s="11"/>
      <c r="C707" s="10"/>
      <c r="D707" s="11"/>
      <c r="E707" s="10"/>
      <c r="F707" s="1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0"/>
      <c r="V707" s="11"/>
      <c r="W707" s="10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2.75" customHeight="1">
      <c r="A708" s="10"/>
      <c r="B708" s="11"/>
      <c r="C708" s="10"/>
      <c r="D708" s="11"/>
      <c r="E708" s="10"/>
      <c r="F708" s="1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0"/>
      <c r="V708" s="11"/>
      <c r="W708" s="10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2.75" customHeight="1">
      <c r="A709" s="10"/>
      <c r="B709" s="11"/>
      <c r="C709" s="10"/>
      <c r="D709" s="11"/>
      <c r="E709" s="10"/>
      <c r="F709" s="1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0"/>
      <c r="V709" s="11"/>
      <c r="W709" s="10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2.75" customHeight="1">
      <c r="A710" s="10"/>
      <c r="B710" s="11"/>
      <c r="C710" s="10"/>
      <c r="D710" s="11"/>
      <c r="E710" s="10"/>
      <c r="F710" s="1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0"/>
      <c r="V710" s="11"/>
      <c r="W710" s="10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2.75" customHeight="1">
      <c r="A711" s="10"/>
      <c r="B711" s="11"/>
      <c r="C711" s="10"/>
      <c r="D711" s="11"/>
      <c r="E711" s="10"/>
      <c r="F711" s="1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0"/>
      <c r="V711" s="11"/>
      <c r="W711" s="10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2.75" customHeight="1">
      <c r="A712" s="10"/>
      <c r="B712" s="11"/>
      <c r="C712" s="10"/>
      <c r="D712" s="11"/>
      <c r="E712" s="10"/>
      <c r="F712" s="1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0"/>
      <c r="V712" s="11"/>
      <c r="W712" s="10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2.75" customHeight="1">
      <c r="A713" s="10"/>
      <c r="B713" s="11"/>
      <c r="C713" s="10"/>
      <c r="D713" s="11"/>
      <c r="E713" s="10"/>
      <c r="F713" s="1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0"/>
      <c r="V713" s="11"/>
      <c r="W713" s="10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2.75" customHeight="1">
      <c r="A714" s="10"/>
      <c r="B714" s="11"/>
      <c r="C714" s="10"/>
      <c r="D714" s="11"/>
      <c r="E714" s="10"/>
      <c r="F714" s="1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0"/>
      <c r="V714" s="11"/>
      <c r="W714" s="10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2.75" customHeight="1">
      <c r="A715" s="10"/>
      <c r="B715" s="11"/>
      <c r="C715" s="10"/>
      <c r="D715" s="11"/>
      <c r="E715" s="10"/>
      <c r="F715" s="1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0"/>
      <c r="V715" s="11"/>
      <c r="W715" s="10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2.75" customHeight="1">
      <c r="A716" s="10"/>
      <c r="B716" s="11"/>
      <c r="C716" s="10"/>
      <c r="D716" s="11"/>
      <c r="E716" s="10"/>
      <c r="F716" s="1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0"/>
      <c r="V716" s="11"/>
      <c r="W716" s="10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2.75" customHeight="1">
      <c r="A717" s="10"/>
      <c r="B717" s="11"/>
      <c r="C717" s="10"/>
      <c r="D717" s="11"/>
      <c r="E717" s="10"/>
      <c r="F717" s="1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0"/>
      <c r="V717" s="11"/>
      <c r="W717" s="10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2.75" customHeight="1">
      <c r="A718" s="10"/>
      <c r="B718" s="11"/>
      <c r="C718" s="10"/>
      <c r="D718" s="11"/>
      <c r="E718" s="10"/>
      <c r="F718" s="1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0"/>
      <c r="V718" s="11"/>
      <c r="W718" s="10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2.75" customHeight="1">
      <c r="A719" s="10"/>
      <c r="B719" s="11"/>
      <c r="C719" s="10"/>
      <c r="D719" s="11"/>
      <c r="E719" s="10"/>
      <c r="F719" s="1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0"/>
      <c r="V719" s="11"/>
      <c r="W719" s="10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2.75" customHeight="1">
      <c r="A720" s="10"/>
      <c r="B720" s="11"/>
      <c r="C720" s="10"/>
      <c r="D720" s="11"/>
      <c r="E720" s="10"/>
      <c r="F720" s="1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0"/>
      <c r="V720" s="11"/>
      <c r="W720" s="10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2.75" customHeight="1">
      <c r="A721" s="10"/>
      <c r="B721" s="11"/>
      <c r="C721" s="10"/>
      <c r="D721" s="11"/>
      <c r="E721" s="10"/>
      <c r="F721" s="1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0"/>
      <c r="V721" s="11"/>
      <c r="W721" s="10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2.75" customHeight="1">
      <c r="A722" s="10"/>
      <c r="B722" s="11"/>
      <c r="C722" s="10"/>
      <c r="D722" s="11"/>
      <c r="E722" s="10"/>
      <c r="F722" s="1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0"/>
      <c r="V722" s="11"/>
      <c r="W722" s="10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2.75" customHeight="1">
      <c r="A723" s="10"/>
      <c r="B723" s="11"/>
      <c r="C723" s="10"/>
      <c r="D723" s="11"/>
      <c r="E723" s="10"/>
      <c r="F723" s="1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0"/>
      <c r="V723" s="11"/>
      <c r="W723" s="10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2.75" customHeight="1">
      <c r="A724" s="10"/>
      <c r="B724" s="11"/>
      <c r="C724" s="10"/>
      <c r="D724" s="11"/>
      <c r="E724" s="10"/>
      <c r="F724" s="1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0"/>
      <c r="V724" s="11"/>
      <c r="W724" s="10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2.75" customHeight="1">
      <c r="A725" s="10"/>
      <c r="B725" s="11"/>
      <c r="C725" s="10"/>
      <c r="D725" s="11"/>
      <c r="E725" s="10"/>
      <c r="F725" s="1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0"/>
      <c r="V725" s="11"/>
      <c r="W725" s="10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2.75" customHeight="1">
      <c r="A726" s="10"/>
      <c r="B726" s="11"/>
      <c r="C726" s="10"/>
      <c r="D726" s="11"/>
      <c r="E726" s="10"/>
      <c r="F726" s="1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0"/>
      <c r="V726" s="11"/>
      <c r="W726" s="10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2.75" customHeight="1">
      <c r="A727" s="10"/>
      <c r="B727" s="11"/>
      <c r="C727" s="10"/>
      <c r="D727" s="11"/>
      <c r="E727" s="10"/>
      <c r="F727" s="1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0"/>
      <c r="V727" s="11"/>
      <c r="W727" s="10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2.75" customHeight="1">
      <c r="A728" s="10"/>
      <c r="B728" s="11"/>
      <c r="C728" s="10"/>
      <c r="D728" s="11"/>
      <c r="E728" s="10"/>
      <c r="F728" s="1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0"/>
      <c r="V728" s="11"/>
      <c r="W728" s="10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2.75" customHeight="1">
      <c r="A729" s="10"/>
      <c r="B729" s="11"/>
      <c r="C729" s="10"/>
      <c r="D729" s="11"/>
      <c r="E729" s="10"/>
      <c r="F729" s="1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0"/>
      <c r="V729" s="11"/>
      <c r="W729" s="10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2.75" customHeight="1">
      <c r="A730" s="10"/>
      <c r="B730" s="11"/>
      <c r="C730" s="10"/>
      <c r="D730" s="11"/>
      <c r="E730" s="10"/>
      <c r="F730" s="1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0"/>
      <c r="V730" s="11"/>
      <c r="W730" s="10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2.75" customHeight="1">
      <c r="A731" s="10"/>
      <c r="B731" s="11"/>
      <c r="C731" s="10"/>
      <c r="D731" s="11"/>
      <c r="E731" s="10"/>
      <c r="F731" s="1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0"/>
      <c r="V731" s="11"/>
      <c r="W731" s="10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2.75" customHeight="1">
      <c r="A732" s="10"/>
      <c r="B732" s="11"/>
      <c r="C732" s="10"/>
      <c r="D732" s="11"/>
      <c r="E732" s="10"/>
      <c r="F732" s="1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0"/>
      <c r="V732" s="11"/>
      <c r="W732" s="10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2.75" customHeight="1">
      <c r="A733" s="10"/>
      <c r="B733" s="11"/>
      <c r="C733" s="10"/>
      <c r="D733" s="11"/>
      <c r="E733" s="10"/>
      <c r="F733" s="1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0"/>
      <c r="V733" s="11"/>
      <c r="W733" s="10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2.75" customHeight="1">
      <c r="A734" s="10"/>
      <c r="B734" s="11"/>
      <c r="C734" s="10"/>
      <c r="D734" s="11"/>
      <c r="E734" s="10"/>
      <c r="F734" s="1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0"/>
      <c r="V734" s="11"/>
      <c r="W734" s="10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2.75" customHeight="1">
      <c r="A735" s="10"/>
      <c r="B735" s="11"/>
      <c r="C735" s="10"/>
      <c r="D735" s="11"/>
      <c r="E735" s="10"/>
      <c r="F735" s="1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0"/>
      <c r="V735" s="11"/>
      <c r="W735" s="10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2.75" customHeight="1">
      <c r="A736" s="10"/>
      <c r="B736" s="11"/>
      <c r="C736" s="10"/>
      <c r="D736" s="11"/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0"/>
      <c r="V736" s="11"/>
      <c r="W736" s="10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2.75" customHeight="1">
      <c r="A737" s="10"/>
      <c r="B737" s="11"/>
      <c r="C737" s="10"/>
      <c r="D737" s="11"/>
      <c r="E737" s="10"/>
      <c r="F737" s="1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0"/>
      <c r="V737" s="11"/>
      <c r="W737" s="10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2.75" customHeight="1">
      <c r="A738" s="10"/>
      <c r="B738" s="11"/>
      <c r="C738" s="10"/>
      <c r="D738" s="11"/>
      <c r="E738" s="10"/>
      <c r="F738" s="1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0"/>
      <c r="V738" s="11"/>
      <c r="W738" s="10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2.75" customHeight="1">
      <c r="A739" s="10"/>
      <c r="B739" s="11"/>
      <c r="C739" s="10"/>
      <c r="D739" s="11"/>
      <c r="E739" s="10"/>
      <c r="F739" s="1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0"/>
      <c r="V739" s="11"/>
      <c r="W739" s="10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2.75" customHeight="1">
      <c r="A740" s="10"/>
      <c r="B740" s="11"/>
      <c r="C740" s="10"/>
      <c r="D740" s="11"/>
      <c r="E740" s="10"/>
      <c r="F740" s="1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0"/>
      <c r="V740" s="11"/>
      <c r="W740" s="10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2.75" customHeight="1">
      <c r="A741" s="10"/>
      <c r="B741" s="11"/>
      <c r="C741" s="10"/>
      <c r="D741" s="11"/>
      <c r="E741" s="10"/>
      <c r="F741" s="1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0"/>
      <c r="V741" s="11"/>
      <c r="W741" s="10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2.75" customHeight="1">
      <c r="A742" s="10"/>
      <c r="B742" s="11"/>
      <c r="C742" s="10"/>
      <c r="D742" s="11"/>
      <c r="E742" s="10"/>
      <c r="F742" s="1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0"/>
      <c r="V742" s="11"/>
      <c r="W742" s="10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2.75" customHeight="1">
      <c r="A743" s="10"/>
      <c r="B743" s="11"/>
      <c r="C743" s="10"/>
      <c r="D743" s="11"/>
      <c r="E743" s="10"/>
      <c r="F743" s="1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0"/>
      <c r="V743" s="11"/>
      <c r="W743" s="10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2.75" customHeight="1">
      <c r="A744" s="10"/>
      <c r="B744" s="11"/>
      <c r="C744" s="10"/>
      <c r="D744" s="11"/>
      <c r="E744" s="10"/>
      <c r="F744" s="1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0"/>
      <c r="V744" s="11"/>
      <c r="W744" s="10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2.75" customHeight="1">
      <c r="A745" s="10"/>
      <c r="B745" s="11"/>
      <c r="C745" s="10"/>
      <c r="D745" s="11"/>
      <c r="E745" s="10"/>
      <c r="F745" s="1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0"/>
      <c r="V745" s="11"/>
      <c r="W745" s="10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2.75" customHeight="1">
      <c r="A746" s="10"/>
      <c r="B746" s="11"/>
      <c r="C746" s="10"/>
      <c r="D746" s="11"/>
      <c r="E746" s="10"/>
      <c r="F746" s="1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0"/>
      <c r="V746" s="11"/>
      <c r="W746" s="10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2.75" customHeight="1">
      <c r="A747" s="10"/>
      <c r="B747" s="11"/>
      <c r="C747" s="10"/>
      <c r="D747" s="11"/>
      <c r="E747" s="10"/>
      <c r="F747" s="1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0"/>
      <c r="V747" s="11"/>
      <c r="W747" s="10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2.75" customHeight="1">
      <c r="A748" s="10"/>
      <c r="B748" s="11"/>
      <c r="C748" s="10"/>
      <c r="D748" s="11"/>
      <c r="E748" s="10"/>
      <c r="F748" s="1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0"/>
      <c r="V748" s="11"/>
      <c r="W748" s="10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2.75" customHeight="1">
      <c r="A749" s="10"/>
      <c r="B749" s="11"/>
      <c r="C749" s="10"/>
      <c r="D749" s="11"/>
      <c r="E749" s="10"/>
      <c r="F749" s="1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0"/>
      <c r="V749" s="11"/>
      <c r="W749" s="10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2.75" customHeight="1">
      <c r="A750" s="10"/>
      <c r="B750" s="11"/>
      <c r="C750" s="10"/>
      <c r="D750" s="11"/>
      <c r="E750" s="10"/>
      <c r="F750" s="1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0"/>
      <c r="V750" s="11"/>
      <c r="W750" s="10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2.75" customHeight="1">
      <c r="A751" s="10"/>
      <c r="B751" s="11"/>
      <c r="C751" s="10"/>
      <c r="D751" s="11"/>
      <c r="E751" s="10"/>
      <c r="F751" s="1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0"/>
      <c r="V751" s="11"/>
      <c r="W751" s="10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2.75" customHeight="1">
      <c r="A752" s="10"/>
      <c r="B752" s="11"/>
      <c r="C752" s="10"/>
      <c r="D752" s="11"/>
      <c r="E752" s="10"/>
      <c r="F752" s="1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0"/>
      <c r="V752" s="11"/>
      <c r="W752" s="10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2.75" customHeight="1">
      <c r="A753" s="10"/>
      <c r="B753" s="11"/>
      <c r="C753" s="10"/>
      <c r="D753" s="11"/>
      <c r="E753" s="10"/>
      <c r="F753" s="1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0"/>
      <c r="V753" s="11"/>
      <c r="W753" s="10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2.75" customHeight="1">
      <c r="A754" s="10"/>
      <c r="B754" s="11"/>
      <c r="C754" s="10"/>
      <c r="D754" s="11"/>
      <c r="E754" s="10"/>
      <c r="F754" s="1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0"/>
      <c r="V754" s="11"/>
      <c r="W754" s="10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2.75" customHeight="1">
      <c r="A755" s="10"/>
      <c r="B755" s="11"/>
      <c r="C755" s="10"/>
      <c r="D755" s="11"/>
      <c r="E755" s="10"/>
      <c r="F755" s="1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0"/>
      <c r="V755" s="11"/>
      <c r="W755" s="10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2.75" customHeight="1">
      <c r="A756" s="10"/>
      <c r="B756" s="11"/>
      <c r="C756" s="10"/>
      <c r="D756" s="11"/>
      <c r="E756" s="10"/>
      <c r="F756" s="1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0"/>
      <c r="V756" s="11"/>
      <c r="W756" s="10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2.75" customHeight="1">
      <c r="A757" s="10"/>
      <c r="B757" s="11"/>
      <c r="C757" s="10"/>
      <c r="D757" s="11"/>
      <c r="E757" s="10"/>
      <c r="F757" s="1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0"/>
      <c r="V757" s="11"/>
      <c r="W757" s="10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2.75" customHeight="1">
      <c r="A758" s="10"/>
      <c r="B758" s="11"/>
      <c r="C758" s="10"/>
      <c r="D758" s="11"/>
      <c r="E758" s="10"/>
      <c r="F758" s="1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0"/>
      <c r="V758" s="11"/>
      <c r="W758" s="10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2.75" customHeight="1">
      <c r="A759" s="10"/>
      <c r="B759" s="11"/>
      <c r="C759" s="10"/>
      <c r="D759" s="11"/>
      <c r="E759" s="10"/>
      <c r="F759" s="1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0"/>
      <c r="V759" s="11"/>
      <c r="W759" s="10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2.75" customHeight="1">
      <c r="A760" s="10"/>
      <c r="B760" s="11"/>
      <c r="C760" s="10"/>
      <c r="D760" s="11"/>
      <c r="E760" s="10"/>
      <c r="F760" s="1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0"/>
      <c r="V760" s="11"/>
      <c r="W760" s="10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2.75" customHeight="1">
      <c r="A761" s="10"/>
      <c r="B761" s="11"/>
      <c r="C761" s="10"/>
      <c r="D761" s="11"/>
      <c r="E761" s="10"/>
      <c r="F761" s="1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0"/>
      <c r="V761" s="11"/>
      <c r="W761" s="10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2.75" customHeight="1">
      <c r="A762" s="10"/>
      <c r="B762" s="11"/>
      <c r="C762" s="10"/>
      <c r="D762" s="11"/>
      <c r="E762" s="10"/>
      <c r="F762" s="1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0"/>
      <c r="V762" s="11"/>
      <c r="W762" s="10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2.75" customHeight="1">
      <c r="A763" s="10"/>
      <c r="B763" s="11"/>
      <c r="C763" s="10"/>
      <c r="D763" s="11"/>
      <c r="E763" s="10"/>
      <c r="F763" s="1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0"/>
      <c r="V763" s="11"/>
      <c r="W763" s="10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2.75" customHeight="1">
      <c r="A764" s="10"/>
      <c r="B764" s="11"/>
      <c r="C764" s="10"/>
      <c r="D764" s="11"/>
      <c r="E764" s="10"/>
      <c r="F764" s="1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0"/>
      <c r="V764" s="11"/>
      <c r="W764" s="10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2.75" customHeight="1">
      <c r="A765" s="10"/>
      <c r="B765" s="11"/>
      <c r="C765" s="10"/>
      <c r="D765" s="11"/>
      <c r="E765" s="10"/>
      <c r="F765" s="1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0"/>
      <c r="V765" s="11"/>
      <c r="W765" s="10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2.75" customHeight="1">
      <c r="A766" s="10"/>
      <c r="B766" s="11"/>
      <c r="C766" s="10"/>
      <c r="D766" s="11"/>
      <c r="E766" s="10"/>
      <c r="F766" s="1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0"/>
      <c r="V766" s="11"/>
      <c r="W766" s="10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2.75" customHeight="1">
      <c r="A767" s="10"/>
      <c r="B767" s="11"/>
      <c r="C767" s="10"/>
      <c r="D767" s="11"/>
      <c r="E767" s="10"/>
      <c r="F767" s="1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0"/>
      <c r="V767" s="11"/>
      <c r="W767" s="10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2.75" customHeight="1">
      <c r="A768" s="10"/>
      <c r="B768" s="11"/>
      <c r="C768" s="10"/>
      <c r="D768" s="11"/>
      <c r="E768" s="10"/>
      <c r="F768" s="1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0"/>
      <c r="V768" s="11"/>
      <c r="W768" s="10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2.75" customHeight="1">
      <c r="A769" s="10"/>
      <c r="B769" s="11"/>
      <c r="C769" s="10"/>
      <c r="D769" s="11"/>
      <c r="E769" s="10"/>
      <c r="F769" s="1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0"/>
      <c r="V769" s="11"/>
      <c r="W769" s="10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2.75" customHeight="1">
      <c r="A770" s="10"/>
      <c r="B770" s="11"/>
      <c r="C770" s="10"/>
      <c r="D770" s="11"/>
      <c r="E770" s="10"/>
      <c r="F770" s="1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0"/>
      <c r="V770" s="11"/>
      <c r="W770" s="10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2.75" customHeight="1">
      <c r="A771" s="10"/>
      <c r="B771" s="11"/>
      <c r="C771" s="10"/>
      <c r="D771" s="11"/>
      <c r="E771" s="10"/>
      <c r="F771" s="1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0"/>
      <c r="V771" s="11"/>
      <c r="W771" s="10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2.75" customHeight="1">
      <c r="A772" s="10"/>
      <c r="B772" s="11"/>
      <c r="C772" s="10"/>
      <c r="D772" s="11"/>
      <c r="E772" s="10"/>
      <c r="F772" s="1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0"/>
      <c r="V772" s="11"/>
      <c r="W772" s="10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2.75" customHeight="1">
      <c r="A773" s="10"/>
      <c r="B773" s="11"/>
      <c r="C773" s="10"/>
      <c r="D773" s="11"/>
      <c r="E773" s="10"/>
      <c r="F773" s="1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0"/>
      <c r="V773" s="11"/>
      <c r="W773" s="10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2.75" customHeight="1">
      <c r="A774" s="10"/>
      <c r="B774" s="11"/>
      <c r="C774" s="10"/>
      <c r="D774" s="11"/>
      <c r="E774" s="10"/>
      <c r="F774" s="1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0"/>
      <c r="V774" s="11"/>
      <c r="W774" s="10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2.75" customHeight="1">
      <c r="A775" s="10"/>
      <c r="B775" s="11"/>
      <c r="C775" s="10"/>
      <c r="D775" s="11"/>
      <c r="E775" s="10"/>
      <c r="F775" s="1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0"/>
      <c r="V775" s="11"/>
      <c r="W775" s="10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2.75" customHeight="1">
      <c r="A776" s="10"/>
      <c r="B776" s="11"/>
      <c r="C776" s="10"/>
      <c r="D776" s="11"/>
      <c r="E776" s="10"/>
      <c r="F776" s="1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0"/>
      <c r="V776" s="11"/>
      <c r="W776" s="10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2.75" customHeight="1">
      <c r="A777" s="10"/>
      <c r="B777" s="11"/>
      <c r="C777" s="10"/>
      <c r="D777" s="11"/>
      <c r="E777" s="10"/>
      <c r="F777" s="1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0"/>
      <c r="V777" s="11"/>
      <c r="W777" s="10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2.75" customHeight="1">
      <c r="A778" s="10"/>
      <c r="B778" s="11"/>
      <c r="C778" s="10"/>
      <c r="D778" s="11"/>
      <c r="E778" s="10"/>
      <c r="F778" s="1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0"/>
      <c r="V778" s="11"/>
      <c r="W778" s="10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2.75" customHeight="1">
      <c r="A779" s="10"/>
      <c r="B779" s="11"/>
      <c r="C779" s="10"/>
      <c r="D779" s="11"/>
      <c r="E779" s="10"/>
      <c r="F779" s="1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0"/>
      <c r="V779" s="11"/>
      <c r="W779" s="10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2.75" customHeight="1">
      <c r="A780" s="10"/>
      <c r="B780" s="11"/>
      <c r="C780" s="10"/>
      <c r="D780" s="11"/>
      <c r="E780" s="10"/>
      <c r="F780" s="1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0"/>
      <c r="V780" s="11"/>
      <c r="W780" s="10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2.75" customHeight="1">
      <c r="A781" s="10"/>
      <c r="B781" s="11"/>
      <c r="C781" s="10"/>
      <c r="D781" s="11"/>
      <c r="E781" s="10"/>
      <c r="F781" s="1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0"/>
      <c r="V781" s="11"/>
      <c r="W781" s="10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2.75" customHeight="1">
      <c r="A782" s="10"/>
      <c r="B782" s="11"/>
      <c r="C782" s="10"/>
      <c r="D782" s="11"/>
      <c r="E782" s="10"/>
      <c r="F782" s="1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0"/>
      <c r="V782" s="11"/>
      <c r="W782" s="10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2.75" customHeight="1">
      <c r="A783" s="10"/>
      <c r="B783" s="11"/>
      <c r="C783" s="10"/>
      <c r="D783" s="11"/>
      <c r="E783" s="10"/>
      <c r="F783" s="1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0"/>
      <c r="V783" s="11"/>
      <c r="W783" s="10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2.75" customHeight="1">
      <c r="A784" s="10"/>
      <c r="B784" s="11"/>
      <c r="C784" s="10"/>
      <c r="D784" s="11"/>
      <c r="E784" s="10"/>
      <c r="F784" s="1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0"/>
      <c r="V784" s="11"/>
      <c r="W784" s="10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2.75" customHeight="1">
      <c r="A785" s="10"/>
      <c r="B785" s="11"/>
      <c r="C785" s="10"/>
      <c r="D785" s="11"/>
      <c r="E785" s="10"/>
      <c r="F785" s="1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0"/>
      <c r="V785" s="11"/>
      <c r="W785" s="10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2.75" customHeight="1">
      <c r="A786" s="10"/>
      <c r="B786" s="11"/>
      <c r="C786" s="10"/>
      <c r="D786" s="11"/>
      <c r="E786" s="10"/>
      <c r="F786" s="1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0"/>
      <c r="V786" s="11"/>
      <c r="W786" s="10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2.75" customHeight="1">
      <c r="A787" s="10"/>
      <c r="B787" s="11"/>
      <c r="C787" s="10"/>
      <c r="D787" s="11"/>
      <c r="E787" s="10"/>
      <c r="F787" s="1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0"/>
      <c r="V787" s="11"/>
      <c r="W787" s="10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2.75" customHeight="1">
      <c r="A788" s="10"/>
      <c r="B788" s="11"/>
      <c r="C788" s="10"/>
      <c r="D788" s="11"/>
      <c r="E788" s="10"/>
      <c r="F788" s="1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0"/>
      <c r="V788" s="11"/>
      <c r="W788" s="10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2.75" customHeight="1">
      <c r="A789" s="10"/>
      <c r="B789" s="11"/>
      <c r="C789" s="10"/>
      <c r="D789" s="11"/>
      <c r="E789" s="10"/>
      <c r="F789" s="1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0"/>
      <c r="V789" s="11"/>
      <c r="W789" s="10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2.75" customHeight="1">
      <c r="A790" s="10"/>
      <c r="B790" s="11"/>
      <c r="C790" s="10"/>
      <c r="D790" s="11"/>
      <c r="E790" s="10"/>
      <c r="F790" s="1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0"/>
      <c r="V790" s="11"/>
      <c r="W790" s="10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2.75" customHeight="1">
      <c r="A791" s="10"/>
      <c r="B791" s="11"/>
      <c r="C791" s="10"/>
      <c r="D791" s="11"/>
      <c r="E791" s="10"/>
      <c r="F791" s="1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0"/>
      <c r="V791" s="11"/>
      <c r="W791" s="10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2.75" customHeight="1">
      <c r="A792" s="10"/>
      <c r="B792" s="11"/>
      <c r="C792" s="10"/>
      <c r="D792" s="11"/>
      <c r="E792" s="10"/>
      <c r="F792" s="1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0"/>
      <c r="V792" s="11"/>
      <c r="W792" s="10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2.75" customHeight="1">
      <c r="A793" s="10"/>
      <c r="B793" s="11"/>
      <c r="C793" s="10"/>
      <c r="D793" s="11"/>
      <c r="E793" s="10"/>
      <c r="F793" s="1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0"/>
      <c r="V793" s="11"/>
      <c r="W793" s="10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2.75" customHeight="1">
      <c r="A794" s="10"/>
      <c r="B794" s="11"/>
      <c r="C794" s="10"/>
      <c r="D794" s="11"/>
      <c r="E794" s="10"/>
      <c r="F794" s="1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0"/>
      <c r="V794" s="11"/>
      <c r="W794" s="10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2.75" customHeight="1">
      <c r="A795" s="10"/>
      <c r="B795" s="11"/>
      <c r="C795" s="10"/>
      <c r="D795" s="11"/>
      <c r="E795" s="10"/>
      <c r="F795" s="1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0"/>
      <c r="V795" s="11"/>
      <c r="W795" s="10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2.75" customHeight="1">
      <c r="A796" s="10"/>
      <c r="B796" s="11"/>
      <c r="C796" s="10"/>
      <c r="D796" s="11"/>
      <c r="E796" s="10"/>
      <c r="F796" s="1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0"/>
      <c r="V796" s="11"/>
      <c r="W796" s="10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2.75" customHeight="1">
      <c r="A797" s="10"/>
      <c r="B797" s="11"/>
      <c r="C797" s="10"/>
      <c r="D797" s="11"/>
      <c r="E797" s="10"/>
      <c r="F797" s="1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0"/>
      <c r="V797" s="11"/>
      <c r="W797" s="10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2.75" customHeight="1">
      <c r="A798" s="10"/>
      <c r="B798" s="11"/>
      <c r="C798" s="10"/>
      <c r="D798" s="11"/>
      <c r="E798" s="10"/>
      <c r="F798" s="1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0"/>
      <c r="V798" s="11"/>
      <c r="W798" s="10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2.75" customHeight="1">
      <c r="A799" s="10"/>
      <c r="B799" s="11"/>
      <c r="C799" s="10"/>
      <c r="D799" s="11"/>
      <c r="E799" s="10"/>
      <c r="F799" s="1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0"/>
      <c r="V799" s="11"/>
      <c r="W799" s="10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2.75" customHeight="1">
      <c r="A800" s="10"/>
      <c r="B800" s="11"/>
      <c r="C800" s="10"/>
      <c r="D800" s="11"/>
      <c r="E800" s="10"/>
      <c r="F800" s="1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0"/>
      <c r="V800" s="11"/>
      <c r="W800" s="10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2.75" customHeight="1">
      <c r="A801" s="10"/>
      <c r="B801" s="11"/>
      <c r="C801" s="10"/>
      <c r="D801" s="11"/>
      <c r="E801" s="10"/>
      <c r="F801" s="1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0"/>
      <c r="V801" s="11"/>
      <c r="W801" s="10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2.75" customHeight="1">
      <c r="A802" s="10"/>
      <c r="B802" s="11"/>
      <c r="C802" s="10"/>
      <c r="D802" s="11"/>
      <c r="E802" s="10"/>
      <c r="F802" s="1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0"/>
      <c r="V802" s="11"/>
      <c r="W802" s="10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2.75" customHeight="1">
      <c r="A803" s="10"/>
      <c r="B803" s="11"/>
      <c r="C803" s="10"/>
      <c r="D803" s="11"/>
      <c r="E803" s="10"/>
      <c r="F803" s="1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0"/>
      <c r="V803" s="11"/>
      <c r="W803" s="10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2.75" customHeight="1">
      <c r="A804" s="10"/>
      <c r="B804" s="11"/>
      <c r="C804" s="10"/>
      <c r="D804" s="11"/>
      <c r="E804" s="10"/>
      <c r="F804" s="1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0"/>
      <c r="V804" s="11"/>
      <c r="W804" s="10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2.75" customHeight="1">
      <c r="A805" s="10"/>
      <c r="B805" s="11"/>
      <c r="C805" s="10"/>
      <c r="D805" s="11"/>
      <c r="E805" s="10"/>
      <c r="F805" s="1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0"/>
      <c r="V805" s="11"/>
      <c r="W805" s="10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2.75" customHeight="1">
      <c r="A806" s="10"/>
      <c r="B806" s="11"/>
      <c r="C806" s="10"/>
      <c r="D806" s="11"/>
      <c r="E806" s="10"/>
      <c r="F806" s="1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0"/>
      <c r="V806" s="11"/>
      <c r="W806" s="10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2.75" customHeight="1">
      <c r="A807" s="10"/>
      <c r="B807" s="11"/>
      <c r="C807" s="10"/>
      <c r="D807" s="11"/>
      <c r="E807" s="10"/>
      <c r="F807" s="1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0"/>
      <c r="V807" s="11"/>
      <c r="W807" s="10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2.75" customHeight="1">
      <c r="A808" s="10"/>
      <c r="B808" s="11"/>
      <c r="C808" s="10"/>
      <c r="D808" s="11"/>
      <c r="E808" s="10"/>
      <c r="F808" s="1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0"/>
      <c r="V808" s="11"/>
      <c r="W808" s="10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2.75" customHeight="1">
      <c r="A809" s="10"/>
      <c r="B809" s="11"/>
      <c r="C809" s="10"/>
      <c r="D809" s="11"/>
      <c r="E809" s="10"/>
      <c r="F809" s="1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0"/>
      <c r="V809" s="11"/>
      <c r="W809" s="10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2.75" customHeight="1">
      <c r="A810" s="10"/>
      <c r="B810" s="11"/>
      <c r="C810" s="10"/>
      <c r="D810" s="11"/>
      <c r="E810" s="10"/>
      <c r="F810" s="1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0"/>
      <c r="V810" s="11"/>
      <c r="W810" s="10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2.75" customHeight="1">
      <c r="A811" s="10"/>
      <c r="B811" s="11"/>
      <c r="C811" s="10"/>
      <c r="D811" s="11"/>
      <c r="E811" s="10"/>
      <c r="F811" s="1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0"/>
      <c r="V811" s="11"/>
      <c r="W811" s="10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2.75" customHeight="1">
      <c r="A812" s="10"/>
      <c r="B812" s="11"/>
      <c r="C812" s="10"/>
      <c r="D812" s="11"/>
      <c r="E812" s="10"/>
      <c r="F812" s="1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0"/>
      <c r="V812" s="11"/>
      <c r="W812" s="10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2.75" customHeight="1">
      <c r="A813" s="10"/>
      <c r="B813" s="11"/>
      <c r="C813" s="10"/>
      <c r="D813" s="11"/>
      <c r="E813" s="10"/>
      <c r="F813" s="1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0"/>
      <c r="V813" s="11"/>
      <c r="W813" s="10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2.75" customHeight="1">
      <c r="A814" s="10"/>
      <c r="B814" s="11"/>
      <c r="C814" s="10"/>
      <c r="D814" s="11"/>
      <c r="E814" s="10"/>
      <c r="F814" s="1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0"/>
      <c r="V814" s="11"/>
      <c r="W814" s="10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2.75" customHeight="1">
      <c r="A815" s="10"/>
      <c r="B815" s="11"/>
      <c r="C815" s="10"/>
      <c r="D815" s="11"/>
      <c r="E815" s="10"/>
      <c r="F815" s="1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0"/>
      <c r="V815" s="11"/>
      <c r="W815" s="10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2.75" customHeight="1">
      <c r="A816" s="10"/>
      <c r="B816" s="11"/>
      <c r="C816" s="10"/>
      <c r="D816" s="11"/>
      <c r="E816" s="10"/>
      <c r="F816" s="1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0"/>
      <c r="V816" s="11"/>
      <c r="W816" s="10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2.75" customHeight="1">
      <c r="A817" s="10"/>
      <c r="B817" s="11"/>
      <c r="C817" s="10"/>
      <c r="D817" s="11"/>
      <c r="E817" s="10"/>
      <c r="F817" s="1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0"/>
      <c r="V817" s="11"/>
      <c r="W817" s="10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2.75" customHeight="1">
      <c r="A818" s="10"/>
      <c r="B818" s="11"/>
      <c r="C818" s="10"/>
      <c r="D818" s="11"/>
      <c r="E818" s="10"/>
      <c r="F818" s="1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0"/>
      <c r="V818" s="11"/>
      <c r="W818" s="10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2.75" customHeight="1">
      <c r="A819" s="10"/>
      <c r="B819" s="11"/>
      <c r="C819" s="10"/>
      <c r="D819" s="11"/>
      <c r="E819" s="10"/>
      <c r="F819" s="1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0"/>
      <c r="V819" s="11"/>
      <c r="W819" s="10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2.75" customHeight="1">
      <c r="A820" s="10"/>
      <c r="B820" s="11"/>
      <c r="C820" s="10"/>
      <c r="D820" s="11"/>
      <c r="E820" s="10"/>
      <c r="F820" s="1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0"/>
      <c r="V820" s="11"/>
      <c r="W820" s="10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2.75" customHeight="1">
      <c r="A821" s="10"/>
      <c r="B821" s="11"/>
      <c r="C821" s="10"/>
      <c r="D821" s="11"/>
      <c r="E821" s="10"/>
      <c r="F821" s="1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0"/>
      <c r="V821" s="11"/>
      <c r="W821" s="10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2.75" customHeight="1">
      <c r="A822" s="10"/>
      <c r="B822" s="11"/>
      <c r="C822" s="10"/>
      <c r="D822" s="11"/>
      <c r="E822" s="10"/>
      <c r="F822" s="1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0"/>
      <c r="V822" s="11"/>
      <c r="W822" s="10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2.75" customHeight="1">
      <c r="A823" s="10"/>
      <c r="B823" s="11"/>
      <c r="C823" s="10"/>
      <c r="D823" s="11"/>
      <c r="E823" s="10"/>
      <c r="F823" s="1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0"/>
      <c r="V823" s="11"/>
      <c r="W823" s="10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2.75" customHeight="1">
      <c r="A824" s="10"/>
      <c r="B824" s="11"/>
      <c r="C824" s="10"/>
      <c r="D824" s="11"/>
      <c r="E824" s="10"/>
      <c r="F824" s="1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0"/>
      <c r="V824" s="11"/>
      <c r="W824" s="10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2.75" customHeight="1">
      <c r="A825" s="10"/>
      <c r="B825" s="11"/>
      <c r="C825" s="10"/>
      <c r="D825" s="11"/>
      <c r="E825" s="10"/>
      <c r="F825" s="1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0"/>
      <c r="V825" s="11"/>
      <c r="W825" s="10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2.75" customHeight="1">
      <c r="A826" s="10"/>
      <c r="B826" s="11"/>
      <c r="C826" s="10"/>
      <c r="D826" s="11"/>
      <c r="E826" s="10"/>
      <c r="F826" s="1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0"/>
      <c r="V826" s="11"/>
      <c r="W826" s="10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2.75" customHeight="1">
      <c r="A827" s="10"/>
      <c r="B827" s="11"/>
      <c r="C827" s="10"/>
      <c r="D827" s="11"/>
      <c r="E827" s="10"/>
      <c r="F827" s="1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0"/>
      <c r="V827" s="11"/>
      <c r="W827" s="10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2.75" customHeight="1">
      <c r="A828" s="10"/>
      <c r="B828" s="11"/>
      <c r="C828" s="10"/>
      <c r="D828" s="11"/>
      <c r="E828" s="10"/>
      <c r="F828" s="1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0"/>
      <c r="V828" s="11"/>
      <c r="W828" s="10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2.75" customHeight="1">
      <c r="A829" s="10"/>
      <c r="B829" s="11"/>
      <c r="C829" s="10"/>
      <c r="D829" s="11"/>
      <c r="E829" s="10"/>
      <c r="F829" s="1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0"/>
      <c r="V829" s="11"/>
      <c r="W829" s="10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2.75" customHeight="1">
      <c r="A830" s="10"/>
      <c r="B830" s="11"/>
      <c r="C830" s="10"/>
      <c r="D830" s="11"/>
      <c r="E830" s="10"/>
      <c r="F830" s="1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0"/>
      <c r="V830" s="11"/>
      <c r="W830" s="10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2.75" customHeight="1">
      <c r="A831" s="10"/>
      <c r="B831" s="11"/>
      <c r="C831" s="10"/>
      <c r="D831" s="11"/>
      <c r="E831" s="10"/>
      <c r="F831" s="1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0"/>
      <c r="V831" s="11"/>
      <c r="W831" s="10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2.75" customHeight="1">
      <c r="A832" s="10"/>
      <c r="B832" s="11"/>
      <c r="C832" s="10"/>
      <c r="D832" s="11"/>
      <c r="E832" s="10"/>
      <c r="F832" s="1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0"/>
      <c r="V832" s="11"/>
      <c r="W832" s="10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2.75" customHeight="1">
      <c r="A833" s="10"/>
      <c r="B833" s="11"/>
      <c r="C833" s="10"/>
      <c r="D833" s="11"/>
      <c r="E833" s="10"/>
      <c r="F833" s="1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0"/>
      <c r="V833" s="11"/>
      <c r="W833" s="10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2.75" customHeight="1">
      <c r="A834" s="10"/>
      <c r="B834" s="11"/>
      <c r="C834" s="10"/>
      <c r="D834" s="11"/>
      <c r="E834" s="10"/>
      <c r="F834" s="1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0"/>
      <c r="V834" s="11"/>
      <c r="W834" s="10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2.75" customHeight="1">
      <c r="A835" s="10"/>
      <c r="B835" s="11"/>
      <c r="C835" s="10"/>
      <c r="D835" s="11"/>
      <c r="E835" s="10"/>
      <c r="F835" s="1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0"/>
      <c r="V835" s="11"/>
      <c r="W835" s="10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2.75" customHeight="1">
      <c r="A836" s="10"/>
      <c r="B836" s="11"/>
      <c r="C836" s="10"/>
      <c r="D836" s="11"/>
      <c r="E836" s="10"/>
      <c r="F836" s="1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0"/>
      <c r="V836" s="11"/>
      <c r="W836" s="10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2.75" customHeight="1">
      <c r="A837" s="10"/>
      <c r="B837" s="11"/>
      <c r="C837" s="10"/>
      <c r="D837" s="11"/>
      <c r="E837" s="10"/>
      <c r="F837" s="1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0"/>
      <c r="V837" s="11"/>
      <c r="W837" s="10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2.75" customHeight="1">
      <c r="A838" s="10"/>
      <c r="B838" s="11"/>
      <c r="C838" s="10"/>
      <c r="D838" s="11"/>
      <c r="E838" s="10"/>
      <c r="F838" s="1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0"/>
      <c r="V838" s="11"/>
      <c r="W838" s="10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2.75" customHeight="1">
      <c r="A839" s="10"/>
      <c r="B839" s="11"/>
      <c r="C839" s="10"/>
      <c r="D839" s="11"/>
      <c r="E839" s="10"/>
      <c r="F839" s="1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0"/>
      <c r="V839" s="11"/>
      <c r="W839" s="10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2.75" customHeight="1">
      <c r="A840" s="10"/>
      <c r="B840" s="11"/>
      <c r="C840" s="10"/>
      <c r="D840" s="11"/>
      <c r="E840" s="10"/>
      <c r="F840" s="1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0"/>
      <c r="V840" s="11"/>
      <c r="W840" s="10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2.75" customHeight="1">
      <c r="A841" s="10"/>
      <c r="B841" s="11"/>
      <c r="C841" s="10"/>
      <c r="D841" s="11"/>
      <c r="E841" s="10"/>
      <c r="F841" s="1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0"/>
      <c r="V841" s="11"/>
      <c r="W841" s="10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2.75" customHeight="1">
      <c r="A842" s="10"/>
      <c r="B842" s="11"/>
      <c r="C842" s="10"/>
      <c r="D842" s="11"/>
      <c r="E842" s="10"/>
      <c r="F842" s="1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0"/>
      <c r="V842" s="11"/>
      <c r="W842" s="10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2.75" customHeight="1">
      <c r="A843" s="10"/>
      <c r="B843" s="11"/>
      <c r="C843" s="10"/>
      <c r="D843" s="11"/>
      <c r="E843" s="10"/>
      <c r="F843" s="1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0"/>
      <c r="V843" s="11"/>
      <c r="W843" s="10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2.75" customHeight="1">
      <c r="A844" s="10"/>
      <c r="B844" s="11"/>
      <c r="C844" s="10"/>
      <c r="D844" s="11"/>
      <c r="E844" s="10"/>
      <c r="F844" s="1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0"/>
      <c r="V844" s="11"/>
      <c r="W844" s="10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2.75" customHeight="1">
      <c r="A845" s="10"/>
      <c r="B845" s="11"/>
      <c r="C845" s="10"/>
      <c r="D845" s="11"/>
      <c r="E845" s="10"/>
      <c r="F845" s="1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0"/>
      <c r="V845" s="11"/>
      <c r="W845" s="10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2.75" customHeight="1">
      <c r="A846" s="10"/>
      <c r="B846" s="11"/>
      <c r="C846" s="10"/>
      <c r="D846" s="11"/>
      <c r="E846" s="10"/>
      <c r="F846" s="1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0"/>
      <c r="V846" s="11"/>
      <c r="W846" s="10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2.75" customHeight="1">
      <c r="A847" s="10"/>
      <c r="B847" s="11"/>
      <c r="C847" s="10"/>
      <c r="D847" s="11"/>
      <c r="E847" s="10"/>
      <c r="F847" s="1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0"/>
      <c r="V847" s="11"/>
      <c r="W847" s="10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2.75" customHeight="1">
      <c r="A848" s="10"/>
      <c r="B848" s="11"/>
      <c r="C848" s="10"/>
      <c r="D848" s="11"/>
      <c r="E848" s="10"/>
      <c r="F848" s="1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0"/>
      <c r="V848" s="11"/>
      <c r="W848" s="10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2.75" customHeight="1">
      <c r="A849" s="10"/>
      <c r="B849" s="11"/>
      <c r="C849" s="10"/>
      <c r="D849" s="11"/>
      <c r="E849" s="10"/>
      <c r="F849" s="1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0"/>
      <c r="V849" s="11"/>
      <c r="W849" s="10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2.75" customHeight="1">
      <c r="A850" s="10"/>
      <c r="B850" s="11"/>
      <c r="C850" s="10"/>
      <c r="D850" s="11"/>
      <c r="E850" s="10"/>
      <c r="F850" s="1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0"/>
      <c r="V850" s="11"/>
      <c r="W850" s="10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2.75" customHeight="1">
      <c r="A851" s="10"/>
      <c r="B851" s="11"/>
      <c r="C851" s="10"/>
      <c r="D851" s="11"/>
      <c r="E851" s="10"/>
      <c r="F851" s="1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0"/>
      <c r="V851" s="11"/>
      <c r="W851" s="10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2.75" customHeight="1">
      <c r="A852" s="10"/>
      <c r="B852" s="11"/>
      <c r="C852" s="10"/>
      <c r="D852" s="11"/>
      <c r="E852" s="10"/>
      <c r="F852" s="1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0"/>
      <c r="V852" s="11"/>
      <c r="W852" s="10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2.75" customHeight="1">
      <c r="A853" s="10"/>
      <c r="B853" s="11"/>
      <c r="C853" s="10"/>
      <c r="D853" s="11"/>
      <c r="E853" s="10"/>
      <c r="F853" s="1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0"/>
      <c r="V853" s="11"/>
      <c r="W853" s="10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2.75" customHeight="1">
      <c r="A854" s="10"/>
      <c r="B854" s="11"/>
      <c r="C854" s="10"/>
      <c r="D854" s="11"/>
      <c r="E854" s="10"/>
      <c r="F854" s="1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0"/>
      <c r="V854" s="11"/>
      <c r="W854" s="10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2.75" customHeight="1">
      <c r="A855" s="10"/>
      <c r="B855" s="11"/>
      <c r="C855" s="10"/>
      <c r="D855" s="11"/>
      <c r="E855" s="10"/>
      <c r="F855" s="1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0"/>
      <c r="V855" s="11"/>
      <c r="W855" s="10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2.75" customHeight="1">
      <c r="A856" s="10"/>
      <c r="B856" s="11"/>
      <c r="C856" s="10"/>
      <c r="D856" s="11"/>
      <c r="E856" s="10"/>
      <c r="F856" s="1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0"/>
      <c r="V856" s="11"/>
      <c r="W856" s="10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2.75" customHeight="1">
      <c r="A857" s="10"/>
      <c r="B857" s="11"/>
      <c r="C857" s="10"/>
      <c r="D857" s="11"/>
      <c r="E857" s="10"/>
      <c r="F857" s="1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0"/>
      <c r="V857" s="11"/>
      <c r="W857" s="10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2.75" customHeight="1">
      <c r="A858" s="10"/>
      <c r="B858" s="11"/>
      <c r="C858" s="10"/>
      <c r="D858" s="11"/>
      <c r="E858" s="10"/>
      <c r="F858" s="1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0"/>
      <c r="V858" s="11"/>
      <c r="W858" s="10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2.75" customHeight="1">
      <c r="A859" s="10"/>
      <c r="B859" s="11"/>
      <c r="C859" s="10"/>
      <c r="D859" s="11"/>
      <c r="E859" s="10"/>
      <c r="F859" s="1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0"/>
      <c r="V859" s="11"/>
      <c r="W859" s="10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2.75" customHeight="1">
      <c r="A860" s="10"/>
      <c r="B860" s="11"/>
      <c r="C860" s="10"/>
      <c r="D860" s="11"/>
      <c r="E860" s="10"/>
      <c r="F860" s="1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0"/>
      <c r="V860" s="11"/>
      <c r="W860" s="10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2.75" customHeight="1">
      <c r="A861" s="10"/>
      <c r="B861" s="11"/>
      <c r="C861" s="10"/>
      <c r="D861" s="11"/>
      <c r="E861" s="10"/>
      <c r="F861" s="1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0"/>
      <c r="V861" s="11"/>
      <c r="W861" s="10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2.75" customHeight="1">
      <c r="A862" s="10"/>
      <c r="B862" s="11"/>
      <c r="C862" s="10"/>
      <c r="D862" s="11"/>
      <c r="E862" s="10"/>
      <c r="F862" s="1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0"/>
      <c r="V862" s="11"/>
      <c r="W862" s="10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2.75" customHeight="1">
      <c r="A863" s="10"/>
      <c r="B863" s="11"/>
      <c r="C863" s="10"/>
      <c r="D863" s="11"/>
      <c r="E863" s="10"/>
      <c r="F863" s="1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0"/>
      <c r="V863" s="11"/>
      <c r="W863" s="10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2.75" customHeight="1">
      <c r="A864" s="10"/>
      <c r="B864" s="11"/>
      <c r="C864" s="10"/>
      <c r="D864" s="11"/>
      <c r="E864" s="10"/>
      <c r="F864" s="1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0"/>
      <c r="V864" s="11"/>
      <c r="W864" s="10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2.75" customHeight="1">
      <c r="A865" s="10"/>
      <c r="B865" s="11"/>
      <c r="C865" s="10"/>
      <c r="D865" s="11"/>
      <c r="E865" s="10"/>
      <c r="F865" s="1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0"/>
      <c r="V865" s="11"/>
      <c r="W865" s="10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2.75" customHeight="1">
      <c r="A866" s="10"/>
      <c r="B866" s="11"/>
      <c r="C866" s="10"/>
      <c r="D866" s="11"/>
      <c r="E866" s="10"/>
      <c r="F866" s="1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0"/>
      <c r="V866" s="11"/>
      <c r="W866" s="10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2.75" customHeight="1">
      <c r="A867" s="10"/>
      <c r="B867" s="11"/>
      <c r="C867" s="10"/>
      <c r="D867" s="11"/>
      <c r="E867" s="10"/>
      <c r="F867" s="1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0"/>
      <c r="V867" s="11"/>
      <c r="W867" s="10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2.75" customHeight="1">
      <c r="A868" s="10"/>
      <c r="B868" s="11"/>
      <c r="C868" s="10"/>
      <c r="D868" s="11"/>
      <c r="E868" s="10"/>
      <c r="F868" s="1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0"/>
      <c r="V868" s="11"/>
      <c r="W868" s="10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2.75" customHeight="1">
      <c r="A869" s="10"/>
      <c r="B869" s="11"/>
      <c r="C869" s="10"/>
      <c r="D869" s="11"/>
      <c r="E869" s="10"/>
      <c r="F869" s="1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0"/>
      <c r="V869" s="11"/>
      <c r="W869" s="10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2.75" customHeight="1">
      <c r="A870" s="10"/>
      <c r="B870" s="11"/>
      <c r="C870" s="10"/>
      <c r="D870" s="11"/>
      <c r="E870" s="10"/>
      <c r="F870" s="1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0"/>
      <c r="V870" s="11"/>
      <c r="W870" s="10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2.75" customHeight="1">
      <c r="A871" s="10"/>
      <c r="B871" s="11"/>
      <c r="C871" s="10"/>
      <c r="D871" s="11"/>
      <c r="E871" s="10"/>
      <c r="F871" s="1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0"/>
      <c r="V871" s="11"/>
      <c r="W871" s="10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2.75" customHeight="1">
      <c r="A872" s="10"/>
      <c r="B872" s="11"/>
      <c r="C872" s="10"/>
      <c r="D872" s="11"/>
      <c r="E872" s="10"/>
      <c r="F872" s="1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0"/>
      <c r="V872" s="11"/>
      <c r="W872" s="10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2.75" customHeight="1">
      <c r="A873" s="10"/>
      <c r="B873" s="11"/>
      <c r="C873" s="10"/>
      <c r="D873" s="11"/>
      <c r="E873" s="10"/>
      <c r="F873" s="1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0"/>
      <c r="V873" s="11"/>
      <c r="W873" s="10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2.75" customHeight="1">
      <c r="A874" s="10"/>
      <c r="B874" s="11"/>
      <c r="C874" s="10"/>
      <c r="D874" s="11"/>
      <c r="E874" s="10"/>
      <c r="F874" s="1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0"/>
      <c r="V874" s="11"/>
      <c r="W874" s="10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2.75" customHeight="1">
      <c r="A875" s="10"/>
      <c r="B875" s="11"/>
      <c r="C875" s="10"/>
      <c r="D875" s="11"/>
      <c r="E875" s="10"/>
      <c r="F875" s="1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0"/>
      <c r="V875" s="11"/>
      <c r="W875" s="10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2.75" customHeight="1">
      <c r="A876" s="10"/>
      <c r="B876" s="11"/>
      <c r="C876" s="10"/>
      <c r="D876" s="11"/>
      <c r="E876" s="10"/>
      <c r="F876" s="1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0"/>
      <c r="V876" s="11"/>
      <c r="W876" s="10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2.75" customHeight="1">
      <c r="A877" s="10"/>
      <c r="B877" s="11"/>
      <c r="C877" s="10"/>
      <c r="D877" s="11"/>
      <c r="E877" s="10"/>
      <c r="F877" s="1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0"/>
      <c r="V877" s="11"/>
      <c r="W877" s="10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2.75" customHeight="1">
      <c r="A878" s="10"/>
      <c r="B878" s="11"/>
      <c r="C878" s="10"/>
      <c r="D878" s="11"/>
      <c r="E878" s="10"/>
      <c r="F878" s="1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0"/>
      <c r="V878" s="11"/>
      <c r="W878" s="10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2.75" customHeight="1">
      <c r="A879" s="10"/>
      <c r="B879" s="11"/>
      <c r="C879" s="10"/>
      <c r="D879" s="11"/>
      <c r="E879" s="10"/>
      <c r="F879" s="1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0"/>
      <c r="V879" s="11"/>
      <c r="W879" s="10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2.75" customHeight="1">
      <c r="A880" s="10"/>
      <c r="B880" s="11"/>
      <c r="C880" s="10"/>
      <c r="D880" s="11"/>
      <c r="E880" s="10"/>
      <c r="F880" s="1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0"/>
      <c r="V880" s="11"/>
      <c r="W880" s="10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2.75" customHeight="1">
      <c r="A881" s="10"/>
      <c r="B881" s="11"/>
      <c r="C881" s="10"/>
      <c r="D881" s="11"/>
      <c r="E881" s="10"/>
      <c r="F881" s="1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0"/>
      <c r="V881" s="11"/>
      <c r="W881" s="10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2.75" customHeight="1">
      <c r="A882" s="10"/>
      <c r="B882" s="11"/>
      <c r="C882" s="10"/>
      <c r="D882" s="11"/>
      <c r="E882" s="10"/>
      <c r="F882" s="1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0"/>
      <c r="V882" s="11"/>
      <c r="W882" s="10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2.75" customHeight="1">
      <c r="A883" s="10"/>
      <c r="B883" s="11"/>
      <c r="C883" s="10"/>
      <c r="D883" s="11"/>
      <c r="E883" s="10"/>
      <c r="F883" s="1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0"/>
      <c r="V883" s="11"/>
      <c r="W883" s="10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2.75" customHeight="1">
      <c r="A884" s="10"/>
      <c r="B884" s="11"/>
      <c r="C884" s="10"/>
      <c r="D884" s="11"/>
      <c r="E884" s="10"/>
      <c r="F884" s="1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0"/>
      <c r="V884" s="11"/>
      <c r="W884" s="10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2.75" customHeight="1">
      <c r="A885" s="10"/>
      <c r="B885" s="11"/>
      <c r="C885" s="10"/>
      <c r="D885" s="11"/>
      <c r="E885" s="10"/>
      <c r="F885" s="1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0"/>
      <c r="V885" s="11"/>
      <c r="W885" s="10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2.75" customHeight="1">
      <c r="A886" s="10"/>
      <c r="B886" s="11"/>
      <c r="C886" s="10"/>
      <c r="D886" s="11"/>
      <c r="E886" s="10"/>
      <c r="F886" s="1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0"/>
      <c r="V886" s="11"/>
      <c r="W886" s="10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2.75" customHeight="1">
      <c r="A887" s="10"/>
      <c r="B887" s="11"/>
      <c r="C887" s="10"/>
      <c r="D887" s="11"/>
      <c r="E887" s="10"/>
      <c r="F887" s="1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0"/>
      <c r="V887" s="11"/>
      <c r="W887" s="10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2.75" customHeight="1">
      <c r="A888" s="10"/>
      <c r="B888" s="11"/>
      <c r="C888" s="10"/>
      <c r="D888" s="11"/>
      <c r="E888" s="10"/>
      <c r="F888" s="1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0"/>
      <c r="V888" s="11"/>
      <c r="W888" s="10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2.75" customHeight="1">
      <c r="A889" s="10"/>
      <c r="B889" s="11"/>
      <c r="C889" s="10"/>
      <c r="D889" s="11"/>
      <c r="E889" s="10"/>
      <c r="F889" s="1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0"/>
      <c r="V889" s="11"/>
      <c r="W889" s="10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2.75" customHeight="1">
      <c r="A890" s="10"/>
      <c r="B890" s="11"/>
      <c r="C890" s="10"/>
      <c r="D890" s="11"/>
      <c r="E890" s="10"/>
      <c r="F890" s="1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0"/>
      <c r="V890" s="11"/>
      <c r="W890" s="10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2.75" customHeight="1">
      <c r="A891" s="10"/>
      <c r="B891" s="11"/>
      <c r="C891" s="10"/>
      <c r="D891" s="11"/>
      <c r="E891" s="10"/>
      <c r="F891" s="1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0"/>
      <c r="V891" s="11"/>
      <c r="W891" s="10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2.75" customHeight="1">
      <c r="A892" s="10"/>
      <c r="B892" s="11"/>
      <c r="C892" s="10"/>
      <c r="D892" s="11"/>
      <c r="E892" s="10"/>
      <c r="F892" s="1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0"/>
      <c r="V892" s="11"/>
      <c r="W892" s="10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2.75" customHeight="1">
      <c r="A893" s="10"/>
      <c r="B893" s="11"/>
      <c r="C893" s="10"/>
      <c r="D893" s="11"/>
      <c r="E893" s="10"/>
      <c r="F893" s="1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0"/>
      <c r="V893" s="11"/>
      <c r="W893" s="10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2.75" customHeight="1">
      <c r="A894" s="10"/>
      <c r="B894" s="11"/>
      <c r="C894" s="10"/>
      <c r="D894" s="11"/>
      <c r="E894" s="10"/>
      <c r="F894" s="1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0"/>
      <c r="V894" s="11"/>
      <c r="W894" s="10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2.75" customHeight="1">
      <c r="A895" s="10"/>
      <c r="B895" s="11"/>
      <c r="C895" s="10"/>
      <c r="D895" s="11"/>
      <c r="E895" s="10"/>
      <c r="F895" s="1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0"/>
      <c r="V895" s="11"/>
      <c r="W895" s="10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2.75" customHeight="1">
      <c r="A896" s="10"/>
      <c r="B896" s="11"/>
      <c r="C896" s="10"/>
      <c r="D896" s="11"/>
      <c r="E896" s="10"/>
      <c r="F896" s="1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0"/>
      <c r="V896" s="11"/>
      <c r="W896" s="10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2.75" customHeight="1">
      <c r="A897" s="10"/>
      <c r="B897" s="11"/>
      <c r="C897" s="10"/>
      <c r="D897" s="11"/>
      <c r="E897" s="10"/>
      <c r="F897" s="1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0"/>
      <c r="V897" s="11"/>
      <c r="W897" s="10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2.75" customHeight="1">
      <c r="A898" s="10"/>
      <c r="B898" s="11"/>
      <c r="C898" s="10"/>
      <c r="D898" s="11"/>
      <c r="E898" s="10"/>
      <c r="F898" s="1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0"/>
      <c r="V898" s="11"/>
      <c r="W898" s="10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2.75" customHeight="1">
      <c r="A899" s="10"/>
      <c r="B899" s="11"/>
      <c r="C899" s="10"/>
      <c r="D899" s="11"/>
      <c r="E899" s="10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0"/>
      <c r="V899" s="11"/>
      <c r="W899" s="10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2.75" customHeight="1">
      <c r="A900" s="10"/>
      <c r="B900" s="11"/>
      <c r="C900" s="10"/>
      <c r="D900" s="11"/>
      <c r="E900" s="10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0"/>
      <c r="V900" s="11"/>
      <c r="W900" s="10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2.75" customHeight="1">
      <c r="A901" s="10"/>
      <c r="B901" s="11"/>
      <c r="C901" s="10"/>
      <c r="D901" s="11"/>
      <c r="E901" s="10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0"/>
      <c r="V901" s="11"/>
      <c r="W901" s="10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2.75" customHeight="1">
      <c r="A902" s="10"/>
      <c r="B902" s="11"/>
      <c r="C902" s="10"/>
      <c r="D902" s="11"/>
      <c r="E902" s="10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0"/>
      <c r="V902" s="11"/>
      <c r="W902" s="10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2.75" customHeight="1">
      <c r="A903" s="10"/>
      <c r="B903" s="11"/>
      <c r="C903" s="10"/>
      <c r="D903" s="11"/>
      <c r="E903" s="10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0"/>
      <c r="V903" s="11"/>
      <c r="W903" s="10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2.75" customHeight="1">
      <c r="A904" s="10"/>
      <c r="B904" s="11"/>
      <c r="C904" s="10"/>
      <c r="D904" s="11"/>
      <c r="E904" s="10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0"/>
      <c r="V904" s="11"/>
      <c r="W904" s="10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2.75" customHeight="1">
      <c r="A905" s="10"/>
      <c r="B905" s="11"/>
      <c r="C905" s="10"/>
      <c r="D905" s="11"/>
      <c r="E905" s="10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0"/>
      <c r="V905" s="11"/>
      <c r="W905" s="10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2.75" customHeight="1">
      <c r="A906" s="10"/>
      <c r="B906" s="11"/>
      <c r="C906" s="10"/>
      <c r="D906" s="11"/>
      <c r="E906" s="10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0"/>
      <c r="V906" s="11"/>
      <c r="W906" s="10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2.75" customHeight="1">
      <c r="A907" s="10"/>
      <c r="B907" s="11"/>
      <c r="C907" s="10"/>
      <c r="D907" s="11"/>
      <c r="E907" s="10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0"/>
      <c r="V907" s="11"/>
      <c r="W907" s="10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2.75" customHeight="1">
      <c r="A908" s="10"/>
      <c r="B908" s="11"/>
      <c r="C908" s="10"/>
      <c r="D908" s="11"/>
      <c r="E908" s="10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0"/>
      <c r="V908" s="11"/>
      <c r="W908" s="10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2.75" customHeight="1">
      <c r="A909" s="10"/>
      <c r="B909" s="11"/>
      <c r="C909" s="10"/>
      <c r="D909" s="11"/>
      <c r="E909" s="10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0"/>
      <c r="V909" s="11"/>
      <c r="W909" s="10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2.75" customHeight="1">
      <c r="A910" s="10"/>
      <c r="B910" s="11"/>
      <c r="C910" s="10"/>
      <c r="D910" s="11"/>
      <c r="E910" s="10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0"/>
      <c r="V910" s="11"/>
      <c r="W910" s="10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2.75" customHeight="1">
      <c r="A911" s="10"/>
      <c r="B911" s="11"/>
      <c r="C911" s="10"/>
      <c r="D911" s="11"/>
      <c r="E911" s="10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0"/>
      <c r="V911" s="11"/>
      <c r="W911" s="10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2.75" customHeight="1">
      <c r="A912" s="10"/>
      <c r="B912" s="11"/>
      <c r="C912" s="10"/>
      <c r="D912" s="11"/>
      <c r="E912" s="10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0"/>
      <c r="V912" s="11"/>
      <c r="W912" s="10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2.75" customHeight="1">
      <c r="A913" s="10"/>
      <c r="B913" s="11"/>
      <c r="C913" s="10"/>
      <c r="D913" s="11"/>
      <c r="E913" s="10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0"/>
      <c r="V913" s="11"/>
      <c r="W913" s="10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2.75" customHeight="1">
      <c r="A914" s="10"/>
      <c r="B914" s="11"/>
      <c r="C914" s="10"/>
      <c r="D914" s="11"/>
      <c r="E914" s="10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0"/>
      <c r="V914" s="11"/>
      <c r="W914" s="10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2.75" customHeight="1">
      <c r="A915" s="10"/>
      <c r="B915" s="11"/>
      <c r="C915" s="10"/>
      <c r="D915" s="11"/>
      <c r="E915" s="10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0"/>
      <c r="V915" s="11"/>
      <c r="W915" s="10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2.75" customHeight="1">
      <c r="A916" s="10"/>
      <c r="B916" s="11"/>
      <c r="C916" s="10"/>
      <c r="D916" s="11"/>
      <c r="E916" s="10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0"/>
      <c r="V916" s="11"/>
      <c r="W916" s="10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2.75" customHeight="1">
      <c r="A917" s="10"/>
      <c r="B917" s="11"/>
      <c r="C917" s="10"/>
      <c r="D917" s="11"/>
      <c r="E917" s="10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0"/>
      <c r="V917" s="11"/>
      <c r="W917" s="10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2.75" customHeight="1">
      <c r="A918" s="10"/>
      <c r="B918" s="11"/>
      <c r="C918" s="10"/>
      <c r="D918" s="11"/>
      <c r="E918" s="10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0"/>
      <c r="V918" s="11"/>
      <c r="W918" s="10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2.75" customHeight="1">
      <c r="A919" s="10"/>
      <c r="B919" s="11"/>
      <c r="C919" s="10"/>
      <c r="D919" s="11"/>
      <c r="E919" s="10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0"/>
      <c r="V919" s="11"/>
      <c r="W919" s="10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2.75" customHeight="1">
      <c r="A920" s="10"/>
      <c r="B920" s="11"/>
      <c r="C920" s="10"/>
      <c r="D920" s="11"/>
      <c r="E920" s="10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0"/>
      <c r="V920" s="11"/>
      <c r="W920" s="10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2.75" customHeight="1">
      <c r="A921" s="10"/>
      <c r="B921" s="11"/>
      <c r="C921" s="10"/>
      <c r="D921" s="11"/>
      <c r="E921" s="10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0"/>
      <c r="V921" s="11"/>
      <c r="W921" s="10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2.75" customHeight="1">
      <c r="A922" s="10"/>
      <c r="B922" s="11"/>
      <c r="C922" s="10"/>
      <c r="D922" s="11"/>
      <c r="E922" s="10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0"/>
      <c r="V922" s="11"/>
      <c r="W922" s="10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2.75" customHeight="1">
      <c r="A923" s="10"/>
      <c r="B923" s="11"/>
      <c r="C923" s="10"/>
      <c r="D923" s="11"/>
      <c r="E923" s="10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0"/>
      <c r="V923" s="11"/>
      <c r="W923" s="10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2.75" customHeight="1">
      <c r="A924" s="10"/>
      <c r="B924" s="11"/>
      <c r="C924" s="10"/>
      <c r="D924" s="11"/>
      <c r="E924" s="10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0"/>
      <c r="V924" s="11"/>
      <c r="W924" s="10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2.75" customHeight="1">
      <c r="A925" s="10"/>
      <c r="B925" s="11"/>
      <c r="C925" s="10"/>
      <c r="D925" s="11"/>
      <c r="E925" s="10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0"/>
      <c r="V925" s="11"/>
      <c r="W925" s="10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2.75" customHeight="1">
      <c r="A926" s="10"/>
      <c r="B926" s="11"/>
      <c r="C926" s="10"/>
      <c r="D926" s="11"/>
      <c r="E926" s="10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0"/>
      <c r="V926" s="11"/>
      <c r="W926" s="10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2.75" customHeight="1">
      <c r="A927" s="10"/>
      <c r="B927" s="11"/>
      <c r="C927" s="10"/>
      <c r="D927" s="11"/>
      <c r="E927" s="10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0"/>
      <c r="V927" s="11"/>
      <c r="W927" s="10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2.75" customHeight="1">
      <c r="A928" s="10"/>
      <c r="B928" s="11"/>
      <c r="C928" s="10"/>
      <c r="D928" s="11"/>
      <c r="E928" s="10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0"/>
      <c r="V928" s="11"/>
      <c r="W928" s="10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2.75" customHeight="1">
      <c r="A929" s="10"/>
      <c r="B929" s="11"/>
      <c r="C929" s="10"/>
      <c r="D929" s="11"/>
      <c r="E929" s="10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0"/>
      <c r="V929" s="11"/>
      <c r="W929" s="10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2.75" customHeight="1">
      <c r="A930" s="10"/>
      <c r="B930" s="11"/>
      <c r="C930" s="10"/>
      <c r="D930" s="11"/>
      <c r="E930" s="10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0"/>
      <c r="V930" s="11"/>
      <c r="W930" s="10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2.75" customHeight="1">
      <c r="A931" s="10"/>
      <c r="B931" s="11"/>
      <c r="C931" s="10"/>
      <c r="D931" s="11"/>
      <c r="E931" s="10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0"/>
      <c r="V931" s="11"/>
      <c r="W931" s="10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2.75" customHeight="1">
      <c r="A932" s="10"/>
      <c r="B932" s="11"/>
      <c r="C932" s="10"/>
      <c r="D932" s="11"/>
      <c r="E932" s="10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0"/>
      <c r="V932" s="11"/>
      <c r="W932" s="10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2.75" customHeight="1">
      <c r="A933" s="10"/>
      <c r="B933" s="11"/>
      <c r="C933" s="10"/>
      <c r="D933" s="11"/>
      <c r="E933" s="10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0"/>
      <c r="V933" s="11"/>
      <c r="W933" s="10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2.75" customHeight="1">
      <c r="A934" s="10"/>
      <c r="B934" s="11"/>
      <c r="C934" s="10"/>
      <c r="D934" s="11"/>
      <c r="E934" s="10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0"/>
      <c r="V934" s="11"/>
      <c r="W934" s="10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2.75" customHeight="1">
      <c r="A935" s="10"/>
      <c r="B935" s="11"/>
      <c r="C935" s="10"/>
      <c r="D935" s="11"/>
      <c r="E935" s="10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0"/>
      <c r="V935" s="11"/>
      <c r="W935" s="10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2.75" customHeight="1">
      <c r="A936" s="10"/>
      <c r="B936" s="11"/>
      <c r="C936" s="10"/>
      <c r="D936" s="11"/>
      <c r="E936" s="10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0"/>
      <c r="V936" s="11"/>
      <c r="W936" s="10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2.75" customHeight="1">
      <c r="A937" s="10"/>
      <c r="B937" s="11"/>
      <c r="C937" s="10"/>
      <c r="D937" s="11"/>
      <c r="E937" s="10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0"/>
      <c r="V937" s="11"/>
      <c r="W937" s="10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2.75" customHeight="1">
      <c r="A938" s="10"/>
      <c r="B938" s="11"/>
      <c r="C938" s="10"/>
      <c r="D938" s="11"/>
      <c r="E938" s="10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0"/>
      <c r="V938" s="11"/>
      <c r="W938" s="10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2.75" customHeight="1">
      <c r="A939" s="10"/>
      <c r="B939" s="11"/>
      <c r="C939" s="10"/>
      <c r="D939" s="11"/>
      <c r="E939" s="10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0"/>
      <c r="V939" s="11"/>
      <c r="W939" s="10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2.75" customHeight="1">
      <c r="A940" s="10"/>
      <c r="B940" s="11"/>
      <c r="C940" s="10"/>
      <c r="D940" s="11"/>
      <c r="E940" s="10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0"/>
      <c r="V940" s="11"/>
      <c r="W940" s="10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2.75" customHeight="1">
      <c r="A941" s="10"/>
      <c r="B941" s="11"/>
      <c r="C941" s="10"/>
      <c r="D941" s="11"/>
      <c r="E941" s="10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0"/>
      <c r="V941" s="11"/>
      <c r="W941" s="10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2.75" customHeight="1">
      <c r="A942" s="10"/>
      <c r="B942" s="11"/>
      <c r="C942" s="10"/>
      <c r="D942" s="11"/>
      <c r="E942" s="10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0"/>
      <c r="V942" s="11"/>
      <c r="W942" s="10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2.75" customHeight="1">
      <c r="A943" s="10"/>
      <c r="B943" s="11"/>
      <c r="C943" s="10"/>
      <c r="D943" s="11"/>
      <c r="E943" s="10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0"/>
      <c r="V943" s="11"/>
      <c r="W943" s="10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2.75" customHeight="1">
      <c r="A944" s="10"/>
      <c r="B944" s="11"/>
      <c r="C944" s="10"/>
      <c r="D944" s="11"/>
      <c r="E944" s="10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0"/>
      <c r="V944" s="11"/>
      <c r="W944" s="10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2.75" customHeight="1">
      <c r="A945" s="10"/>
      <c r="B945" s="11"/>
      <c r="C945" s="10"/>
      <c r="D945" s="11"/>
      <c r="E945" s="10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0"/>
      <c r="V945" s="11"/>
      <c r="W945" s="10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2.75" customHeight="1">
      <c r="A946" s="10"/>
      <c r="B946" s="11"/>
      <c r="C946" s="10"/>
      <c r="D946" s="11"/>
      <c r="E946" s="10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0"/>
      <c r="V946" s="11"/>
      <c r="W946" s="10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2.75" customHeight="1">
      <c r="A947" s="10"/>
      <c r="B947" s="11"/>
      <c r="C947" s="10"/>
      <c r="D947" s="11"/>
      <c r="E947" s="10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0"/>
      <c r="V947" s="11"/>
      <c r="W947" s="10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2.75" customHeight="1">
      <c r="A948" s="10"/>
      <c r="B948" s="11"/>
      <c r="C948" s="10"/>
      <c r="D948" s="11"/>
      <c r="E948" s="10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0"/>
      <c r="V948" s="11"/>
      <c r="W948" s="10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2.75" customHeight="1">
      <c r="A949" s="10"/>
      <c r="B949" s="11"/>
      <c r="C949" s="10"/>
      <c r="D949" s="11"/>
      <c r="E949" s="10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0"/>
      <c r="V949" s="11"/>
      <c r="W949" s="10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2.75" customHeight="1">
      <c r="A950" s="10"/>
      <c r="B950" s="11"/>
      <c r="C950" s="10"/>
      <c r="D950" s="11"/>
      <c r="E950" s="10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0"/>
      <c r="V950" s="11"/>
      <c r="W950" s="10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2.75" customHeight="1">
      <c r="A951" s="10"/>
      <c r="B951" s="11"/>
      <c r="C951" s="10"/>
      <c r="D951" s="11"/>
      <c r="E951" s="10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0"/>
      <c r="V951" s="11"/>
      <c r="W951" s="10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2.75" customHeight="1">
      <c r="A952" s="10"/>
      <c r="B952" s="11"/>
      <c r="C952" s="10"/>
      <c r="D952" s="11"/>
      <c r="E952" s="10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0"/>
      <c r="V952" s="11"/>
      <c r="W952" s="10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2.75" customHeight="1">
      <c r="A953" s="10"/>
      <c r="B953" s="11"/>
      <c r="C953" s="10"/>
      <c r="D953" s="11"/>
      <c r="E953" s="10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0"/>
      <c r="V953" s="11"/>
      <c r="W953" s="10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2.75" customHeight="1">
      <c r="A954" s="10"/>
      <c r="B954" s="11"/>
      <c r="C954" s="10"/>
      <c r="D954" s="11"/>
      <c r="E954" s="10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0"/>
      <c r="V954" s="11"/>
      <c r="W954" s="10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2.75" customHeight="1">
      <c r="A955" s="10"/>
      <c r="B955" s="11"/>
      <c r="C955" s="10"/>
      <c r="D955" s="11"/>
      <c r="E955" s="10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0"/>
      <c r="V955" s="11"/>
      <c r="W955" s="10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2.75" customHeight="1">
      <c r="A956" s="10"/>
      <c r="B956" s="11"/>
      <c r="C956" s="10"/>
      <c r="D956" s="11"/>
      <c r="E956" s="10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0"/>
      <c r="V956" s="11"/>
      <c r="W956" s="10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2.75" customHeight="1">
      <c r="A957" s="10"/>
      <c r="B957" s="11"/>
      <c r="C957" s="10"/>
      <c r="D957" s="11"/>
      <c r="E957" s="10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0"/>
      <c r="V957" s="11"/>
      <c r="W957" s="10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2.75" customHeight="1">
      <c r="A958" s="10"/>
      <c r="B958" s="11"/>
      <c r="C958" s="10"/>
      <c r="D958" s="11"/>
      <c r="E958" s="10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0"/>
      <c r="V958" s="11"/>
      <c r="W958" s="10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2.75" customHeight="1">
      <c r="A959" s="10"/>
      <c r="B959" s="11"/>
      <c r="C959" s="10"/>
      <c r="D959" s="11"/>
      <c r="E959" s="10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0"/>
      <c r="V959" s="11"/>
      <c r="W959" s="10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2.75" customHeight="1">
      <c r="A960" s="10"/>
      <c r="B960" s="11"/>
      <c r="C960" s="10"/>
      <c r="D960" s="11"/>
      <c r="E960" s="10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0"/>
      <c r="V960" s="11"/>
      <c r="W960" s="10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2.75" customHeight="1">
      <c r="A961" s="10"/>
      <c r="B961" s="11"/>
      <c r="C961" s="10"/>
      <c r="D961" s="11"/>
      <c r="E961" s="10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0"/>
      <c r="V961" s="11"/>
      <c r="W961" s="10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2.75" customHeight="1">
      <c r="A962" s="10"/>
      <c r="B962" s="11"/>
      <c r="C962" s="10"/>
      <c r="D962" s="11"/>
      <c r="E962" s="10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0"/>
      <c r="V962" s="11"/>
      <c r="W962" s="10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2.75" customHeight="1">
      <c r="A963" s="10"/>
      <c r="B963" s="11"/>
      <c r="C963" s="10"/>
      <c r="D963" s="11"/>
      <c r="E963" s="10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0"/>
      <c r="V963" s="11"/>
      <c r="W963" s="10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2.75" customHeight="1">
      <c r="A964" s="10"/>
      <c r="B964" s="11"/>
      <c r="C964" s="10"/>
      <c r="D964" s="11"/>
      <c r="E964" s="10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0"/>
      <c r="V964" s="11"/>
      <c r="W964" s="10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2.75" customHeight="1">
      <c r="A965" s="10"/>
      <c r="B965" s="11"/>
      <c r="C965" s="10"/>
      <c r="D965" s="11"/>
      <c r="E965" s="10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0"/>
      <c r="V965" s="11"/>
      <c r="W965" s="10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2.75" customHeight="1">
      <c r="A966" s="10"/>
      <c r="B966" s="11"/>
      <c r="C966" s="10"/>
      <c r="D966" s="11"/>
      <c r="E966" s="10"/>
      <c r="F966" s="1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0"/>
      <c r="V966" s="11"/>
      <c r="W966" s="10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2.75" customHeight="1">
      <c r="A967" s="10"/>
      <c r="B967" s="11"/>
      <c r="C967" s="10"/>
      <c r="D967" s="11"/>
      <c r="E967" s="10"/>
      <c r="F967" s="1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0"/>
      <c r="V967" s="11"/>
      <c r="W967" s="10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2.75" customHeight="1">
      <c r="A968" s="10"/>
      <c r="B968" s="11"/>
      <c r="C968" s="10"/>
      <c r="D968" s="11"/>
      <c r="E968" s="10"/>
      <c r="F968" s="1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0"/>
      <c r="V968" s="11"/>
      <c r="W968" s="10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2.75" customHeight="1">
      <c r="A969" s="10"/>
      <c r="B969" s="11"/>
      <c r="C969" s="10"/>
      <c r="D969" s="11"/>
      <c r="E969" s="10"/>
      <c r="F969" s="1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0"/>
      <c r="V969" s="11"/>
      <c r="W969" s="10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2.75" customHeight="1">
      <c r="A970" s="10"/>
      <c r="B970" s="11"/>
      <c r="C970" s="10"/>
      <c r="D970" s="11"/>
      <c r="E970" s="10"/>
      <c r="F970" s="1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0"/>
      <c r="V970" s="11"/>
      <c r="W970" s="10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2.75" customHeight="1">
      <c r="A971" s="10"/>
      <c r="B971" s="11"/>
      <c r="C971" s="10"/>
      <c r="D971" s="11"/>
      <c r="E971" s="10"/>
      <c r="F971" s="1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0"/>
      <c r="V971" s="11"/>
      <c r="W971" s="10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2.75" customHeight="1">
      <c r="A972" s="10"/>
      <c r="B972" s="11"/>
      <c r="C972" s="10"/>
      <c r="D972" s="11"/>
      <c r="E972" s="10"/>
      <c r="F972" s="1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0"/>
      <c r="V972" s="11"/>
      <c r="W972" s="10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2.75" customHeight="1">
      <c r="A973" s="10"/>
      <c r="B973" s="11"/>
      <c r="C973" s="10"/>
      <c r="D973" s="11"/>
      <c r="E973" s="10"/>
      <c r="F973" s="1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0"/>
      <c r="V973" s="11"/>
      <c r="W973" s="10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2.75" customHeight="1">
      <c r="A974" s="10"/>
      <c r="B974" s="11"/>
      <c r="C974" s="10"/>
      <c r="D974" s="11"/>
      <c r="E974" s="10"/>
      <c r="F974" s="1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0"/>
      <c r="V974" s="11"/>
      <c r="W974" s="10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2.75" customHeight="1">
      <c r="A975" s="10"/>
      <c r="B975" s="11"/>
      <c r="C975" s="10"/>
      <c r="D975" s="11"/>
      <c r="E975" s="10"/>
      <c r="F975" s="1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0"/>
      <c r="V975" s="11"/>
      <c r="W975" s="10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2.75" customHeight="1">
      <c r="A976" s="10"/>
      <c r="B976" s="11"/>
      <c r="C976" s="10"/>
      <c r="D976" s="11"/>
      <c r="E976" s="10"/>
      <c r="F976" s="1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0"/>
      <c r="V976" s="11"/>
      <c r="W976" s="10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2.75" customHeight="1">
      <c r="A977" s="10"/>
      <c r="B977" s="11"/>
      <c r="C977" s="10"/>
      <c r="D977" s="11"/>
      <c r="E977" s="10"/>
      <c r="F977" s="1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0"/>
      <c r="V977" s="11"/>
      <c r="W977" s="10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2.75" customHeight="1">
      <c r="A978" s="10"/>
      <c r="B978" s="11"/>
      <c r="C978" s="10"/>
      <c r="D978" s="11"/>
      <c r="E978" s="10"/>
      <c r="F978" s="1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0"/>
      <c r="V978" s="11"/>
      <c r="W978" s="10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2.75" customHeight="1">
      <c r="A979" s="10"/>
      <c r="B979" s="11"/>
      <c r="C979" s="10"/>
      <c r="D979" s="11"/>
      <c r="E979" s="10"/>
      <c r="F979" s="1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0"/>
      <c r="V979" s="11"/>
      <c r="W979" s="10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2.75" customHeight="1">
      <c r="A980" s="10"/>
      <c r="B980" s="11"/>
      <c r="C980" s="10"/>
      <c r="D980" s="11"/>
      <c r="E980" s="10"/>
      <c r="F980" s="1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0"/>
      <c r="V980" s="11"/>
      <c r="W980" s="10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2.75" customHeight="1">
      <c r="A981" s="10"/>
      <c r="B981" s="11"/>
      <c r="C981" s="10"/>
      <c r="D981" s="11"/>
      <c r="E981" s="10"/>
      <c r="F981" s="1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0"/>
      <c r="V981" s="11"/>
      <c r="W981" s="10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2.75" customHeight="1">
      <c r="A982" s="10"/>
      <c r="B982" s="11"/>
      <c r="C982" s="10"/>
      <c r="D982" s="11"/>
      <c r="E982" s="10"/>
      <c r="F982" s="1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0"/>
      <c r="V982" s="11"/>
      <c r="W982" s="10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2.75" customHeight="1">
      <c r="A983" s="10"/>
      <c r="B983" s="11"/>
      <c r="C983" s="10"/>
      <c r="D983" s="11"/>
      <c r="E983" s="10"/>
      <c r="F983" s="1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0"/>
      <c r="V983" s="11"/>
      <c r="W983" s="10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2.75" customHeight="1">
      <c r="A984" s="10"/>
      <c r="B984" s="11"/>
      <c r="C984" s="10"/>
      <c r="D984" s="11"/>
      <c r="E984" s="10"/>
      <c r="F984" s="1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0"/>
      <c r="V984" s="11"/>
      <c r="W984" s="10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2.75" customHeight="1">
      <c r="A985" s="10"/>
      <c r="B985" s="11"/>
      <c r="C985" s="10"/>
      <c r="D985" s="11"/>
      <c r="E985" s="10"/>
      <c r="F985" s="1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0"/>
      <c r="V985" s="11"/>
      <c r="W985" s="10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2.75" customHeight="1">
      <c r="A986" s="10"/>
      <c r="B986" s="11"/>
      <c r="C986" s="10"/>
      <c r="D986" s="11"/>
      <c r="E986" s="10"/>
      <c r="F986" s="1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0"/>
      <c r="V986" s="11"/>
      <c r="W986" s="10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2.75" customHeight="1">
      <c r="A987" s="10"/>
      <c r="B987" s="11"/>
      <c r="C987" s="10"/>
      <c r="D987" s="11"/>
      <c r="E987" s="10"/>
      <c r="F987" s="1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0"/>
      <c r="V987" s="11"/>
      <c r="W987" s="10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2.75" customHeight="1">
      <c r="A988" s="10"/>
      <c r="B988" s="11"/>
      <c r="C988" s="10"/>
      <c r="D988" s="11"/>
      <c r="E988" s="10"/>
      <c r="F988" s="1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0"/>
      <c r="V988" s="11"/>
      <c r="W988" s="10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2.75" customHeight="1">
      <c r="A989" s="10"/>
      <c r="B989" s="11"/>
      <c r="C989" s="10"/>
      <c r="D989" s="11"/>
      <c r="E989" s="10"/>
      <c r="F989" s="1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0"/>
      <c r="V989" s="11"/>
      <c r="W989" s="10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2.75" customHeight="1">
      <c r="A990" s="10"/>
      <c r="B990" s="11"/>
      <c r="C990" s="10"/>
      <c r="D990" s="11"/>
      <c r="E990" s="10"/>
      <c r="F990" s="1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0"/>
      <c r="V990" s="11"/>
      <c r="W990" s="10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2.75" customHeight="1">
      <c r="A991" s="10"/>
      <c r="B991" s="11"/>
      <c r="C991" s="10"/>
      <c r="D991" s="11"/>
      <c r="E991" s="10"/>
      <c r="F991" s="1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0"/>
      <c r="V991" s="11"/>
      <c r="W991" s="10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2.75" customHeight="1">
      <c r="A992" s="10"/>
      <c r="B992" s="11"/>
      <c r="C992" s="10"/>
      <c r="D992" s="11"/>
      <c r="E992" s="10"/>
      <c r="F992" s="1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0"/>
      <c r="V992" s="11"/>
      <c r="W992" s="10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2.75" customHeight="1">
      <c r="A993" s="10"/>
      <c r="B993" s="11"/>
      <c r="C993" s="10"/>
      <c r="D993" s="11"/>
      <c r="E993" s="10"/>
      <c r="F993" s="1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0"/>
      <c r="V993" s="11"/>
      <c r="W993" s="10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2.75" customHeight="1">
      <c r="A994" s="10"/>
      <c r="B994" s="11"/>
      <c r="C994" s="10"/>
      <c r="D994" s="11"/>
      <c r="E994" s="10"/>
      <c r="F994" s="1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0"/>
      <c r="V994" s="11"/>
      <c r="W994" s="10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2.75" customHeight="1">
      <c r="A995" s="10"/>
      <c r="B995" s="11"/>
      <c r="C995" s="10"/>
      <c r="D995" s="11"/>
      <c r="E995" s="10"/>
      <c r="F995" s="1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0"/>
      <c r="V995" s="11"/>
      <c r="W995" s="10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2.75" customHeight="1">
      <c r="A996" s="10"/>
      <c r="B996" s="11"/>
      <c r="C996" s="10"/>
      <c r="D996" s="11"/>
      <c r="E996" s="10"/>
      <c r="F996" s="1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0"/>
      <c r="V996" s="11"/>
      <c r="W996" s="10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2.75" customHeight="1">
      <c r="A997" s="10"/>
      <c r="B997" s="11"/>
      <c r="C997" s="10"/>
      <c r="D997" s="11"/>
      <c r="E997" s="10"/>
      <c r="F997" s="1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0"/>
      <c r="V997" s="11"/>
      <c r="W997" s="10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2.75" customHeight="1">
      <c r="A998" s="10"/>
      <c r="B998" s="11"/>
      <c r="C998" s="10"/>
      <c r="D998" s="11"/>
      <c r="E998" s="10"/>
      <c r="F998" s="1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0"/>
      <c r="V998" s="11"/>
      <c r="W998" s="10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2.75" customHeight="1">
      <c r="A999" s="10"/>
      <c r="B999" s="11"/>
      <c r="C999" s="10"/>
      <c r="D999" s="11"/>
      <c r="E999" s="10"/>
      <c r="F999" s="1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0"/>
      <c r="V999" s="11"/>
      <c r="W999" s="10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2.75" customHeight="1">
      <c r="A1000" s="10"/>
      <c r="B1000" s="11"/>
      <c r="C1000" s="10"/>
      <c r="D1000" s="11"/>
      <c r="E1000" s="10"/>
      <c r="F1000" s="1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0"/>
      <c r="V1000" s="11"/>
      <c r="W1000" s="10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5.13" defaultRowHeight="15.0"/>
  <cols>
    <col customWidth="1" min="1" max="1" width="4.0"/>
    <col customWidth="1" min="2" max="2" width="7.75"/>
    <col customWidth="1" min="3" max="3" width="10.88"/>
    <col customWidth="1" min="4" max="4" width="3.0"/>
    <col customWidth="1" min="5" max="5" width="2.63"/>
    <col customWidth="1" min="6" max="6" width="6.63"/>
    <col customWidth="1" min="7" max="7" width="2.75"/>
    <col customWidth="1" min="8" max="9" width="3.5"/>
    <col customWidth="1" min="10" max="10" width="2.75"/>
    <col customWidth="1" min="11" max="11" width="3.25"/>
    <col customWidth="1" min="12" max="12" width="3.13"/>
    <col customWidth="1" min="13" max="13" width="4.63"/>
    <col customWidth="1" min="14" max="19" width="3.63"/>
    <col customWidth="1" min="20" max="20" width="5.38"/>
    <col customWidth="1" min="21" max="21" width="3.13"/>
    <col customWidth="1" min="22" max="22" width="9.0"/>
    <col customWidth="1" min="23" max="23" width="3.13"/>
    <col customWidth="1" min="24" max="24" width="10.13"/>
    <col customWidth="1" min="25" max="25" width="7.5"/>
    <col customWidth="1" min="26" max="26" width="7.88"/>
    <col customWidth="1" min="27" max="3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3">
        <v>1.0</v>
      </c>
      <c r="B2" s="4" t="s">
        <v>26</v>
      </c>
      <c r="C2" s="3"/>
      <c r="D2" s="4">
        <v>11.0</v>
      </c>
      <c r="E2" s="3">
        <v>7.0</v>
      </c>
      <c r="F2" s="3">
        <f t="shared" ref="F2:F48" si="1">D2-E2</f>
        <v>4</v>
      </c>
      <c r="G2" s="5">
        <v>2.0</v>
      </c>
      <c r="H2" s="5">
        <v>0.0</v>
      </c>
      <c r="I2" s="5">
        <v>2.0</v>
      </c>
      <c r="J2" s="5">
        <v>4.0</v>
      </c>
      <c r="K2" s="5">
        <v>4.0</v>
      </c>
      <c r="L2" s="5">
        <v>4.0</v>
      </c>
      <c r="M2" s="4" t="s">
        <v>36</v>
      </c>
      <c r="N2" s="5">
        <f>(E2-1)+VLOOKUP(M2,Size,2,0)</f>
        <v>7</v>
      </c>
      <c r="O2" s="5">
        <f>VLOOKUP(E2,LevelData,4)</f>
        <v>7</v>
      </c>
      <c r="P2" s="5">
        <f>O2+VLOOKUP(M2,Size,3,0)</f>
        <v>8</v>
      </c>
      <c r="Q2" s="5">
        <f t="shared" ref="Q2:Q48" si="2">R2</f>
        <v>5</v>
      </c>
      <c r="R2" s="5">
        <f>VLOOKUP(E2,LevelData,2)</f>
        <v>5</v>
      </c>
      <c r="S2" s="5">
        <f t="shared" ref="S2:S48" si="3">R2</f>
        <v>5</v>
      </c>
      <c r="T2" s="4" t="s">
        <v>92</v>
      </c>
      <c r="U2" s="3">
        <v>14.0</v>
      </c>
      <c r="V2" s="6"/>
      <c r="W2" s="3"/>
      <c r="X2" s="4" t="s">
        <v>207</v>
      </c>
      <c r="Y2" s="3" t="s">
        <v>94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3">
        <f t="shared" ref="A3:A48" si="4">A2+1</f>
        <v>2</v>
      </c>
      <c r="B3" s="4"/>
      <c r="C3" s="3"/>
      <c r="D3" s="4">
        <f t="shared" ref="D3:D48" si="5">D2+1</f>
        <v>12</v>
      </c>
      <c r="E3" s="3">
        <v>8.0</v>
      </c>
      <c r="F3" s="3">
        <f t="shared" si="1"/>
        <v>4</v>
      </c>
      <c r="G3" s="5">
        <v>1.0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4" t="s">
        <v>36</v>
      </c>
      <c r="N3" s="5">
        <f>(E3-1)+VLOOKUP(M3,Size,2,0)</f>
        <v>8</v>
      </c>
      <c r="O3" s="5">
        <f>VLOOKUP(E3,LevelData,4)</f>
        <v>8</v>
      </c>
      <c r="P3" s="5">
        <f>O3+VLOOKUP(M3,Size,3,0)</f>
        <v>9</v>
      </c>
      <c r="Q3" s="5">
        <f t="shared" si="2"/>
        <v>6</v>
      </c>
      <c r="R3" s="5">
        <f>VLOOKUP(E3,LevelData,2)</f>
        <v>6</v>
      </c>
      <c r="S3" s="5">
        <f t="shared" si="3"/>
        <v>6</v>
      </c>
      <c r="T3" s="4" t="s">
        <v>92</v>
      </c>
      <c r="U3" s="3">
        <v>15.0</v>
      </c>
      <c r="V3" s="4"/>
      <c r="W3" s="3"/>
      <c r="X3" s="4" t="s">
        <v>208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7">
        <f t="shared" si="4"/>
        <v>3</v>
      </c>
      <c r="B4" s="8"/>
      <c r="C4" s="7"/>
      <c r="D4" s="8">
        <f t="shared" si="5"/>
        <v>13</v>
      </c>
      <c r="E4" s="7">
        <v>9.0</v>
      </c>
      <c r="F4" s="7">
        <f t="shared" si="1"/>
        <v>4</v>
      </c>
      <c r="G4" s="9">
        <v>0.0</v>
      </c>
      <c r="H4" s="9">
        <v>0.0</v>
      </c>
      <c r="I4" s="9">
        <v>1.0</v>
      </c>
      <c r="J4" s="9">
        <v>0.0</v>
      </c>
      <c r="K4" s="9">
        <v>0.0</v>
      </c>
      <c r="L4" s="9">
        <v>0.0</v>
      </c>
      <c r="M4" s="8" t="s">
        <v>36</v>
      </c>
      <c r="N4" s="9">
        <f>(E4-1)+VLOOKUP(M4,Size,2,0)</f>
        <v>9</v>
      </c>
      <c r="O4" s="9">
        <f>VLOOKUP(E4,LevelData,4)</f>
        <v>9</v>
      </c>
      <c r="P4" s="9">
        <f>O4+VLOOKUP(M4,Size,3,0)</f>
        <v>10</v>
      </c>
      <c r="Q4" s="9">
        <f t="shared" si="2"/>
        <v>6</v>
      </c>
      <c r="R4" s="9">
        <f>VLOOKUP(E4,LevelData,2)</f>
        <v>6</v>
      </c>
      <c r="S4" s="9">
        <f t="shared" si="3"/>
        <v>6</v>
      </c>
      <c r="T4" s="8" t="s">
        <v>97</v>
      </c>
      <c r="U4" s="7">
        <v>16.0</v>
      </c>
      <c r="V4" s="8"/>
      <c r="W4" s="7"/>
      <c r="X4" s="8" t="s">
        <v>209</v>
      </c>
      <c r="Y4" s="7" t="s">
        <v>210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12.75" customHeight="1">
      <c r="A5" s="10">
        <f t="shared" si="4"/>
        <v>4</v>
      </c>
      <c r="B5" s="11" t="s">
        <v>35</v>
      </c>
      <c r="C5" s="10"/>
      <c r="D5" s="11">
        <f t="shared" si="5"/>
        <v>14</v>
      </c>
      <c r="E5" s="10">
        <v>10.0</v>
      </c>
      <c r="F5" s="10">
        <f t="shared" si="1"/>
        <v>4</v>
      </c>
      <c r="G5" s="12">
        <v>1.0</v>
      </c>
      <c r="H5" s="12">
        <v>0.0</v>
      </c>
      <c r="I5" s="12">
        <v>1.0</v>
      </c>
      <c r="J5" s="12">
        <v>0.0</v>
      </c>
      <c r="K5" s="12">
        <v>0.0</v>
      </c>
      <c r="L5" s="12">
        <v>0.0</v>
      </c>
      <c r="M5" s="11" t="s">
        <v>40</v>
      </c>
      <c r="N5" s="12">
        <f>(E5-1)+VLOOKUP(M5,Size,2,0)</f>
        <v>9</v>
      </c>
      <c r="O5" s="12">
        <f>VLOOKUP(E5,LevelData,4)</f>
        <v>10</v>
      </c>
      <c r="P5" s="12">
        <f>O5+VLOOKUP(M5,Size,3,0)</f>
        <v>10</v>
      </c>
      <c r="Q5" s="12">
        <f t="shared" si="2"/>
        <v>7</v>
      </c>
      <c r="R5" s="12">
        <f>VLOOKUP(E5,LevelData,2)</f>
        <v>7</v>
      </c>
      <c r="S5" s="12">
        <f t="shared" si="3"/>
        <v>7</v>
      </c>
      <c r="T5" s="11" t="s">
        <v>98</v>
      </c>
      <c r="U5" s="10">
        <v>17.0</v>
      </c>
      <c r="V5" s="11"/>
      <c r="W5" s="10"/>
      <c r="X5" s="11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ht="12.75" customHeight="1">
      <c r="A6" s="10">
        <f t="shared" si="4"/>
        <v>5</v>
      </c>
      <c r="B6" s="11"/>
      <c r="C6" s="10"/>
      <c r="D6" s="11">
        <f t="shared" si="5"/>
        <v>15</v>
      </c>
      <c r="E6" s="10">
        <v>11.0</v>
      </c>
      <c r="F6" s="10">
        <f t="shared" si="1"/>
        <v>4</v>
      </c>
      <c r="G6" s="12">
        <v>0.0</v>
      </c>
      <c r="H6" s="12">
        <v>0.0</v>
      </c>
      <c r="I6" s="12">
        <v>0.0</v>
      </c>
      <c r="J6" s="12">
        <v>1.0</v>
      </c>
      <c r="K6" s="12">
        <v>1.0</v>
      </c>
      <c r="L6" s="12">
        <v>0.0</v>
      </c>
      <c r="M6" s="11" t="s">
        <v>40</v>
      </c>
      <c r="N6" s="12">
        <f>(E6-1)+VLOOKUP(M6,Size,2,0)</f>
        <v>10</v>
      </c>
      <c r="O6" s="12">
        <f>VLOOKUP(E6,LevelData,4)</f>
        <v>11</v>
      </c>
      <c r="P6" s="12">
        <f>O6+VLOOKUP(M6,Size,3,0)</f>
        <v>11</v>
      </c>
      <c r="Q6" s="12">
        <f t="shared" si="2"/>
        <v>7</v>
      </c>
      <c r="R6" s="12">
        <f>VLOOKUP(E6,LevelData,2)</f>
        <v>7</v>
      </c>
      <c r="S6" s="12">
        <f t="shared" si="3"/>
        <v>7</v>
      </c>
      <c r="T6" s="11" t="s">
        <v>98</v>
      </c>
      <c r="U6" s="10">
        <v>17.0</v>
      </c>
      <c r="V6" s="11"/>
      <c r="W6" s="10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2.75" customHeight="1">
      <c r="A7" s="10">
        <f t="shared" si="4"/>
        <v>6</v>
      </c>
      <c r="B7" s="11"/>
      <c r="C7" s="10"/>
      <c r="D7" s="11">
        <f t="shared" si="5"/>
        <v>16</v>
      </c>
      <c r="E7" s="10">
        <v>12.0</v>
      </c>
      <c r="F7" s="10">
        <f t="shared" si="1"/>
        <v>4</v>
      </c>
      <c r="G7" s="12">
        <v>1.0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1" t="s">
        <v>40</v>
      </c>
      <c r="N7" s="12">
        <f>(E7-1)+VLOOKUP(M7,Size,2,0)</f>
        <v>11</v>
      </c>
      <c r="O7" s="12">
        <f>VLOOKUP(E7,LevelData,4)</f>
        <v>12</v>
      </c>
      <c r="P7" s="12">
        <f>O7+VLOOKUP(M7,Size,3,0)</f>
        <v>12</v>
      </c>
      <c r="Q7" s="12">
        <f t="shared" si="2"/>
        <v>8</v>
      </c>
      <c r="R7" s="12">
        <f>VLOOKUP(E7,LevelData,2)</f>
        <v>8</v>
      </c>
      <c r="S7" s="12">
        <f t="shared" si="3"/>
        <v>8</v>
      </c>
      <c r="T7" s="11" t="s">
        <v>99</v>
      </c>
      <c r="U7" s="10">
        <v>17.0</v>
      </c>
      <c r="V7" s="11"/>
      <c r="W7" s="10"/>
      <c r="X7" s="11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2.75" customHeight="1">
      <c r="A8" s="1">
        <f t="shared" si="4"/>
        <v>7</v>
      </c>
      <c r="B8" s="2"/>
      <c r="C8" s="1"/>
      <c r="D8" s="2">
        <f t="shared" si="5"/>
        <v>17</v>
      </c>
      <c r="E8" s="1">
        <v>12.0</v>
      </c>
      <c r="F8" s="1">
        <f t="shared" si="1"/>
        <v>5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  <c r="L8" s="13">
        <v>1.0</v>
      </c>
      <c r="M8" s="2" t="s">
        <v>40</v>
      </c>
      <c r="N8" s="13">
        <f>(E8-1)+VLOOKUP(M8,Size,2,0)</f>
        <v>11</v>
      </c>
      <c r="O8" s="13">
        <f>VLOOKUP(E8,LevelData,4)</f>
        <v>12</v>
      </c>
      <c r="P8" s="13">
        <f>O8+VLOOKUP(M8,Size,3,0)</f>
        <v>12</v>
      </c>
      <c r="Q8" s="13">
        <f t="shared" si="2"/>
        <v>8</v>
      </c>
      <c r="R8" s="13">
        <f>VLOOKUP(E8,LevelData,2)</f>
        <v>8</v>
      </c>
      <c r="S8" s="13">
        <f t="shared" si="3"/>
        <v>8</v>
      </c>
      <c r="T8" s="2" t="s">
        <v>99</v>
      </c>
      <c r="U8" s="1">
        <v>17.0</v>
      </c>
      <c r="V8" s="2"/>
      <c r="W8" s="1"/>
      <c r="X8" s="2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12.75" customHeight="1">
      <c r="A9" s="3">
        <f t="shared" si="4"/>
        <v>8</v>
      </c>
      <c r="B9" s="4" t="s">
        <v>39</v>
      </c>
      <c r="C9" s="3"/>
      <c r="D9" s="4">
        <f t="shared" si="5"/>
        <v>18</v>
      </c>
      <c r="E9" s="3">
        <v>13.0</v>
      </c>
      <c r="F9" s="3">
        <f t="shared" si="1"/>
        <v>5</v>
      </c>
      <c r="G9" s="5">
        <v>1.0</v>
      </c>
      <c r="H9" s="5">
        <v>0.0</v>
      </c>
      <c r="I9" s="5">
        <v>0.0</v>
      </c>
      <c r="J9" s="5">
        <v>1.0</v>
      </c>
      <c r="K9" s="5">
        <v>0.0</v>
      </c>
      <c r="L9" s="5">
        <v>1.0</v>
      </c>
      <c r="M9" s="4" t="s">
        <v>40</v>
      </c>
      <c r="N9" s="5">
        <f>(E9-1)+VLOOKUP(M9,Size,2,0)</f>
        <v>12</v>
      </c>
      <c r="O9" s="5">
        <f>VLOOKUP(E9,LevelData,4)</f>
        <v>13</v>
      </c>
      <c r="P9" s="5">
        <f>O9+VLOOKUP(M9,Size,3,0)</f>
        <v>13</v>
      </c>
      <c r="Q9" s="5">
        <f t="shared" si="2"/>
        <v>8</v>
      </c>
      <c r="R9" s="5">
        <f>VLOOKUP(E9,LevelData,2)</f>
        <v>8</v>
      </c>
      <c r="S9" s="5">
        <f t="shared" si="3"/>
        <v>8</v>
      </c>
      <c r="T9" s="4" t="s">
        <v>100</v>
      </c>
      <c r="U9" s="3">
        <v>18.0</v>
      </c>
      <c r="V9" s="4"/>
      <c r="W9" s="3"/>
      <c r="X9" s="4"/>
      <c r="Y9" s="3">
        <v>1.0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12.75" customHeight="1">
      <c r="A10" s="3">
        <f t="shared" si="4"/>
        <v>9</v>
      </c>
      <c r="B10" s="4"/>
      <c r="C10" s="3"/>
      <c r="D10" s="4">
        <f t="shared" si="5"/>
        <v>19</v>
      </c>
      <c r="E10" s="3">
        <v>14.0</v>
      </c>
      <c r="F10" s="3">
        <f t="shared" si="1"/>
        <v>5</v>
      </c>
      <c r="G10" s="5">
        <v>0.0</v>
      </c>
      <c r="H10" s="5">
        <v>0.0</v>
      </c>
      <c r="I10" s="5">
        <v>1.0</v>
      </c>
      <c r="J10" s="5">
        <v>0.0</v>
      </c>
      <c r="K10" s="5">
        <v>1.0</v>
      </c>
      <c r="L10" s="5">
        <v>1.0</v>
      </c>
      <c r="M10" s="4" t="s">
        <v>40</v>
      </c>
      <c r="N10" s="5">
        <f>(E10-1)+VLOOKUP(M10,Size,2,0)</f>
        <v>13</v>
      </c>
      <c r="O10" s="5">
        <f>VLOOKUP(E10,LevelData,4)</f>
        <v>14</v>
      </c>
      <c r="P10" s="5">
        <f>O10+VLOOKUP(M10,Size,3,0)</f>
        <v>14</v>
      </c>
      <c r="Q10" s="5">
        <f t="shared" si="2"/>
        <v>9</v>
      </c>
      <c r="R10" s="5">
        <f>VLOOKUP(E10,LevelData,2)</f>
        <v>9</v>
      </c>
      <c r="S10" s="5">
        <f t="shared" si="3"/>
        <v>9</v>
      </c>
      <c r="T10" s="4" t="s">
        <v>101</v>
      </c>
      <c r="U10" s="3">
        <v>19.0</v>
      </c>
      <c r="V10" s="4"/>
      <c r="W10" s="3"/>
      <c r="X10" s="4"/>
      <c r="Y10" s="3">
        <v>1.0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7">
        <f t="shared" si="4"/>
        <v>10</v>
      </c>
      <c r="B11" s="8"/>
      <c r="C11" s="7"/>
      <c r="D11" s="8">
        <f t="shared" si="5"/>
        <v>20</v>
      </c>
      <c r="E11" s="7">
        <v>15.0</v>
      </c>
      <c r="F11" s="7">
        <f t="shared" si="1"/>
        <v>5</v>
      </c>
      <c r="G11" s="9">
        <v>1.0</v>
      </c>
      <c r="H11" s="9">
        <v>0.0</v>
      </c>
      <c r="I11" s="9">
        <v>0.0</v>
      </c>
      <c r="J11" s="9">
        <v>1.0</v>
      </c>
      <c r="K11" s="9">
        <v>1.0</v>
      </c>
      <c r="L11" s="9">
        <v>0.0</v>
      </c>
      <c r="M11" s="8" t="s">
        <v>40</v>
      </c>
      <c r="N11" s="9">
        <f>(E11-1)+VLOOKUP(M11,Size,2,0)</f>
        <v>14</v>
      </c>
      <c r="O11" s="9">
        <f>VLOOKUP(E11,LevelData,4)</f>
        <v>15</v>
      </c>
      <c r="P11" s="9">
        <f>O11+VLOOKUP(M11,Size,3,0)</f>
        <v>15</v>
      </c>
      <c r="Q11" s="9">
        <f t="shared" si="2"/>
        <v>9</v>
      </c>
      <c r="R11" s="9">
        <f>VLOOKUP(E11,LevelData,2)</f>
        <v>9</v>
      </c>
      <c r="S11" s="9">
        <f t="shared" si="3"/>
        <v>9</v>
      </c>
      <c r="T11" s="8" t="s">
        <v>101</v>
      </c>
      <c r="U11" s="7">
        <v>20.0</v>
      </c>
      <c r="V11" s="8"/>
      <c r="W11" s="7"/>
      <c r="X11" s="8"/>
      <c r="Y11" s="7">
        <v>2.0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12.75" customHeight="1">
      <c r="A12" s="10">
        <f t="shared" si="4"/>
        <v>11</v>
      </c>
      <c r="B12" s="11" t="s">
        <v>44</v>
      </c>
      <c r="C12" s="10"/>
      <c r="D12" s="11">
        <f t="shared" si="5"/>
        <v>21</v>
      </c>
      <c r="E12" s="10">
        <v>15.0</v>
      </c>
      <c r="F12" s="10">
        <f t="shared" si="1"/>
        <v>6</v>
      </c>
      <c r="G12" s="12">
        <v>1.0</v>
      </c>
      <c r="H12" s="12">
        <v>0.0</v>
      </c>
      <c r="I12" s="12">
        <v>1.0</v>
      </c>
      <c r="J12" s="12">
        <v>1.0</v>
      </c>
      <c r="K12" s="12">
        <v>1.0</v>
      </c>
      <c r="L12" s="12">
        <v>1.0</v>
      </c>
      <c r="M12" s="11" t="s">
        <v>49</v>
      </c>
      <c r="N12" s="12">
        <f>(E12-1)+VLOOKUP(M12,Size,2,0)</f>
        <v>13</v>
      </c>
      <c r="O12" s="12">
        <f>VLOOKUP(E12,LevelData,4)</f>
        <v>15</v>
      </c>
      <c r="P12" s="12">
        <f>O12+VLOOKUP(M12,Size,3,0)</f>
        <v>14</v>
      </c>
      <c r="Q12" s="12">
        <f t="shared" si="2"/>
        <v>9</v>
      </c>
      <c r="R12" s="12">
        <f>VLOOKUP(E12,LevelData,2)</f>
        <v>9</v>
      </c>
      <c r="S12" s="12">
        <f t="shared" si="3"/>
        <v>9</v>
      </c>
      <c r="T12" s="11" t="s">
        <v>102</v>
      </c>
      <c r="U12" s="10">
        <v>21.0</v>
      </c>
      <c r="V12" s="11"/>
      <c r="W12" s="10"/>
      <c r="X12" s="11" t="s">
        <v>211</v>
      </c>
      <c r="Y12" s="10">
        <v>3.0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12.75" customHeight="1">
      <c r="A13" s="10">
        <f t="shared" si="4"/>
        <v>12</v>
      </c>
      <c r="B13" s="11"/>
      <c r="C13" s="10"/>
      <c r="D13" s="11">
        <f t="shared" si="5"/>
        <v>22</v>
      </c>
      <c r="E13" s="10">
        <v>16.0</v>
      </c>
      <c r="F13" s="10">
        <f t="shared" si="1"/>
        <v>6</v>
      </c>
      <c r="G13" s="12">
        <v>1.0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  <c r="M13" s="11" t="s">
        <v>49</v>
      </c>
      <c r="N13" s="12">
        <f>(E13-1)+VLOOKUP(M13,Size,2,0)</f>
        <v>14</v>
      </c>
      <c r="O13" s="12">
        <f>VLOOKUP(E13,LevelData,4)</f>
        <v>16</v>
      </c>
      <c r="P13" s="12">
        <f>O13+VLOOKUP(M13,Size,3,0)</f>
        <v>15</v>
      </c>
      <c r="Q13" s="12">
        <f t="shared" si="2"/>
        <v>10</v>
      </c>
      <c r="R13" s="12">
        <f>VLOOKUP(E13,LevelData,2)</f>
        <v>10</v>
      </c>
      <c r="S13" s="12">
        <f t="shared" si="3"/>
        <v>10</v>
      </c>
      <c r="T13" s="11" t="s">
        <v>102</v>
      </c>
      <c r="U13" s="10">
        <v>21.0</v>
      </c>
      <c r="V13" s="11"/>
      <c r="W13" s="10"/>
      <c r="X13" s="11"/>
      <c r="Y13" s="10">
        <v>3.0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12.75" customHeight="1">
      <c r="A14" s="10">
        <f t="shared" si="4"/>
        <v>13</v>
      </c>
      <c r="B14" s="11"/>
      <c r="C14" s="10">
        <v>26.0</v>
      </c>
      <c r="D14" s="11">
        <f t="shared" si="5"/>
        <v>23</v>
      </c>
      <c r="E14" s="10">
        <v>17.0</v>
      </c>
      <c r="F14" s="10">
        <f t="shared" si="1"/>
        <v>6</v>
      </c>
      <c r="G14" s="12">
        <v>1.0</v>
      </c>
      <c r="H14" s="12">
        <v>0.0</v>
      </c>
      <c r="I14" s="12">
        <v>1.0</v>
      </c>
      <c r="J14" s="12">
        <v>0.0</v>
      </c>
      <c r="K14" s="12">
        <v>0.0</v>
      </c>
      <c r="L14" s="12">
        <v>0.0</v>
      </c>
      <c r="M14" s="11" t="s">
        <v>49</v>
      </c>
      <c r="N14" s="12">
        <f>(E14-1)+VLOOKUP(M14,Size,2,0)</f>
        <v>15</v>
      </c>
      <c r="O14" s="12">
        <f>VLOOKUP(E14,LevelData,4)</f>
        <v>17</v>
      </c>
      <c r="P14" s="12">
        <f>O14+VLOOKUP(M14,Size,3,0)</f>
        <v>16</v>
      </c>
      <c r="Q14" s="12">
        <f t="shared" si="2"/>
        <v>10</v>
      </c>
      <c r="R14" s="12">
        <f>VLOOKUP(E14,LevelData,2)</f>
        <v>10</v>
      </c>
      <c r="S14" s="12">
        <f t="shared" si="3"/>
        <v>10</v>
      </c>
      <c r="T14" s="11" t="s">
        <v>105</v>
      </c>
      <c r="U14" s="10">
        <v>22.0</v>
      </c>
      <c r="V14" s="11"/>
      <c r="W14" s="10"/>
      <c r="X14" s="11"/>
      <c r="Y14" s="10">
        <v>4.0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2.75" customHeight="1">
      <c r="A15" s="1">
        <f t="shared" si="4"/>
        <v>14</v>
      </c>
      <c r="B15" s="2"/>
      <c r="C15" s="1">
        <v>32.0</v>
      </c>
      <c r="D15" s="2">
        <f t="shared" si="5"/>
        <v>24</v>
      </c>
      <c r="E15" s="1">
        <v>18.0</v>
      </c>
      <c r="F15" s="1">
        <f t="shared" si="1"/>
        <v>6</v>
      </c>
      <c r="G15" s="13">
        <v>1.0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2" t="s">
        <v>49</v>
      </c>
      <c r="N15" s="13">
        <f>(E15-1)+VLOOKUP(M15,Size,2,0)</f>
        <v>16</v>
      </c>
      <c r="O15" s="13">
        <f>VLOOKUP(E15,LevelData,4)</f>
        <v>18</v>
      </c>
      <c r="P15" s="13">
        <f>O15+VLOOKUP(M15,Size,3,0)</f>
        <v>17</v>
      </c>
      <c r="Q15" s="13">
        <f t="shared" si="2"/>
        <v>11</v>
      </c>
      <c r="R15" s="13">
        <f>VLOOKUP(E15,LevelData,2)</f>
        <v>11</v>
      </c>
      <c r="S15" s="13">
        <f t="shared" si="3"/>
        <v>11</v>
      </c>
      <c r="T15" s="2" t="s">
        <v>105</v>
      </c>
      <c r="U15" s="1">
        <v>22.0</v>
      </c>
      <c r="V15" s="2"/>
      <c r="W15" s="1"/>
      <c r="X15" s="2"/>
      <c r="Y15" s="1">
        <v>4.0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ht="12.75" customHeight="1">
      <c r="A16" s="3">
        <f t="shared" si="4"/>
        <v>15</v>
      </c>
      <c r="B16" s="4" t="s">
        <v>48</v>
      </c>
      <c r="C16" s="3">
        <v>39.0</v>
      </c>
      <c r="D16" s="4">
        <f t="shared" si="5"/>
        <v>25</v>
      </c>
      <c r="E16" s="3">
        <v>18.0</v>
      </c>
      <c r="F16" s="3">
        <f t="shared" si="1"/>
        <v>7</v>
      </c>
      <c r="G16" s="5">
        <v>1.0</v>
      </c>
      <c r="H16" s="5">
        <v>0.0</v>
      </c>
      <c r="I16" s="5">
        <v>1.0</v>
      </c>
      <c r="J16" s="5">
        <v>1.0</v>
      </c>
      <c r="K16" s="5">
        <v>1.0</v>
      </c>
      <c r="L16" s="5">
        <v>1.0</v>
      </c>
      <c r="M16" s="4" t="s">
        <v>49</v>
      </c>
      <c r="N16" s="5">
        <f>(E16-1)+VLOOKUP(M16,Size,2,0)</f>
        <v>16</v>
      </c>
      <c r="O16" s="5">
        <f>VLOOKUP(E16,LevelData,4)</f>
        <v>18</v>
      </c>
      <c r="P16" s="5">
        <f>O16+VLOOKUP(M16,Size,3,0)</f>
        <v>17</v>
      </c>
      <c r="Q16" s="5">
        <f t="shared" si="2"/>
        <v>11</v>
      </c>
      <c r="R16" s="5">
        <f>VLOOKUP(E16,LevelData,2)</f>
        <v>11</v>
      </c>
      <c r="S16" s="5">
        <f t="shared" si="3"/>
        <v>11</v>
      </c>
      <c r="T16" s="4" t="s">
        <v>106</v>
      </c>
      <c r="U16" s="3">
        <v>23.0</v>
      </c>
      <c r="V16" s="4">
        <f>INT(13+(E16/2))-VLOOKUP(M16,Size,2,0)</f>
        <v>23</v>
      </c>
      <c r="W16" s="3">
        <v>20.0</v>
      </c>
      <c r="X16" s="4" t="s">
        <v>51</v>
      </c>
      <c r="Y16" s="3">
        <v>5.0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2.75" customHeight="1">
      <c r="A17" s="3">
        <f t="shared" si="4"/>
        <v>16</v>
      </c>
      <c r="B17" s="4"/>
      <c r="C17" s="3">
        <v>45.0</v>
      </c>
      <c r="D17" s="4">
        <f t="shared" si="5"/>
        <v>26</v>
      </c>
      <c r="E17" s="3">
        <v>19.0</v>
      </c>
      <c r="F17" s="3">
        <f t="shared" si="1"/>
        <v>7</v>
      </c>
      <c r="G17" s="5">
        <v>1.0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4" t="s">
        <v>49</v>
      </c>
      <c r="N17" s="5">
        <f>(E17-1)+VLOOKUP(M17,Size,2,0)</f>
        <v>17</v>
      </c>
      <c r="O17" s="5">
        <f>VLOOKUP(E17,LevelData,4)</f>
        <v>19</v>
      </c>
      <c r="P17" s="5">
        <f>O17+VLOOKUP(M17,Size,3,0)</f>
        <v>18</v>
      </c>
      <c r="Q17" s="5">
        <f t="shared" si="2"/>
        <v>11</v>
      </c>
      <c r="R17" s="5">
        <f>VLOOKUP(E17,LevelData,2)</f>
        <v>11</v>
      </c>
      <c r="S17" s="5">
        <f t="shared" si="3"/>
        <v>11</v>
      </c>
      <c r="T17" s="4" t="s">
        <v>106</v>
      </c>
      <c r="U17" s="3">
        <v>24.0</v>
      </c>
      <c r="V17" s="4">
        <f>INT(13+(E17/2))-VLOOKUP(M17,Size,2,0)</f>
        <v>23</v>
      </c>
      <c r="W17" s="3">
        <v>20.0</v>
      </c>
      <c r="X17" s="4"/>
      <c r="Y17" s="3">
        <v>5.0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2.75" customHeight="1">
      <c r="A18" s="3">
        <f t="shared" si="4"/>
        <v>17</v>
      </c>
      <c r="B18" s="4"/>
      <c r="C18" s="3">
        <v>51.0</v>
      </c>
      <c r="D18" s="4">
        <f t="shared" si="5"/>
        <v>27</v>
      </c>
      <c r="E18" s="3">
        <v>20.0</v>
      </c>
      <c r="F18" s="3">
        <f t="shared" si="1"/>
        <v>7</v>
      </c>
      <c r="G18" s="5">
        <v>1.0</v>
      </c>
      <c r="H18" s="5">
        <v>0.0</v>
      </c>
      <c r="I18" s="5">
        <v>1.0</v>
      </c>
      <c r="J18" s="5">
        <v>1.0</v>
      </c>
      <c r="K18" s="5">
        <v>1.0</v>
      </c>
      <c r="L18" s="5">
        <v>1.0</v>
      </c>
      <c r="M18" s="4" t="s">
        <v>49</v>
      </c>
      <c r="N18" s="5">
        <f>(E18-1)+VLOOKUP(M18,Size,2,0)</f>
        <v>18</v>
      </c>
      <c r="O18" s="5">
        <f>VLOOKUP(E18,LevelData,4)</f>
        <v>20</v>
      </c>
      <c r="P18" s="5">
        <f>O18+VLOOKUP(M18,Size,3,0)</f>
        <v>19</v>
      </c>
      <c r="Q18" s="5">
        <f t="shared" si="2"/>
        <v>12</v>
      </c>
      <c r="R18" s="5">
        <f>VLOOKUP(E18,LevelData,2)</f>
        <v>12</v>
      </c>
      <c r="S18" s="5">
        <f t="shared" si="3"/>
        <v>12</v>
      </c>
      <c r="T18" s="4" t="s">
        <v>107</v>
      </c>
      <c r="U18" s="3">
        <v>25.0</v>
      </c>
      <c r="V18" s="4">
        <f>INT(13+(E18/2))-VLOOKUP(M18,Size,2,0)</f>
        <v>24</v>
      </c>
      <c r="W18" s="3">
        <v>21.0</v>
      </c>
      <c r="X18" s="4"/>
      <c r="Y18" s="3">
        <v>6.0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7">
        <f t="shared" si="4"/>
        <v>18</v>
      </c>
      <c r="B19" s="8"/>
      <c r="C19" s="7">
        <v>63.0</v>
      </c>
      <c r="D19" s="8">
        <f t="shared" si="5"/>
        <v>28</v>
      </c>
      <c r="E19" s="7">
        <v>21.0</v>
      </c>
      <c r="F19" s="7">
        <f t="shared" si="1"/>
        <v>7</v>
      </c>
      <c r="G19" s="9">
        <v>1.0</v>
      </c>
      <c r="H19" s="9">
        <v>0.0</v>
      </c>
      <c r="I19" s="9">
        <v>0.0</v>
      </c>
      <c r="J19" s="9">
        <v>0.0</v>
      </c>
      <c r="K19" s="9">
        <v>0.0</v>
      </c>
      <c r="L19" s="9">
        <v>0.0</v>
      </c>
      <c r="M19" s="8" t="s">
        <v>49</v>
      </c>
      <c r="N19" s="9">
        <f>(E19-1)+VLOOKUP(M19,Size,2,0)</f>
        <v>19</v>
      </c>
      <c r="O19" s="9">
        <f>VLOOKUP(E19,LevelData,4)</f>
        <v>21</v>
      </c>
      <c r="P19" s="9">
        <f>O19+VLOOKUP(M19,Size,3,0)</f>
        <v>20</v>
      </c>
      <c r="Q19" s="9">
        <f t="shared" si="2"/>
        <v>12</v>
      </c>
      <c r="R19" s="9">
        <f>VLOOKUP(E19,LevelData,2)</f>
        <v>12</v>
      </c>
      <c r="S19" s="9">
        <f t="shared" si="3"/>
        <v>12</v>
      </c>
      <c r="T19" s="8" t="s">
        <v>107</v>
      </c>
      <c r="U19" s="7">
        <v>25.0</v>
      </c>
      <c r="V19" s="8">
        <f>INT(13+(E19/2))-VLOOKUP(M19,Size,2,0)</f>
        <v>24</v>
      </c>
      <c r="W19" s="7">
        <v>21.0</v>
      </c>
      <c r="X19" s="8"/>
      <c r="Y19" s="7">
        <v>6.0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ht="12.75" customHeight="1">
      <c r="A20" s="10">
        <f t="shared" si="4"/>
        <v>19</v>
      </c>
      <c r="B20" s="11" t="s">
        <v>53</v>
      </c>
      <c r="C20" s="10">
        <v>75.0</v>
      </c>
      <c r="D20" s="11">
        <f t="shared" si="5"/>
        <v>29</v>
      </c>
      <c r="E20" s="10">
        <v>21.0</v>
      </c>
      <c r="F20" s="10">
        <f t="shared" si="1"/>
        <v>8</v>
      </c>
      <c r="G20" s="12">
        <v>1.0</v>
      </c>
      <c r="H20" s="12">
        <v>0.0</v>
      </c>
      <c r="I20" s="12">
        <v>1.0</v>
      </c>
      <c r="J20" s="12">
        <v>1.0</v>
      </c>
      <c r="K20" s="12">
        <v>1.0</v>
      </c>
      <c r="L20" s="12">
        <v>1.0</v>
      </c>
      <c r="M20" s="11" t="s">
        <v>58</v>
      </c>
      <c r="N20" s="12">
        <f>(E20-1)+VLOOKUP(M20,Size,2,0)</f>
        <v>18</v>
      </c>
      <c r="O20" s="12">
        <f>VLOOKUP(E20,LevelData,4)</f>
        <v>21</v>
      </c>
      <c r="P20" s="12">
        <f>O20+VLOOKUP(M20,Size,3,0)</f>
        <v>19</v>
      </c>
      <c r="Q20" s="12">
        <f t="shared" si="2"/>
        <v>12</v>
      </c>
      <c r="R20" s="12">
        <f>VLOOKUP(E20,LevelData,2)</f>
        <v>12</v>
      </c>
      <c r="S20" s="12">
        <f t="shared" si="3"/>
        <v>12</v>
      </c>
      <c r="T20" s="11" t="s">
        <v>108</v>
      </c>
      <c r="U20" s="10">
        <v>26.0</v>
      </c>
      <c r="V20" s="11">
        <f>INT(14+(E20/2))-VLOOKUP(M20,Size,2,0)</f>
        <v>26</v>
      </c>
      <c r="W20" s="10">
        <v>22.0</v>
      </c>
      <c r="X20" s="11" t="s">
        <v>212</v>
      </c>
      <c r="Y20" s="10">
        <v>7.0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12.75" customHeight="1">
      <c r="A21" s="10">
        <f t="shared" si="4"/>
        <v>20</v>
      </c>
      <c r="B21" s="11"/>
      <c r="C21" s="10">
        <v>87.0</v>
      </c>
      <c r="D21" s="11">
        <f t="shared" si="5"/>
        <v>30</v>
      </c>
      <c r="E21" s="10">
        <v>22.0</v>
      </c>
      <c r="F21" s="10">
        <f t="shared" si="1"/>
        <v>8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1" t="s">
        <v>58</v>
      </c>
      <c r="N21" s="12">
        <f>(E21-1)+VLOOKUP(M21,Size,2,0)</f>
        <v>19</v>
      </c>
      <c r="O21" s="12">
        <f>VLOOKUP(E21,LevelData,4)</f>
        <v>22</v>
      </c>
      <c r="P21" s="12">
        <f>O21+VLOOKUP(M21,Size,3,0)</f>
        <v>20</v>
      </c>
      <c r="Q21" s="12">
        <f t="shared" si="2"/>
        <v>13</v>
      </c>
      <c r="R21" s="12">
        <f>VLOOKUP(E21,LevelData,2)</f>
        <v>13</v>
      </c>
      <c r="S21" s="12">
        <f t="shared" si="3"/>
        <v>13</v>
      </c>
      <c r="T21" s="11" t="s">
        <v>108</v>
      </c>
      <c r="U21" s="10">
        <v>26.0</v>
      </c>
      <c r="V21" s="11">
        <f>INT(14+(E21/2))-VLOOKUP(M21,Size,2,0)</f>
        <v>27</v>
      </c>
      <c r="W21" s="10">
        <v>22.0</v>
      </c>
      <c r="X21" s="11"/>
      <c r="Y21" s="10">
        <v>7.0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12.75" customHeight="1">
      <c r="A22" s="10">
        <f t="shared" si="4"/>
        <v>21</v>
      </c>
      <c r="B22" s="11"/>
      <c r="C22" s="10">
        <v>101.0</v>
      </c>
      <c r="D22" s="11">
        <f t="shared" si="5"/>
        <v>31</v>
      </c>
      <c r="E22" s="10">
        <v>23.0</v>
      </c>
      <c r="F22" s="10">
        <f t="shared" si="1"/>
        <v>8</v>
      </c>
      <c r="G22" s="12">
        <v>1.0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1" t="s">
        <v>58</v>
      </c>
      <c r="N22" s="12">
        <f>(E22-1)+VLOOKUP(M22,Size,2,0)</f>
        <v>20</v>
      </c>
      <c r="O22" s="12">
        <f>VLOOKUP(E22,LevelData,4)</f>
        <v>23</v>
      </c>
      <c r="P22" s="12">
        <f>O22+VLOOKUP(M22,Size,3,0)</f>
        <v>21</v>
      </c>
      <c r="Q22" s="12">
        <f t="shared" si="2"/>
        <v>13</v>
      </c>
      <c r="R22" s="12">
        <f>VLOOKUP(E22,LevelData,2)</f>
        <v>13</v>
      </c>
      <c r="S22" s="12">
        <f t="shared" si="3"/>
        <v>13</v>
      </c>
      <c r="T22" s="11" t="s">
        <v>110</v>
      </c>
      <c r="U22" s="10">
        <v>26.0</v>
      </c>
      <c r="V22" s="11">
        <f>INT(14+(E22/2))-VLOOKUP(M22,Size,2,0)</f>
        <v>27</v>
      </c>
      <c r="W22" s="10">
        <v>23.0</v>
      </c>
      <c r="X22" s="11"/>
      <c r="Y22" s="10">
        <v>8.0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2.75" customHeight="1">
      <c r="A23" s="1">
        <f t="shared" si="4"/>
        <v>22</v>
      </c>
      <c r="B23" s="2"/>
      <c r="C23" s="1">
        <v>126.0</v>
      </c>
      <c r="D23" s="2">
        <f t="shared" si="5"/>
        <v>32</v>
      </c>
      <c r="E23" s="1">
        <v>24.0</v>
      </c>
      <c r="F23" s="1">
        <f t="shared" si="1"/>
        <v>8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2" t="s">
        <v>58</v>
      </c>
      <c r="N23" s="13">
        <f>(E23-1)+VLOOKUP(M23,Size,2,0)</f>
        <v>21</v>
      </c>
      <c r="O23" s="13">
        <f>VLOOKUP(E23,LevelData,4)</f>
        <v>24</v>
      </c>
      <c r="P23" s="13">
        <f>O23+VLOOKUP(M23,Size,3,0)</f>
        <v>22</v>
      </c>
      <c r="Q23" s="13">
        <f t="shared" si="2"/>
        <v>14</v>
      </c>
      <c r="R23" s="13">
        <f>VLOOKUP(E23,LevelData,2)</f>
        <v>14</v>
      </c>
      <c r="S23" s="13">
        <f t="shared" si="3"/>
        <v>14</v>
      </c>
      <c r="T23" s="2" t="s">
        <v>110</v>
      </c>
      <c r="U23" s="1">
        <v>26.0</v>
      </c>
      <c r="V23" s="2">
        <f>INT(14+(E23/2))-VLOOKUP(M23,Size,2,0)</f>
        <v>28</v>
      </c>
      <c r="W23" s="1">
        <v>23.0</v>
      </c>
      <c r="X23" s="2"/>
      <c r="Y23" s="1">
        <v>8.0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2.75" customHeight="1">
      <c r="A24" s="3">
        <f t="shared" si="4"/>
        <v>23</v>
      </c>
      <c r="B24" s="4" t="s">
        <v>57</v>
      </c>
      <c r="C24" s="3">
        <v>151.0</v>
      </c>
      <c r="D24" s="4">
        <f t="shared" si="5"/>
        <v>33</v>
      </c>
      <c r="E24" s="3">
        <v>24.0</v>
      </c>
      <c r="F24" s="3">
        <f t="shared" si="1"/>
        <v>9</v>
      </c>
      <c r="G24" s="5">
        <v>1.0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4" t="s">
        <v>58</v>
      </c>
      <c r="N24" s="5">
        <f>(E24-1)+VLOOKUP(M24,Size,2,0)</f>
        <v>21</v>
      </c>
      <c r="O24" s="5">
        <f>VLOOKUP(E24,LevelData,4)</f>
        <v>24</v>
      </c>
      <c r="P24" s="5">
        <f>O24+VLOOKUP(M24,Size,3,0)</f>
        <v>22</v>
      </c>
      <c r="Q24" s="5">
        <f t="shared" si="2"/>
        <v>14</v>
      </c>
      <c r="R24" s="5">
        <f>VLOOKUP(E24,LevelData,2)</f>
        <v>14</v>
      </c>
      <c r="S24" s="5">
        <f t="shared" si="3"/>
        <v>14</v>
      </c>
      <c r="T24" s="4" t="s">
        <v>111</v>
      </c>
      <c r="U24" s="3">
        <v>27.0</v>
      </c>
      <c r="V24" s="4">
        <f>INT(14+(E24/2))-VLOOKUP(M24,Size,2,0)</f>
        <v>28</v>
      </c>
      <c r="W24" s="3">
        <v>24.0</v>
      </c>
      <c r="X24" s="4" t="s">
        <v>60</v>
      </c>
      <c r="Y24" s="3">
        <v>9.0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12.75" customHeight="1">
      <c r="A25" s="3">
        <f t="shared" si="4"/>
        <v>24</v>
      </c>
      <c r="B25" s="4"/>
      <c r="C25" s="3">
        <v>176.0</v>
      </c>
      <c r="D25" s="4">
        <f t="shared" si="5"/>
        <v>34</v>
      </c>
      <c r="E25" s="3">
        <v>25.0</v>
      </c>
      <c r="F25" s="3">
        <f t="shared" si="1"/>
        <v>9</v>
      </c>
      <c r="G25" s="5">
        <v>0.0</v>
      </c>
      <c r="H25" s="5">
        <v>0.0</v>
      </c>
      <c r="I25" s="5">
        <v>1.0</v>
      </c>
      <c r="J25" s="5">
        <v>0.0</v>
      </c>
      <c r="K25" s="5">
        <v>0.0</v>
      </c>
      <c r="L25" s="5">
        <v>1.0</v>
      </c>
      <c r="M25" s="4" t="s">
        <v>58</v>
      </c>
      <c r="N25" s="5">
        <f>(E25-1)+VLOOKUP(M25,Size,2,0)</f>
        <v>22</v>
      </c>
      <c r="O25" s="5">
        <f>VLOOKUP(E25,LevelData,4)</f>
        <v>25</v>
      </c>
      <c r="P25" s="5">
        <f>O25+VLOOKUP(M25,Size,3,0)</f>
        <v>23</v>
      </c>
      <c r="Q25" s="5">
        <f t="shared" si="2"/>
        <v>14</v>
      </c>
      <c r="R25" s="5">
        <f>VLOOKUP(E25,LevelData,2)</f>
        <v>14</v>
      </c>
      <c r="S25" s="5">
        <f t="shared" si="3"/>
        <v>14</v>
      </c>
      <c r="T25" s="4" t="s">
        <v>111</v>
      </c>
      <c r="U25" s="3">
        <v>28.0</v>
      </c>
      <c r="V25" s="4">
        <f>INT(14+(E25/2))-VLOOKUP(M25,Size,2,0)</f>
        <v>28</v>
      </c>
      <c r="W25" s="3">
        <v>24.0</v>
      </c>
      <c r="X25" s="4"/>
      <c r="Y25" s="3">
        <v>9.0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2.75" customHeight="1">
      <c r="A26" s="3">
        <f t="shared" si="4"/>
        <v>25</v>
      </c>
      <c r="B26" s="4"/>
      <c r="C26" s="3">
        <v>201.0</v>
      </c>
      <c r="D26" s="4">
        <f t="shared" si="5"/>
        <v>35</v>
      </c>
      <c r="E26" s="3">
        <v>26.0</v>
      </c>
      <c r="F26" s="3">
        <f t="shared" si="1"/>
        <v>9</v>
      </c>
      <c r="G26" s="5">
        <v>1.0</v>
      </c>
      <c r="H26" s="5">
        <v>0.0</v>
      </c>
      <c r="I26" s="5">
        <v>0.0</v>
      </c>
      <c r="J26" s="5">
        <v>1.0</v>
      </c>
      <c r="K26" s="5">
        <v>0.0</v>
      </c>
      <c r="L26" s="5">
        <v>0.0</v>
      </c>
      <c r="M26" s="4" t="s">
        <v>58</v>
      </c>
      <c r="N26" s="5">
        <f>(E26-1)+VLOOKUP(M26,Size,2,0)</f>
        <v>23</v>
      </c>
      <c r="O26" s="5">
        <f>VLOOKUP(E26,LevelData,4)</f>
        <v>26</v>
      </c>
      <c r="P26" s="5">
        <f>O26+VLOOKUP(M26,Size,3,0)</f>
        <v>24</v>
      </c>
      <c r="Q26" s="5">
        <f t="shared" si="2"/>
        <v>15</v>
      </c>
      <c r="R26" s="5">
        <f>VLOOKUP(E26,LevelData,2)</f>
        <v>15</v>
      </c>
      <c r="S26" s="5">
        <f t="shared" si="3"/>
        <v>15</v>
      </c>
      <c r="T26" s="4" t="s">
        <v>112</v>
      </c>
      <c r="U26" s="3">
        <v>28.0</v>
      </c>
      <c r="V26" s="4">
        <f>INT(14+(E26/2))-VLOOKUP(M26,Size,2,0)</f>
        <v>29</v>
      </c>
      <c r="W26" s="3">
        <v>25.0</v>
      </c>
      <c r="X26" s="4"/>
      <c r="Y26" s="3">
        <v>10.0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7">
        <f t="shared" si="4"/>
        <v>26</v>
      </c>
      <c r="B27" s="8"/>
      <c r="C27" s="7">
        <v>251.0</v>
      </c>
      <c r="D27" s="8">
        <f t="shared" si="5"/>
        <v>36</v>
      </c>
      <c r="E27" s="7">
        <v>27.0</v>
      </c>
      <c r="F27" s="7">
        <f t="shared" si="1"/>
        <v>9</v>
      </c>
      <c r="G27" s="9">
        <v>0.0</v>
      </c>
      <c r="H27" s="9">
        <v>0.0</v>
      </c>
      <c r="I27" s="9">
        <v>0.0</v>
      </c>
      <c r="J27" s="9">
        <v>0.0</v>
      </c>
      <c r="K27" s="9">
        <v>1.0</v>
      </c>
      <c r="L27" s="9">
        <v>0.0</v>
      </c>
      <c r="M27" s="8" t="s">
        <v>58</v>
      </c>
      <c r="N27" s="9">
        <f>(E27-1)+VLOOKUP(M27,Size,2,0)</f>
        <v>24</v>
      </c>
      <c r="O27" s="9">
        <f>VLOOKUP(E27,LevelData,4)</f>
        <v>27</v>
      </c>
      <c r="P27" s="9">
        <f>O27+VLOOKUP(M27,Size,3,0)</f>
        <v>25</v>
      </c>
      <c r="Q27" s="9">
        <f t="shared" si="2"/>
        <v>15</v>
      </c>
      <c r="R27" s="9">
        <f>VLOOKUP(E27,LevelData,2)</f>
        <v>15</v>
      </c>
      <c r="S27" s="9">
        <f t="shared" si="3"/>
        <v>15</v>
      </c>
      <c r="T27" s="8" t="s">
        <v>112</v>
      </c>
      <c r="U27" s="7">
        <v>29.0</v>
      </c>
      <c r="V27" s="8">
        <f>INT(14+(E27/2))-VLOOKUP(M27,Size,2,0)</f>
        <v>29</v>
      </c>
      <c r="W27" s="7">
        <v>25.0</v>
      </c>
      <c r="X27" s="8"/>
      <c r="Y27" s="7">
        <v>10.0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ht="12.75" customHeight="1">
      <c r="A28" s="10">
        <f t="shared" si="4"/>
        <v>27</v>
      </c>
      <c r="B28" s="11" t="s">
        <v>62</v>
      </c>
      <c r="C28" s="10">
        <v>301.0</v>
      </c>
      <c r="D28" s="11">
        <f t="shared" si="5"/>
        <v>37</v>
      </c>
      <c r="E28" s="10">
        <v>27.0</v>
      </c>
      <c r="F28" s="10">
        <f t="shared" si="1"/>
        <v>10</v>
      </c>
      <c r="G28" s="12">
        <v>1.0</v>
      </c>
      <c r="H28" s="12">
        <v>0.0</v>
      </c>
      <c r="I28" s="12">
        <v>1.0</v>
      </c>
      <c r="J28" s="12">
        <v>1.0</v>
      </c>
      <c r="K28" s="12">
        <v>1.0</v>
      </c>
      <c r="L28" s="12">
        <v>1.0</v>
      </c>
      <c r="M28" s="11" t="s">
        <v>58</v>
      </c>
      <c r="N28" s="12">
        <f>(E28-1)+VLOOKUP(M28,Size,2,0)</f>
        <v>24</v>
      </c>
      <c r="O28" s="12">
        <f>VLOOKUP(E28,LevelData,4)</f>
        <v>27</v>
      </c>
      <c r="P28" s="12">
        <f>O28+VLOOKUP(M28,Size,3,0)</f>
        <v>25</v>
      </c>
      <c r="Q28" s="12">
        <f t="shared" si="2"/>
        <v>15</v>
      </c>
      <c r="R28" s="12">
        <f>VLOOKUP(E28,LevelData,2)</f>
        <v>15</v>
      </c>
      <c r="S28" s="12">
        <f t="shared" si="3"/>
        <v>15</v>
      </c>
      <c r="T28" s="11" t="s">
        <v>113</v>
      </c>
      <c r="U28" s="10">
        <v>30.0</v>
      </c>
      <c r="V28" s="11">
        <f>INT(14+(E28/2))-VLOOKUP(M28,Size,2,0)</f>
        <v>29</v>
      </c>
      <c r="W28" s="10">
        <v>26.0</v>
      </c>
      <c r="X28" s="11" t="s">
        <v>205</v>
      </c>
      <c r="Y28" s="10">
        <v>11.0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12.75" customHeight="1">
      <c r="A29" s="10">
        <f t="shared" si="4"/>
        <v>28</v>
      </c>
      <c r="B29" s="11"/>
      <c r="C29" s="10">
        <v>351.0</v>
      </c>
      <c r="D29" s="11">
        <f t="shared" si="5"/>
        <v>38</v>
      </c>
      <c r="E29" s="10">
        <v>28.0</v>
      </c>
      <c r="F29" s="10">
        <f t="shared" si="1"/>
        <v>10</v>
      </c>
      <c r="G29" s="12">
        <v>0.0</v>
      </c>
      <c r="H29" s="12">
        <v>0.0</v>
      </c>
      <c r="I29" s="12">
        <v>0.0</v>
      </c>
      <c r="J29" s="12">
        <v>1.0</v>
      </c>
      <c r="K29" s="12">
        <v>0.0</v>
      </c>
      <c r="L29" s="12">
        <v>0.0</v>
      </c>
      <c r="M29" s="11" t="s">
        <v>58</v>
      </c>
      <c r="N29" s="12">
        <f>(E29-1)+VLOOKUP(M29,Size,2,0)</f>
        <v>25</v>
      </c>
      <c r="O29" s="12">
        <f>VLOOKUP(E29,LevelData,4)</f>
        <v>28</v>
      </c>
      <c r="P29" s="12">
        <f>O29+VLOOKUP(M29,Size,3,0)</f>
        <v>26</v>
      </c>
      <c r="Q29" s="12">
        <f t="shared" si="2"/>
        <v>16</v>
      </c>
      <c r="R29" s="12">
        <f>VLOOKUP(E29,LevelData,2)</f>
        <v>16</v>
      </c>
      <c r="S29" s="12">
        <f t="shared" si="3"/>
        <v>16</v>
      </c>
      <c r="T29" s="11" t="s">
        <v>113</v>
      </c>
      <c r="U29" s="10">
        <v>30.0</v>
      </c>
      <c r="V29" s="11">
        <f>INT(14+(E29/2))-VLOOKUP(M29,Size,2,0)</f>
        <v>30</v>
      </c>
      <c r="W29" s="10">
        <v>26.0</v>
      </c>
      <c r="X29" s="11" t="s">
        <v>213</v>
      </c>
      <c r="Y29" s="10">
        <v>11.0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12.75" customHeight="1">
      <c r="A30" s="10">
        <f t="shared" si="4"/>
        <v>29</v>
      </c>
      <c r="B30" s="11"/>
      <c r="C30" s="10">
        <v>401.0</v>
      </c>
      <c r="D30" s="11">
        <f t="shared" si="5"/>
        <v>39</v>
      </c>
      <c r="E30" s="10">
        <v>29.0</v>
      </c>
      <c r="F30" s="10">
        <f t="shared" si="1"/>
        <v>10</v>
      </c>
      <c r="G30" s="12">
        <v>1.0</v>
      </c>
      <c r="H30" s="12">
        <v>0.0</v>
      </c>
      <c r="I30" s="12">
        <v>0.0</v>
      </c>
      <c r="J30" s="12">
        <v>0.0</v>
      </c>
      <c r="K30" s="12">
        <v>1.0</v>
      </c>
      <c r="L30" s="12">
        <v>0.0</v>
      </c>
      <c r="M30" s="11" t="s">
        <v>58</v>
      </c>
      <c r="N30" s="12">
        <f>(E30-1)+VLOOKUP(M30,Size,2,0)</f>
        <v>26</v>
      </c>
      <c r="O30" s="12">
        <f>VLOOKUP(E30,LevelData,4)</f>
        <v>29</v>
      </c>
      <c r="P30" s="12">
        <f>O30+VLOOKUP(M30,Size,3,0)</f>
        <v>27</v>
      </c>
      <c r="Q30" s="12">
        <f t="shared" si="2"/>
        <v>16</v>
      </c>
      <c r="R30" s="12">
        <f>VLOOKUP(E30,LevelData,2)</f>
        <v>16</v>
      </c>
      <c r="S30" s="12">
        <f t="shared" si="3"/>
        <v>16</v>
      </c>
      <c r="T30" s="11" t="s">
        <v>116</v>
      </c>
      <c r="U30" s="10">
        <v>30.0</v>
      </c>
      <c r="V30" s="11">
        <f>INT(14+(E30/2))-VLOOKUP(M30,Size,2,0)</f>
        <v>30</v>
      </c>
      <c r="W30" s="10">
        <v>26.0</v>
      </c>
      <c r="X30" s="11"/>
      <c r="Y30" s="10">
        <v>12.0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2.75" customHeight="1">
      <c r="A31" s="1">
        <f t="shared" si="4"/>
        <v>30</v>
      </c>
      <c r="B31" s="2"/>
      <c r="C31" s="1">
        <v>451.0</v>
      </c>
      <c r="D31" s="2">
        <f t="shared" si="5"/>
        <v>40</v>
      </c>
      <c r="E31" s="1">
        <v>30.0</v>
      </c>
      <c r="F31" s="1">
        <f t="shared" si="1"/>
        <v>10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1.0</v>
      </c>
      <c r="M31" s="2" t="s">
        <v>58</v>
      </c>
      <c r="N31" s="13">
        <f>(E31-1)+VLOOKUP(M31,Size,2,0)</f>
        <v>27</v>
      </c>
      <c r="O31" s="13">
        <f>VLOOKUP(E31,LevelData,4)</f>
        <v>30</v>
      </c>
      <c r="P31" s="13">
        <f>O31+VLOOKUP(M31,Size,3,0)</f>
        <v>28</v>
      </c>
      <c r="Q31" s="13">
        <f t="shared" si="2"/>
        <v>17</v>
      </c>
      <c r="R31" s="13">
        <f>VLOOKUP(E31,LevelData,2)</f>
        <v>17</v>
      </c>
      <c r="S31" s="13">
        <f t="shared" si="3"/>
        <v>17</v>
      </c>
      <c r="T31" s="2" t="s">
        <v>116</v>
      </c>
      <c r="U31" s="1">
        <v>30.0</v>
      </c>
      <c r="V31" s="2">
        <f>INT(14+(E31/2))-VLOOKUP(M31,Size,2,0)</f>
        <v>31</v>
      </c>
      <c r="W31" s="1">
        <v>26.0</v>
      </c>
      <c r="X31" s="2"/>
      <c r="Y31" s="1">
        <v>12.0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2.75" customHeight="1">
      <c r="A32" s="3">
        <f t="shared" si="4"/>
        <v>31</v>
      </c>
      <c r="B32" s="4" t="s">
        <v>67</v>
      </c>
      <c r="C32" s="3">
        <v>501.0</v>
      </c>
      <c r="D32" s="4">
        <f t="shared" si="5"/>
        <v>41</v>
      </c>
      <c r="E32" s="3">
        <v>30.0</v>
      </c>
      <c r="F32" s="3">
        <f t="shared" si="1"/>
        <v>11</v>
      </c>
      <c r="G32" s="5">
        <v>1.0</v>
      </c>
      <c r="H32" s="5">
        <v>0.0</v>
      </c>
      <c r="I32" s="5">
        <v>0.0</v>
      </c>
      <c r="J32" s="5">
        <v>1.0</v>
      </c>
      <c r="K32" s="5">
        <v>1.0</v>
      </c>
      <c r="L32" s="5">
        <v>1.0</v>
      </c>
      <c r="M32" s="4" t="s">
        <v>58</v>
      </c>
      <c r="N32" s="5">
        <f>(E32-1)+VLOOKUP(M32,Size,2,0)</f>
        <v>27</v>
      </c>
      <c r="O32" s="5">
        <f>VLOOKUP(E32,LevelData,4)</f>
        <v>30</v>
      </c>
      <c r="P32" s="5">
        <f>O32+VLOOKUP(M32,Size,3,0)</f>
        <v>28</v>
      </c>
      <c r="Q32" s="5">
        <f t="shared" si="2"/>
        <v>17</v>
      </c>
      <c r="R32" s="5">
        <f>VLOOKUP(E32,LevelData,2)</f>
        <v>17</v>
      </c>
      <c r="S32" s="5">
        <f t="shared" si="3"/>
        <v>17</v>
      </c>
      <c r="T32" s="4" t="s">
        <v>117</v>
      </c>
      <c r="U32" s="3">
        <v>31.0</v>
      </c>
      <c r="V32" s="4">
        <f>INT(15+(E32/2))-VLOOKUP(M32,Size,2,0)</f>
        <v>32</v>
      </c>
      <c r="W32" s="3">
        <v>27.0</v>
      </c>
      <c r="X32" s="4" t="s">
        <v>69</v>
      </c>
      <c r="Y32" s="3">
        <v>13.0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12.75" customHeight="1">
      <c r="A33" s="3">
        <f t="shared" si="4"/>
        <v>32</v>
      </c>
      <c r="B33" s="4"/>
      <c r="C33" s="3">
        <v>551.0</v>
      </c>
      <c r="D33" s="4">
        <f t="shared" si="5"/>
        <v>42</v>
      </c>
      <c r="E33" s="3">
        <v>31.0</v>
      </c>
      <c r="F33" s="3">
        <f t="shared" si="1"/>
        <v>11</v>
      </c>
      <c r="G33" s="5">
        <v>0.0</v>
      </c>
      <c r="H33" s="5">
        <v>0.0</v>
      </c>
      <c r="I33" s="5">
        <v>1.0</v>
      </c>
      <c r="J33" s="5">
        <v>0.0</v>
      </c>
      <c r="K33" s="5">
        <v>0.0</v>
      </c>
      <c r="L33" s="5">
        <v>0.0</v>
      </c>
      <c r="M33" s="4" t="s">
        <v>58</v>
      </c>
      <c r="N33" s="5">
        <f>(E33-1)+VLOOKUP(M33,Size,2,0)</f>
        <v>28</v>
      </c>
      <c r="O33" s="5">
        <f>VLOOKUP(E33,LevelData,4)</f>
        <v>31</v>
      </c>
      <c r="P33" s="5">
        <f>O33+VLOOKUP(M33,Size,3,0)</f>
        <v>29</v>
      </c>
      <c r="Q33" s="5">
        <f t="shared" si="2"/>
        <v>17</v>
      </c>
      <c r="R33" s="5">
        <f>VLOOKUP(E33,LevelData,2)</f>
        <v>17</v>
      </c>
      <c r="S33" s="5">
        <f t="shared" si="3"/>
        <v>17</v>
      </c>
      <c r="T33" s="4" t="s">
        <v>117</v>
      </c>
      <c r="U33" s="3">
        <v>32.0</v>
      </c>
      <c r="V33" s="4">
        <f>INT(15+(E33/2))-VLOOKUP(M33,Size,2,0)</f>
        <v>32</v>
      </c>
      <c r="W33" s="3">
        <v>27.0</v>
      </c>
      <c r="X33" s="4"/>
      <c r="Y33" s="3">
        <v>13.0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2.75" customHeight="1">
      <c r="A34" s="3">
        <f t="shared" si="4"/>
        <v>33</v>
      </c>
      <c r="B34" s="4"/>
      <c r="C34" s="3">
        <v>601.0</v>
      </c>
      <c r="D34" s="4">
        <f t="shared" si="5"/>
        <v>43</v>
      </c>
      <c r="E34" s="3">
        <v>32.0</v>
      </c>
      <c r="F34" s="3">
        <f t="shared" si="1"/>
        <v>11</v>
      </c>
      <c r="G34" s="5">
        <v>1.0</v>
      </c>
      <c r="H34" s="5">
        <v>0.0</v>
      </c>
      <c r="I34" s="5">
        <v>0.0</v>
      </c>
      <c r="J34" s="5">
        <v>1.0</v>
      </c>
      <c r="K34" s="5">
        <v>0.0</v>
      </c>
      <c r="L34" s="5">
        <v>1.0</v>
      </c>
      <c r="M34" s="4" t="s">
        <v>58</v>
      </c>
      <c r="N34" s="5">
        <f>(E34-1)+VLOOKUP(M34,Size,2,0)</f>
        <v>29</v>
      </c>
      <c r="O34" s="5">
        <f>VLOOKUP(E34,LevelData,4)</f>
        <v>32</v>
      </c>
      <c r="P34" s="5">
        <f>O34+VLOOKUP(M34,Size,3,0)</f>
        <v>30</v>
      </c>
      <c r="Q34" s="5">
        <f t="shared" si="2"/>
        <v>18</v>
      </c>
      <c r="R34" s="5">
        <f>VLOOKUP(E34,LevelData,2)</f>
        <v>18</v>
      </c>
      <c r="S34" s="5">
        <f t="shared" si="3"/>
        <v>18</v>
      </c>
      <c r="T34" s="4" t="s">
        <v>118</v>
      </c>
      <c r="U34" s="3">
        <v>33.0</v>
      </c>
      <c r="V34" s="4">
        <f>INT(15+(E34/2))-VLOOKUP(M34,Size,2,0)</f>
        <v>33</v>
      </c>
      <c r="W34" s="3">
        <v>28.0</v>
      </c>
      <c r="X34" s="4"/>
      <c r="Y34" s="3">
        <v>14.0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7">
        <f t="shared" si="4"/>
        <v>34</v>
      </c>
      <c r="B35" s="8"/>
      <c r="C35" s="7">
        <v>651.0</v>
      </c>
      <c r="D35" s="8">
        <f t="shared" si="5"/>
        <v>44</v>
      </c>
      <c r="E35" s="7">
        <v>33.0</v>
      </c>
      <c r="F35" s="7">
        <f t="shared" si="1"/>
        <v>11</v>
      </c>
      <c r="G35" s="9">
        <v>0.0</v>
      </c>
      <c r="H35" s="9">
        <v>0.0</v>
      </c>
      <c r="I35" s="9">
        <v>0.0</v>
      </c>
      <c r="J35" s="9">
        <v>0.0</v>
      </c>
      <c r="K35" s="9">
        <v>1.0</v>
      </c>
      <c r="L35" s="9">
        <v>0.0</v>
      </c>
      <c r="M35" s="8" t="s">
        <v>58</v>
      </c>
      <c r="N35" s="9">
        <f>(E35-1)+VLOOKUP(M35,Size,2,0)</f>
        <v>30</v>
      </c>
      <c r="O35" s="9">
        <f>VLOOKUP(E35,LevelData,4)</f>
        <v>33</v>
      </c>
      <c r="P35" s="9">
        <f>O35+VLOOKUP(M35,Size,3,0)</f>
        <v>31</v>
      </c>
      <c r="Q35" s="9">
        <f t="shared" si="2"/>
        <v>18</v>
      </c>
      <c r="R35" s="9">
        <f>VLOOKUP(E35,LevelData,2)</f>
        <v>18</v>
      </c>
      <c r="S35" s="9">
        <f t="shared" si="3"/>
        <v>18</v>
      </c>
      <c r="T35" s="8" t="s">
        <v>118</v>
      </c>
      <c r="U35" s="7">
        <v>33.0</v>
      </c>
      <c r="V35" s="8">
        <f>INT(15+(E35/2))-VLOOKUP(M35,Size,2,0)</f>
        <v>33</v>
      </c>
      <c r="W35" s="7">
        <v>28.0</v>
      </c>
      <c r="X35" s="8"/>
      <c r="Y35" s="7">
        <v>14.0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12.75" customHeight="1">
      <c r="A36" s="10">
        <f t="shared" si="4"/>
        <v>35</v>
      </c>
      <c r="B36" s="11" t="s">
        <v>71</v>
      </c>
      <c r="C36" s="10">
        <v>701.0</v>
      </c>
      <c r="D36" s="11">
        <f t="shared" si="5"/>
        <v>45</v>
      </c>
      <c r="E36" s="10">
        <v>33.0</v>
      </c>
      <c r="F36" s="10">
        <f t="shared" si="1"/>
        <v>12</v>
      </c>
      <c r="G36" s="12">
        <v>1.0</v>
      </c>
      <c r="H36" s="12">
        <v>0.0</v>
      </c>
      <c r="I36" s="12">
        <v>1.0</v>
      </c>
      <c r="J36" s="12">
        <v>1.0</v>
      </c>
      <c r="K36" s="12">
        <v>1.0</v>
      </c>
      <c r="L36" s="12">
        <v>1.0</v>
      </c>
      <c r="M36" s="11" t="s">
        <v>77</v>
      </c>
      <c r="N36" s="12">
        <f>(E36-1)+VLOOKUP(M36,Size,2,0)</f>
        <v>28</v>
      </c>
      <c r="O36" s="12">
        <f>VLOOKUP(E36,LevelData,4)</f>
        <v>33</v>
      </c>
      <c r="P36" s="12">
        <f>O36+VLOOKUP(M36,Size,3,0)</f>
        <v>29</v>
      </c>
      <c r="Q36" s="12">
        <f t="shared" si="2"/>
        <v>18</v>
      </c>
      <c r="R36" s="12">
        <f>VLOOKUP(E36,LevelData,2)</f>
        <v>18</v>
      </c>
      <c r="S36" s="12">
        <f t="shared" si="3"/>
        <v>18</v>
      </c>
      <c r="T36" s="11" t="s">
        <v>119</v>
      </c>
      <c r="U36" s="10">
        <v>34.0</v>
      </c>
      <c r="V36" s="11">
        <f>INT(15+(E36/2))-VLOOKUP(M36,Size,2,0)</f>
        <v>35</v>
      </c>
      <c r="W36" s="10">
        <v>29.0</v>
      </c>
      <c r="X36" s="11" t="s">
        <v>205</v>
      </c>
      <c r="Y36" s="10">
        <v>15.0</v>
      </c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12.75" customHeight="1">
      <c r="A37" s="10">
        <f t="shared" si="4"/>
        <v>36</v>
      </c>
      <c r="B37" s="11"/>
      <c r="C37" s="10">
        <v>751.0</v>
      </c>
      <c r="D37" s="11">
        <f t="shared" si="5"/>
        <v>46</v>
      </c>
      <c r="E37" s="10">
        <v>34.0</v>
      </c>
      <c r="F37" s="10">
        <f t="shared" si="1"/>
        <v>12</v>
      </c>
      <c r="G37" s="12">
        <v>1.0</v>
      </c>
      <c r="H37" s="12">
        <v>0.0</v>
      </c>
      <c r="I37" s="12">
        <v>1.0</v>
      </c>
      <c r="J37" s="12">
        <v>1.0</v>
      </c>
      <c r="K37" s="12">
        <v>0.0</v>
      </c>
      <c r="L37" s="12">
        <v>0.0</v>
      </c>
      <c r="M37" s="11" t="s">
        <v>77</v>
      </c>
      <c r="N37" s="12">
        <f>(E37-1)+VLOOKUP(M37,Size,2,0)</f>
        <v>29</v>
      </c>
      <c r="O37" s="12">
        <f>VLOOKUP(E37,LevelData,4)</f>
        <v>34</v>
      </c>
      <c r="P37" s="12">
        <f>O37+VLOOKUP(M37,Size,3,0)</f>
        <v>30</v>
      </c>
      <c r="Q37" s="12">
        <f t="shared" si="2"/>
        <v>19</v>
      </c>
      <c r="R37" s="12">
        <f>VLOOKUP(E37,LevelData,2)</f>
        <v>19</v>
      </c>
      <c r="S37" s="12">
        <f t="shared" si="3"/>
        <v>19</v>
      </c>
      <c r="T37" s="11" t="s">
        <v>119</v>
      </c>
      <c r="U37" s="10">
        <v>34.0</v>
      </c>
      <c r="V37" s="11">
        <f>INT(15+(E37/2))-VLOOKUP(M37,Size,2,0)</f>
        <v>36</v>
      </c>
      <c r="W37" s="10">
        <v>29.0</v>
      </c>
      <c r="X37" s="11" t="s">
        <v>206</v>
      </c>
      <c r="Y37" s="10">
        <v>15.0</v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12.75" customHeight="1">
      <c r="A38" s="10">
        <f t="shared" si="4"/>
        <v>37</v>
      </c>
      <c r="B38" s="11"/>
      <c r="C38" s="10">
        <v>801.0</v>
      </c>
      <c r="D38" s="11">
        <f t="shared" si="5"/>
        <v>47</v>
      </c>
      <c r="E38" s="10">
        <v>35.0</v>
      </c>
      <c r="F38" s="10">
        <f t="shared" si="1"/>
        <v>12</v>
      </c>
      <c r="G38" s="12">
        <v>1.0</v>
      </c>
      <c r="H38" s="12">
        <v>0.0</v>
      </c>
      <c r="I38" s="12">
        <v>1.0</v>
      </c>
      <c r="J38" s="12">
        <v>0.0</v>
      </c>
      <c r="K38" s="12">
        <v>1.0</v>
      </c>
      <c r="L38" s="12">
        <v>0.0</v>
      </c>
      <c r="M38" s="11" t="s">
        <v>77</v>
      </c>
      <c r="N38" s="12">
        <f>(E38-1)+VLOOKUP(M38,Size,2,0)</f>
        <v>30</v>
      </c>
      <c r="O38" s="12">
        <f>VLOOKUP(E38,LevelData,4)</f>
        <v>35</v>
      </c>
      <c r="P38" s="12">
        <f>O38+VLOOKUP(M38,Size,3,0)</f>
        <v>31</v>
      </c>
      <c r="Q38" s="12">
        <f t="shared" si="2"/>
        <v>19</v>
      </c>
      <c r="R38" s="12">
        <f>VLOOKUP(E38,LevelData,2)</f>
        <v>19</v>
      </c>
      <c r="S38" s="12">
        <f t="shared" si="3"/>
        <v>19</v>
      </c>
      <c r="T38" s="11" t="s">
        <v>121</v>
      </c>
      <c r="U38" s="10">
        <v>35.0</v>
      </c>
      <c r="V38" s="11">
        <f>INT(15+(E38/2))-VLOOKUP(M38,Size,2,0)</f>
        <v>36</v>
      </c>
      <c r="W38" s="10">
        <v>29.0</v>
      </c>
      <c r="X38" s="11"/>
      <c r="Y38" s="10">
        <v>16.0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2.75" customHeight="1">
      <c r="A39" s="1">
        <f t="shared" si="4"/>
        <v>38</v>
      </c>
      <c r="B39" s="2"/>
      <c r="C39" s="1">
        <v>851.0</v>
      </c>
      <c r="D39" s="2">
        <f t="shared" si="5"/>
        <v>48</v>
      </c>
      <c r="E39" s="1">
        <v>36.0</v>
      </c>
      <c r="F39" s="1">
        <f t="shared" si="1"/>
        <v>12</v>
      </c>
      <c r="G39" s="13">
        <v>1.0</v>
      </c>
      <c r="H39" s="13">
        <v>0.0</v>
      </c>
      <c r="I39" s="13">
        <v>1.0</v>
      </c>
      <c r="J39" s="13">
        <v>0.0</v>
      </c>
      <c r="K39" s="13">
        <v>0.0</v>
      </c>
      <c r="L39" s="13">
        <v>1.0</v>
      </c>
      <c r="M39" s="2" t="s">
        <v>77</v>
      </c>
      <c r="N39" s="13">
        <f>(E39-1)+VLOOKUP(M39,Size,2,0)</f>
        <v>31</v>
      </c>
      <c r="O39" s="13">
        <f>VLOOKUP(E39,LevelData,4)</f>
        <v>36</v>
      </c>
      <c r="P39" s="13">
        <f>O39+VLOOKUP(M39,Size,3,0)</f>
        <v>32</v>
      </c>
      <c r="Q39" s="13">
        <f t="shared" si="2"/>
        <v>20</v>
      </c>
      <c r="R39" s="13">
        <f>VLOOKUP(E39,LevelData,2)</f>
        <v>20</v>
      </c>
      <c r="S39" s="13">
        <f t="shared" si="3"/>
        <v>20</v>
      </c>
      <c r="T39" s="2" t="s">
        <v>121</v>
      </c>
      <c r="U39" s="1">
        <v>35.0</v>
      </c>
      <c r="V39" s="2">
        <f>INT(15+(E39/2))-VLOOKUP(M39,Size,2,0)</f>
        <v>37</v>
      </c>
      <c r="W39" s="1">
        <v>29.0</v>
      </c>
      <c r="X39" s="2"/>
      <c r="Y39" s="1">
        <v>16.0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2.75" customHeight="1">
      <c r="A40" s="3">
        <f t="shared" si="4"/>
        <v>39</v>
      </c>
      <c r="B40" s="4" t="s">
        <v>76</v>
      </c>
      <c r="C40" s="3">
        <v>901.0</v>
      </c>
      <c r="D40" s="4">
        <f t="shared" si="5"/>
        <v>49</v>
      </c>
      <c r="E40" s="3">
        <v>36.0</v>
      </c>
      <c r="F40" s="3">
        <f t="shared" si="1"/>
        <v>13</v>
      </c>
      <c r="G40" s="5">
        <v>1.0</v>
      </c>
      <c r="H40" s="5">
        <v>0.0</v>
      </c>
      <c r="I40" s="5">
        <v>1.0</v>
      </c>
      <c r="J40" s="5">
        <v>1.0</v>
      </c>
      <c r="K40" s="5">
        <v>1.0</v>
      </c>
      <c r="L40" s="5">
        <v>1.0</v>
      </c>
      <c r="M40" s="4" t="s">
        <v>77</v>
      </c>
      <c r="N40" s="5">
        <f>(E40-1)+VLOOKUP(M40,Size,2,0)</f>
        <v>31</v>
      </c>
      <c r="O40" s="5">
        <f>VLOOKUP(E40,LevelData,4)</f>
        <v>36</v>
      </c>
      <c r="P40" s="5">
        <f>O40+VLOOKUP(M40,Size,3,0)</f>
        <v>32</v>
      </c>
      <c r="Q40" s="5">
        <f t="shared" si="2"/>
        <v>20</v>
      </c>
      <c r="R40" s="5">
        <f>VLOOKUP(E40,LevelData,2)</f>
        <v>20</v>
      </c>
      <c r="S40" s="5">
        <f t="shared" si="3"/>
        <v>20</v>
      </c>
      <c r="T40" s="4" t="s">
        <v>122</v>
      </c>
      <c r="U40" s="3">
        <v>36.0</v>
      </c>
      <c r="V40" s="4">
        <f>INT(15+(E40/2))-VLOOKUP(M40,Size,2,0)</f>
        <v>37</v>
      </c>
      <c r="W40" s="3">
        <v>30.0</v>
      </c>
      <c r="X40" s="4" t="s">
        <v>79</v>
      </c>
      <c r="Y40" s="3">
        <v>17.0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2.75" customHeight="1">
      <c r="A41" s="3">
        <f t="shared" si="4"/>
        <v>40</v>
      </c>
      <c r="B41" s="4"/>
      <c r="C41" s="3">
        <v>851.0</v>
      </c>
      <c r="D41" s="4">
        <f t="shared" si="5"/>
        <v>50</v>
      </c>
      <c r="E41" s="3">
        <v>37.0</v>
      </c>
      <c r="F41" s="3">
        <f t="shared" si="1"/>
        <v>13</v>
      </c>
      <c r="G41" s="5">
        <v>1.0</v>
      </c>
      <c r="H41" s="5">
        <v>0.0</v>
      </c>
      <c r="I41" s="5">
        <v>1.0</v>
      </c>
      <c r="J41" s="5">
        <v>0.0</v>
      </c>
      <c r="K41" s="5">
        <v>0.0</v>
      </c>
      <c r="L41" s="5">
        <v>0.0</v>
      </c>
      <c r="M41" s="4" t="s">
        <v>77</v>
      </c>
      <c r="N41" s="5">
        <f>(E41-1)+VLOOKUP(M41,Size,2,0)</f>
        <v>32</v>
      </c>
      <c r="O41" s="5">
        <f>VLOOKUP(E41,LevelData,4)</f>
        <v>37</v>
      </c>
      <c r="P41" s="5">
        <f>O41+VLOOKUP(M41,Size,3,0)</f>
        <v>33</v>
      </c>
      <c r="Q41" s="5">
        <f t="shared" si="2"/>
        <v>20</v>
      </c>
      <c r="R41" s="5">
        <f>VLOOKUP(E41,LevelData,2)</f>
        <v>20</v>
      </c>
      <c r="S41" s="5">
        <f t="shared" si="3"/>
        <v>20</v>
      </c>
      <c r="T41" s="4" t="s">
        <v>122</v>
      </c>
      <c r="U41" s="3">
        <v>36.0</v>
      </c>
      <c r="V41" s="4">
        <f>INT(15+(E41/2))-VLOOKUP(M41,Size,2,0)</f>
        <v>37</v>
      </c>
      <c r="W41" s="3">
        <v>30.0</v>
      </c>
      <c r="X41" s="4"/>
      <c r="Y41" s="3">
        <v>17.0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2.75" customHeight="1">
      <c r="A42" s="3">
        <f t="shared" si="4"/>
        <v>41</v>
      </c>
      <c r="B42" s="4"/>
      <c r="C42" s="3">
        <v>1001.0</v>
      </c>
      <c r="D42" s="4">
        <f t="shared" si="5"/>
        <v>51</v>
      </c>
      <c r="E42" s="3">
        <v>38.0</v>
      </c>
      <c r="F42" s="3">
        <f t="shared" si="1"/>
        <v>13</v>
      </c>
      <c r="G42" s="5">
        <v>1.0</v>
      </c>
      <c r="H42" s="5">
        <v>0.0</v>
      </c>
      <c r="I42" s="5">
        <v>0.0</v>
      </c>
      <c r="J42" s="5">
        <v>0.0</v>
      </c>
      <c r="K42" s="5">
        <v>1.0</v>
      </c>
      <c r="L42" s="5">
        <v>1.0</v>
      </c>
      <c r="M42" s="4" t="s">
        <v>77</v>
      </c>
      <c r="N42" s="5">
        <f>(E42-1)+VLOOKUP(M42,Size,2,0)</f>
        <v>33</v>
      </c>
      <c r="O42" s="5">
        <f>VLOOKUP(E42,LevelData,4)</f>
        <v>38</v>
      </c>
      <c r="P42" s="5">
        <f>O42+VLOOKUP(M42,Size,3,0)</f>
        <v>34</v>
      </c>
      <c r="Q42" s="5">
        <f t="shared" si="2"/>
        <v>21</v>
      </c>
      <c r="R42" s="5">
        <f>VLOOKUP(E42,LevelData,2)</f>
        <v>21</v>
      </c>
      <c r="S42" s="5">
        <f t="shared" si="3"/>
        <v>21</v>
      </c>
      <c r="T42" s="4" t="s">
        <v>123</v>
      </c>
      <c r="U42" s="3">
        <v>37.0</v>
      </c>
      <c r="V42" s="4">
        <f>INT(15+(E42/2))-VLOOKUP(M42,Size,2,0)</f>
        <v>38</v>
      </c>
      <c r="W42" s="3">
        <v>31.0</v>
      </c>
      <c r="X42" s="4"/>
      <c r="Y42" s="3">
        <v>18.0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7">
        <f t="shared" si="4"/>
        <v>42</v>
      </c>
      <c r="B43" s="8"/>
      <c r="C43" s="7">
        <v>1051.0</v>
      </c>
      <c r="D43" s="8">
        <f t="shared" si="5"/>
        <v>52</v>
      </c>
      <c r="E43" s="7">
        <v>39.0</v>
      </c>
      <c r="F43" s="7">
        <f t="shared" si="1"/>
        <v>13</v>
      </c>
      <c r="G43" s="9">
        <v>1.0</v>
      </c>
      <c r="H43" s="9">
        <v>0.0</v>
      </c>
      <c r="I43" s="9">
        <v>0.0</v>
      </c>
      <c r="J43" s="9">
        <v>1.0</v>
      </c>
      <c r="K43" s="9">
        <v>0.0</v>
      </c>
      <c r="L43" s="9">
        <v>0.0</v>
      </c>
      <c r="M43" s="8" t="s">
        <v>77</v>
      </c>
      <c r="N43" s="9">
        <f>(E43-1)+VLOOKUP(M43,Size,2,0)</f>
        <v>34</v>
      </c>
      <c r="O43" s="9">
        <f>VLOOKUP(E43,LevelData,4)</f>
        <v>39</v>
      </c>
      <c r="P43" s="9">
        <f>O43+VLOOKUP(M43,Size,3,0)</f>
        <v>35</v>
      </c>
      <c r="Q43" s="9">
        <f t="shared" si="2"/>
        <v>21</v>
      </c>
      <c r="R43" s="9">
        <f>VLOOKUP(E43,LevelData,2)</f>
        <v>21</v>
      </c>
      <c r="S43" s="9">
        <f t="shared" si="3"/>
        <v>21</v>
      </c>
      <c r="T43" s="8" t="s">
        <v>123</v>
      </c>
      <c r="U43" s="7">
        <v>38.0</v>
      </c>
      <c r="V43" s="8">
        <f>INT(15+(E43/2))-VLOOKUP(M43,Size,2,0)</f>
        <v>38</v>
      </c>
      <c r="W43" s="7">
        <v>31.0</v>
      </c>
      <c r="X43" s="8"/>
      <c r="Y43" s="7">
        <v>18.0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ht="12.75" customHeight="1">
      <c r="A44" s="10">
        <f t="shared" si="4"/>
        <v>43</v>
      </c>
      <c r="B44" s="11" t="s">
        <v>81</v>
      </c>
      <c r="C44" s="10">
        <v>1101.0</v>
      </c>
      <c r="D44" s="11">
        <f t="shared" si="5"/>
        <v>53</v>
      </c>
      <c r="E44" s="10">
        <v>39.0</v>
      </c>
      <c r="F44" s="10">
        <f t="shared" si="1"/>
        <v>14</v>
      </c>
      <c r="G44" s="12">
        <v>1.0</v>
      </c>
      <c r="H44" s="12">
        <v>0.0</v>
      </c>
      <c r="I44" s="12">
        <v>1.0</v>
      </c>
      <c r="J44" s="12">
        <v>1.0</v>
      </c>
      <c r="K44" s="12">
        <v>1.0</v>
      </c>
      <c r="L44" s="12">
        <v>1.0</v>
      </c>
      <c r="M44" s="11" t="s">
        <v>162</v>
      </c>
      <c r="N44" s="12">
        <f>(E44-1)+VLOOKUP(M44,Size,2,0)</f>
        <v>30</v>
      </c>
      <c r="O44" s="12">
        <f>VLOOKUP(E44,LevelData,4)</f>
        <v>39</v>
      </c>
      <c r="P44" s="12">
        <f>O44+VLOOKUP(M44,Size,3,0)</f>
        <v>31</v>
      </c>
      <c r="Q44" s="12">
        <f t="shared" si="2"/>
        <v>21</v>
      </c>
      <c r="R44" s="12">
        <f>VLOOKUP(E44,LevelData,2)</f>
        <v>21</v>
      </c>
      <c r="S44" s="12">
        <f t="shared" si="3"/>
        <v>21</v>
      </c>
      <c r="T44" s="11" t="s">
        <v>124</v>
      </c>
      <c r="U44" s="10">
        <v>39.0</v>
      </c>
      <c r="V44" s="11">
        <f>INT(13+(E44/2))-VLOOKUP(M44,Size,2,0)</f>
        <v>40</v>
      </c>
      <c r="W44" s="10">
        <v>32.0</v>
      </c>
      <c r="X44" s="11" t="s">
        <v>214</v>
      </c>
      <c r="Y44" s="10">
        <v>19.0</v>
      </c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12.75" customHeight="1">
      <c r="A45" s="10">
        <f t="shared" si="4"/>
        <v>44</v>
      </c>
      <c r="B45" s="11"/>
      <c r="C45" s="10">
        <v>1151.0</v>
      </c>
      <c r="D45" s="11">
        <f t="shared" si="5"/>
        <v>54</v>
      </c>
      <c r="E45" s="10">
        <v>40.0</v>
      </c>
      <c r="F45" s="10">
        <f t="shared" si="1"/>
        <v>14</v>
      </c>
      <c r="G45" s="12">
        <v>0.0</v>
      </c>
      <c r="H45" s="12">
        <v>0.0</v>
      </c>
      <c r="I45" s="12">
        <v>0.0</v>
      </c>
      <c r="J45" s="12">
        <v>1.0</v>
      </c>
      <c r="K45" s="12">
        <v>0.0</v>
      </c>
      <c r="L45" s="12">
        <v>0.0</v>
      </c>
      <c r="M45" s="11" t="s">
        <v>162</v>
      </c>
      <c r="N45" s="12">
        <f>(E45-1)+VLOOKUP(M45,Size,2,0)</f>
        <v>31</v>
      </c>
      <c r="O45" s="12">
        <f>VLOOKUP(E45,LevelData,4)</f>
        <v>40</v>
      </c>
      <c r="P45" s="12">
        <f>O45+VLOOKUP(M45,Size,3,0)</f>
        <v>32</v>
      </c>
      <c r="Q45" s="12">
        <f t="shared" si="2"/>
        <v>22</v>
      </c>
      <c r="R45" s="12">
        <f>VLOOKUP(E45,LevelData,2)</f>
        <v>22</v>
      </c>
      <c r="S45" s="12">
        <f t="shared" si="3"/>
        <v>22</v>
      </c>
      <c r="T45" s="11" t="s">
        <v>124</v>
      </c>
      <c r="U45" s="10">
        <v>39.0</v>
      </c>
      <c r="V45" s="11">
        <f>INT(13+(E45/2))-VLOOKUP(M45,Size,2,0)</f>
        <v>41</v>
      </c>
      <c r="W45" s="10">
        <v>32.0</v>
      </c>
      <c r="X45" s="11" t="s">
        <v>215</v>
      </c>
      <c r="Y45" s="10">
        <v>19.0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12.75" customHeight="1">
      <c r="A46" s="10">
        <f t="shared" si="4"/>
        <v>45</v>
      </c>
      <c r="B46" s="11"/>
      <c r="C46" s="10">
        <v>1201.0</v>
      </c>
      <c r="D46" s="11">
        <f t="shared" si="5"/>
        <v>55</v>
      </c>
      <c r="E46" s="10">
        <v>41.0</v>
      </c>
      <c r="F46" s="10">
        <f t="shared" si="1"/>
        <v>14</v>
      </c>
      <c r="G46" s="12">
        <v>1.0</v>
      </c>
      <c r="H46" s="12">
        <v>0.0</v>
      </c>
      <c r="I46" s="12">
        <v>1.0</v>
      </c>
      <c r="J46" s="12">
        <v>0.0</v>
      </c>
      <c r="K46" s="12">
        <v>0.0</v>
      </c>
      <c r="L46" s="12">
        <v>1.0</v>
      </c>
      <c r="M46" s="11" t="s">
        <v>162</v>
      </c>
      <c r="N46" s="12">
        <f>(E46-1)+VLOOKUP(M46,Size,2,0)</f>
        <v>32</v>
      </c>
      <c r="O46" s="12">
        <f>VLOOKUP(E46,LevelData,4)</f>
        <v>41</v>
      </c>
      <c r="P46" s="12">
        <f>O46+VLOOKUP(M46,Size,3,0)</f>
        <v>33</v>
      </c>
      <c r="Q46" s="12">
        <f t="shared" si="2"/>
        <v>22</v>
      </c>
      <c r="R46" s="12">
        <f>VLOOKUP(E46,LevelData,2)</f>
        <v>22</v>
      </c>
      <c r="S46" s="12">
        <f t="shared" si="3"/>
        <v>22</v>
      </c>
      <c r="T46" s="11" t="s">
        <v>127</v>
      </c>
      <c r="U46" s="10">
        <v>40.0</v>
      </c>
      <c r="V46" s="11">
        <f>INT(13+(E46/2))-VLOOKUP(M46,Size,2,0)</f>
        <v>41</v>
      </c>
      <c r="W46" s="10">
        <v>33.0</v>
      </c>
      <c r="X46" s="11"/>
      <c r="Y46" s="10">
        <v>20.0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2.75" customHeight="1">
      <c r="A47" s="1">
        <f t="shared" si="4"/>
        <v>46</v>
      </c>
      <c r="B47" s="2"/>
      <c r="C47" s="1" t="s">
        <v>84</v>
      </c>
      <c r="D47" s="2">
        <f t="shared" si="5"/>
        <v>56</v>
      </c>
      <c r="E47" s="1">
        <v>42.0</v>
      </c>
      <c r="F47" s="1">
        <f t="shared" si="1"/>
        <v>14</v>
      </c>
      <c r="G47" s="13">
        <v>0.0</v>
      </c>
      <c r="H47" s="13">
        <v>0.0</v>
      </c>
      <c r="I47" s="13">
        <v>0.0</v>
      </c>
      <c r="J47" s="13">
        <v>0.0</v>
      </c>
      <c r="K47" s="13">
        <v>1.0</v>
      </c>
      <c r="L47" s="13">
        <v>0.0</v>
      </c>
      <c r="M47" s="2" t="s">
        <v>162</v>
      </c>
      <c r="N47" s="13">
        <f>(E47-1)+VLOOKUP(M47,Size,2,0)</f>
        <v>33</v>
      </c>
      <c r="O47" s="13">
        <f>VLOOKUP(E47,LevelData,4)</f>
        <v>42</v>
      </c>
      <c r="P47" s="13">
        <f>O47+VLOOKUP(M47,Size,3,0)</f>
        <v>34</v>
      </c>
      <c r="Q47" s="13">
        <f t="shared" si="2"/>
        <v>23</v>
      </c>
      <c r="R47" s="13">
        <f>VLOOKUP(E47,LevelData,2)</f>
        <v>23</v>
      </c>
      <c r="S47" s="13">
        <f t="shared" si="3"/>
        <v>23</v>
      </c>
      <c r="T47" s="2" t="s">
        <v>127</v>
      </c>
      <c r="U47" s="1">
        <v>40.0</v>
      </c>
      <c r="V47" s="2">
        <f>INT(13+(E47/2))-VLOOKUP(M47,Size,2,0)</f>
        <v>42</v>
      </c>
      <c r="W47" s="1">
        <v>33.0</v>
      </c>
      <c r="X47" s="2"/>
      <c r="Y47" s="1">
        <v>20.0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2.75" customHeight="1">
      <c r="A48" s="3">
        <f t="shared" si="4"/>
        <v>47</v>
      </c>
      <c r="B48" s="4" t="s">
        <v>89</v>
      </c>
      <c r="C48" s="3" t="s">
        <v>86</v>
      </c>
      <c r="D48" s="4">
        <f t="shared" si="5"/>
        <v>57</v>
      </c>
      <c r="E48" s="3">
        <v>42.0</v>
      </c>
      <c r="F48" s="3">
        <f t="shared" si="1"/>
        <v>15</v>
      </c>
      <c r="G48" s="5">
        <v>1.0</v>
      </c>
      <c r="H48" s="5">
        <v>0.0</v>
      </c>
      <c r="I48" s="5">
        <v>1.0</v>
      </c>
      <c r="J48" s="5">
        <v>1.0</v>
      </c>
      <c r="K48" s="5">
        <v>1.0</v>
      </c>
      <c r="L48" s="5">
        <v>1.0</v>
      </c>
      <c r="M48" s="4" t="s">
        <v>162</v>
      </c>
      <c r="N48" s="5">
        <f>(E48-1)+VLOOKUP(M48,Size,2,0)</f>
        <v>33</v>
      </c>
      <c r="O48" s="5">
        <f>VLOOKUP(E48,LevelData,4)</f>
        <v>42</v>
      </c>
      <c r="P48" s="5">
        <f>O48+VLOOKUP(M48,Size,3,0)</f>
        <v>34</v>
      </c>
      <c r="Q48" s="5">
        <f t="shared" si="2"/>
        <v>23</v>
      </c>
      <c r="R48" s="5">
        <f>VLOOKUP(E48,LevelData,2)</f>
        <v>23</v>
      </c>
      <c r="S48" s="5">
        <f t="shared" si="3"/>
        <v>23</v>
      </c>
      <c r="T48" s="4" t="s">
        <v>128</v>
      </c>
      <c r="U48" s="3">
        <v>41.0</v>
      </c>
      <c r="V48" s="4">
        <f>INT(13+(E48/2))-VLOOKUP(M48,Size,2,0)</f>
        <v>42</v>
      </c>
      <c r="W48" s="3">
        <v>34.0</v>
      </c>
      <c r="X48" s="4"/>
      <c r="Y48" s="3">
        <v>21.0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12.75" customHeight="1">
      <c r="A49" s="10"/>
      <c r="B49" s="11"/>
      <c r="C49" s="10"/>
      <c r="D49" s="11"/>
      <c r="E49" s="10"/>
      <c r="F49" s="10"/>
      <c r="G49" s="11"/>
      <c r="H49" s="11"/>
      <c r="I49" s="11"/>
      <c r="J49" s="11"/>
      <c r="K49" s="11"/>
      <c r="L49" s="11"/>
      <c r="M49" s="14" t="str">
        <f>HYPERLINK("http://www.geocities.com/galliard6/dragons_sheet.html","Back")</f>
        <v>Back</v>
      </c>
      <c r="N49" s="11"/>
      <c r="O49" s="11"/>
      <c r="P49" s="11"/>
      <c r="Q49" s="11"/>
      <c r="R49" s="11"/>
      <c r="S49" s="11"/>
      <c r="T49" s="11"/>
      <c r="U49" s="10"/>
      <c r="V49" s="11"/>
      <c r="W49" s="10"/>
      <c r="X49" s="11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12.75" customHeight="1">
      <c r="A50" s="10"/>
      <c r="B50" s="11"/>
      <c r="C50" s="10"/>
      <c r="D50" s="11"/>
      <c r="E50" s="10"/>
      <c r="F50" s="1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0"/>
      <c r="V50" s="11"/>
      <c r="W50" s="10"/>
      <c r="X50" s="11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12.75" customHeight="1">
      <c r="A51" s="10"/>
      <c r="B51" s="11"/>
      <c r="C51" s="10"/>
      <c r="D51" s="11"/>
      <c r="E51" s="10"/>
      <c r="F51" s="1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0"/>
      <c r="V51" s="11"/>
      <c r="W51" s="10"/>
      <c r="X51" s="1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2.75" customHeight="1">
      <c r="A52" s="10"/>
      <c r="B52" s="11"/>
      <c r="C52" s="10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/>
      <c r="V52" s="11"/>
      <c r="W52" s="10"/>
      <c r="X52" s="1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2.75" customHeight="1">
      <c r="A53" s="10"/>
      <c r="B53" s="11"/>
      <c r="C53" s="10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/>
      <c r="V53" s="11"/>
      <c r="W53" s="10"/>
      <c r="X53" s="11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2.75" customHeight="1">
      <c r="A54" s="10"/>
      <c r="B54" s="11"/>
      <c r="C54" s="10"/>
      <c r="D54" s="11"/>
      <c r="E54" s="10"/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1"/>
      <c r="W54" s="10"/>
      <c r="X54" s="11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2.75" customHeight="1">
      <c r="A55" s="10"/>
      <c r="B55" s="11"/>
      <c r="C55" s="10"/>
      <c r="D55" s="11"/>
      <c r="E55" s="10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/>
      <c r="V55" s="11"/>
      <c r="W55" s="10"/>
      <c r="X55" s="11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2.75" customHeight="1">
      <c r="A56" s="10"/>
      <c r="B56" s="11"/>
      <c r="C56" s="10"/>
      <c r="D56" s="11"/>
      <c r="E56" s="10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/>
      <c r="V56" s="11"/>
      <c r="W56" s="10"/>
      <c r="X56" s="11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2.75" customHeight="1">
      <c r="A57" s="10"/>
      <c r="B57" s="11"/>
      <c r="C57" s="10"/>
      <c r="D57" s="11"/>
      <c r="E57" s="10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/>
      <c r="V57" s="11"/>
      <c r="W57" s="10"/>
      <c r="X57" s="11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2.75" customHeight="1">
      <c r="A58" s="10"/>
      <c r="B58" s="11"/>
      <c r="C58" s="10"/>
      <c r="D58" s="11"/>
      <c r="E58" s="10"/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/>
      <c r="V58" s="11"/>
      <c r="W58" s="10"/>
      <c r="X58" s="11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2.75" customHeight="1">
      <c r="A59" s="10"/>
      <c r="B59" s="11"/>
      <c r="C59" s="10"/>
      <c r="D59" s="11"/>
      <c r="E59" s="10"/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/>
      <c r="V59" s="11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2.75" customHeight="1">
      <c r="A60" s="10"/>
      <c r="B60" s="11"/>
      <c r="C60" s="10"/>
      <c r="D60" s="11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/>
      <c r="V60" s="11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2.75" customHeight="1">
      <c r="A61" s="10"/>
      <c r="B61" s="11"/>
      <c r="C61" s="10"/>
      <c r="D61" s="11"/>
      <c r="E61" s="10"/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/>
      <c r="V61" s="11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2.75" customHeight="1">
      <c r="A62" s="10"/>
      <c r="B62" s="11"/>
      <c r="C62" s="10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/>
      <c r="V62" s="11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2.75" customHeight="1">
      <c r="A63" s="10"/>
      <c r="B63" s="11"/>
      <c r="C63" s="10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2.75" customHeight="1">
      <c r="A64" s="10"/>
      <c r="B64" s="11"/>
      <c r="C64" s="10"/>
      <c r="D64" s="11"/>
      <c r="E64" s="10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2.75" customHeight="1">
      <c r="A65" s="10"/>
      <c r="B65" s="11"/>
      <c r="C65" s="10"/>
      <c r="D65" s="11"/>
      <c r="E65" s="10"/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2.75" customHeight="1">
      <c r="A66" s="10"/>
      <c r="B66" s="11"/>
      <c r="C66" s="10"/>
      <c r="D66" s="11"/>
      <c r="E66" s="10"/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2.75" customHeight="1">
      <c r="A67" s="10"/>
      <c r="B67" s="11"/>
      <c r="C67" s="10"/>
      <c r="D67" s="11"/>
      <c r="E67" s="10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2.75" customHeight="1">
      <c r="A68" s="10"/>
      <c r="B68" s="11"/>
      <c r="C68" s="10"/>
      <c r="D68" s="11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2.75" customHeight="1">
      <c r="A69" s="10"/>
      <c r="B69" s="11"/>
      <c r="C69" s="10"/>
      <c r="D69" s="11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2.75" customHeight="1">
      <c r="A70" s="10"/>
      <c r="B70" s="11"/>
      <c r="C70" s="10"/>
      <c r="D70" s="11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2.75" customHeight="1">
      <c r="A71" s="10"/>
      <c r="B71" s="11"/>
      <c r="C71" s="10"/>
      <c r="D71" s="11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2.75" customHeight="1">
      <c r="A72" s="10"/>
      <c r="B72" s="11"/>
      <c r="C72" s="10"/>
      <c r="D72" s="11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2.75" customHeight="1">
      <c r="A73" s="10"/>
      <c r="B73" s="11"/>
      <c r="C73" s="10"/>
      <c r="D73" s="11"/>
      <c r="E73" s="10"/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2.75" customHeight="1">
      <c r="A74" s="10"/>
      <c r="B74" s="11"/>
      <c r="C74" s="10"/>
      <c r="D74" s="11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2.75" customHeight="1">
      <c r="A75" s="10"/>
      <c r="B75" s="11"/>
      <c r="C75" s="10"/>
      <c r="D75" s="11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2.75" customHeight="1">
      <c r="A76" s="10"/>
      <c r="B76" s="11"/>
      <c r="C76" s="10"/>
      <c r="D76" s="11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2.75" customHeight="1">
      <c r="A77" s="10"/>
      <c r="B77" s="11"/>
      <c r="C77" s="10"/>
      <c r="D77" s="11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2.75" customHeight="1">
      <c r="A78" s="10"/>
      <c r="B78" s="11"/>
      <c r="C78" s="10"/>
      <c r="D78" s="11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2.75" customHeight="1">
      <c r="A79" s="10"/>
      <c r="B79" s="11"/>
      <c r="C79" s="10"/>
      <c r="D79" s="11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2.75" customHeight="1">
      <c r="A80" s="10"/>
      <c r="B80" s="11"/>
      <c r="C80" s="10"/>
      <c r="D80" s="11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2.75" customHeight="1">
      <c r="A81" s="10"/>
      <c r="B81" s="11"/>
      <c r="C81" s="10"/>
      <c r="D81" s="11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2.75" customHeight="1">
      <c r="A82" s="10"/>
      <c r="B82" s="11"/>
      <c r="C82" s="10"/>
      <c r="D82" s="11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2.75" customHeight="1">
      <c r="A83" s="10"/>
      <c r="B83" s="11"/>
      <c r="C83" s="10"/>
      <c r="D83" s="11"/>
      <c r="E83" s="10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2.75" customHeight="1">
      <c r="A84" s="10"/>
      <c r="B84" s="11"/>
      <c r="C84" s="10"/>
      <c r="D84" s="11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2.75" customHeight="1">
      <c r="A85" s="10"/>
      <c r="B85" s="11"/>
      <c r="C85" s="10"/>
      <c r="D85" s="11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2.75" customHeight="1">
      <c r="A86" s="10"/>
      <c r="B86" s="11"/>
      <c r="C86" s="10"/>
      <c r="D86" s="11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2.75" customHeight="1">
      <c r="A87" s="10"/>
      <c r="B87" s="11"/>
      <c r="C87" s="10"/>
      <c r="D87" s="11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2.75" customHeight="1">
      <c r="A88" s="10"/>
      <c r="B88" s="11"/>
      <c r="C88" s="10"/>
      <c r="D88" s="11"/>
      <c r="E88" s="10"/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2.75" customHeight="1">
      <c r="A89" s="10"/>
      <c r="B89" s="11"/>
      <c r="C89" s="10"/>
      <c r="D89" s="11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2.75" customHeight="1">
      <c r="A90" s="10"/>
      <c r="B90" s="11"/>
      <c r="C90" s="10"/>
      <c r="D90" s="11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2.75" customHeight="1">
      <c r="A91" s="10"/>
      <c r="B91" s="11"/>
      <c r="C91" s="10"/>
      <c r="D91" s="11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2.75" customHeight="1">
      <c r="A92" s="10"/>
      <c r="B92" s="11"/>
      <c r="C92" s="10"/>
      <c r="D92" s="11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2.75" customHeight="1">
      <c r="A93" s="10"/>
      <c r="B93" s="11"/>
      <c r="C93" s="10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2.75" customHeight="1">
      <c r="A94" s="10"/>
      <c r="B94" s="11"/>
      <c r="C94" s="10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2.75" customHeight="1">
      <c r="A95" s="10"/>
      <c r="B95" s="11"/>
      <c r="C95" s="10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2.75" customHeight="1">
      <c r="A96" s="10"/>
      <c r="B96" s="11"/>
      <c r="C96" s="10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2.75" customHeight="1">
      <c r="A97" s="10"/>
      <c r="B97" s="11"/>
      <c r="C97" s="10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2.75" customHeight="1">
      <c r="A98" s="10"/>
      <c r="B98" s="11"/>
      <c r="C98" s="10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2.75" customHeight="1">
      <c r="A99" s="10"/>
      <c r="B99" s="11"/>
      <c r="C99" s="10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2.75" customHeight="1">
      <c r="A100" s="10"/>
      <c r="B100" s="11"/>
      <c r="C100" s="10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2.75" customHeight="1">
      <c r="A101" s="10"/>
      <c r="B101" s="11"/>
      <c r="C101" s="10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2.75" customHeight="1">
      <c r="A102" s="10"/>
      <c r="B102" s="11"/>
      <c r="C102" s="10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2.75" customHeight="1">
      <c r="A103" s="10"/>
      <c r="B103" s="11"/>
      <c r="C103" s="10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2.75" customHeight="1">
      <c r="A104" s="10"/>
      <c r="B104" s="11"/>
      <c r="C104" s="10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2.75" customHeight="1">
      <c r="A105" s="10"/>
      <c r="B105" s="11"/>
      <c r="C105" s="10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2.75" customHeight="1">
      <c r="A106" s="10"/>
      <c r="B106" s="11"/>
      <c r="C106" s="10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2.75" customHeight="1">
      <c r="A107" s="10"/>
      <c r="B107" s="11"/>
      <c r="C107" s="10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2.75" customHeight="1">
      <c r="A108" s="10"/>
      <c r="B108" s="11"/>
      <c r="C108" s="10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2.75" customHeight="1">
      <c r="A109" s="10"/>
      <c r="B109" s="11"/>
      <c r="C109" s="10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2.75" customHeight="1">
      <c r="A110" s="10"/>
      <c r="B110" s="11"/>
      <c r="C110" s="10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2.75" customHeight="1">
      <c r="A111" s="10"/>
      <c r="B111" s="11"/>
      <c r="C111" s="10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2.75" customHeight="1">
      <c r="A112" s="10"/>
      <c r="B112" s="11"/>
      <c r="C112" s="10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2.75" customHeight="1">
      <c r="A113" s="10"/>
      <c r="B113" s="11"/>
      <c r="C113" s="10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2.75" customHeight="1">
      <c r="A114" s="10"/>
      <c r="B114" s="11"/>
      <c r="C114" s="10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2.75" customHeight="1">
      <c r="A115" s="10"/>
      <c r="B115" s="11"/>
      <c r="C115" s="10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2.75" customHeight="1">
      <c r="A116" s="10"/>
      <c r="B116" s="11"/>
      <c r="C116" s="10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2.75" customHeight="1">
      <c r="A117" s="10"/>
      <c r="B117" s="11"/>
      <c r="C117" s="10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2.75" customHeight="1">
      <c r="A118" s="10"/>
      <c r="B118" s="11"/>
      <c r="C118" s="10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2.75" customHeight="1">
      <c r="A119" s="10"/>
      <c r="B119" s="11"/>
      <c r="C119" s="10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2.75" customHeight="1">
      <c r="A120" s="10"/>
      <c r="B120" s="11"/>
      <c r="C120" s="10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2.75" customHeight="1">
      <c r="A121" s="10"/>
      <c r="B121" s="11"/>
      <c r="C121" s="10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2.75" customHeight="1">
      <c r="A122" s="10"/>
      <c r="B122" s="11"/>
      <c r="C122" s="10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2.75" customHeight="1">
      <c r="A123" s="10"/>
      <c r="B123" s="11"/>
      <c r="C123" s="10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2.75" customHeight="1">
      <c r="A124" s="10"/>
      <c r="B124" s="11"/>
      <c r="C124" s="10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2.75" customHeight="1">
      <c r="A125" s="10"/>
      <c r="B125" s="11"/>
      <c r="C125" s="10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2.75" customHeight="1">
      <c r="A126" s="10"/>
      <c r="B126" s="11"/>
      <c r="C126" s="10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2.75" customHeight="1">
      <c r="A127" s="10"/>
      <c r="B127" s="11"/>
      <c r="C127" s="10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2.75" customHeight="1">
      <c r="A128" s="10"/>
      <c r="B128" s="11"/>
      <c r="C128" s="10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2.75" customHeight="1">
      <c r="A129" s="10"/>
      <c r="B129" s="11"/>
      <c r="C129" s="10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2.75" customHeight="1">
      <c r="A130" s="10"/>
      <c r="B130" s="11"/>
      <c r="C130" s="10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2.75" customHeight="1">
      <c r="A131" s="10"/>
      <c r="B131" s="11"/>
      <c r="C131" s="10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2.75" customHeight="1">
      <c r="A132" s="10"/>
      <c r="B132" s="11"/>
      <c r="C132" s="10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2.75" customHeight="1">
      <c r="A133" s="10"/>
      <c r="B133" s="11"/>
      <c r="C133" s="10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2.75" customHeight="1">
      <c r="A134" s="10"/>
      <c r="B134" s="11"/>
      <c r="C134" s="10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2.75" customHeight="1">
      <c r="A135" s="10"/>
      <c r="B135" s="11"/>
      <c r="C135" s="10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2.75" customHeight="1">
      <c r="A136" s="10"/>
      <c r="B136" s="11"/>
      <c r="C136" s="10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2.75" customHeight="1">
      <c r="A137" s="10"/>
      <c r="B137" s="11"/>
      <c r="C137" s="10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2.75" customHeight="1">
      <c r="A138" s="10"/>
      <c r="B138" s="11"/>
      <c r="C138" s="10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2.75" customHeight="1">
      <c r="A139" s="10"/>
      <c r="B139" s="11"/>
      <c r="C139" s="10"/>
      <c r="D139" s="11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2.75" customHeight="1">
      <c r="A140" s="10"/>
      <c r="B140" s="11"/>
      <c r="C140" s="10"/>
      <c r="D140" s="11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2.75" customHeight="1">
      <c r="A141" s="10"/>
      <c r="B141" s="11"/>
      <c r="C141" s="10"/>
      <c r="D141" s="11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2.75" customHeight="1">
      <c r="A142" s="10"/>
      <c r="B142" s="11"/>
      <c r="C142" s="10"/>
      <c r="D142" s="11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2.75" customHeight="1">
      <c r="A143" s="10"/>
      <c r="B143" s="11"/>
      <c r="C143" s="10"/>
      <c r="D143" s="11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2.75" customHeight="1">
      <c r="A144" s="10"/>
      <c r="B144" s="11"/>
      <c r="C144" s="10"/>
      <c r="D144" s="11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2.75" customHeight="1">
      <c r="A145" s="10"/>
      <c r="B145" s="11"/>
      <c r="C145" s="10"/>
      <c r="D145" s="11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/>
      <c r="V145" s="11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2.75" customHeight="1">
      <c r="A146" s="10"/>
      <c r="B146" s="11"/>
      <c r="C146" s="10"/>
      <c r="D146" s="11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/>
      <c r="V146" s="11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2.75" customHeight="1">
      <c r="A147" s="10"/>
      <c r="B147" s="11"/>
      <c r="C147" s="10"/>
      <c r="D147" s="11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/>
      <c r="V147" s="11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2.75" customHeight="1">
      <c r="A148" s="10"/>
      <c r="B148" s="11"/>
      <c r="C148" s="10"/>
      <c r="D148" s="11"/>
      <c r="E148" s="10"/>
      <c r="F148" s="1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/>
      <c r="V148" s="11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2.75" customHeight="1">
      <c r="A149" s="10"/>
      <c r="B149" s="11"/>
      <c r="C149" s="10"/>
      <c r="D149" s="11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2.75" customHeight="1">
      <c r="A150" s="10"/>
      <c r="B150" s="11"/>
      <c r="C150" s="10"/>
      <c r="D150" s="11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2.75" customHeight="1">
      <c r="A151" s="10"/>
      <c r="B151" s="11"/>
      <c r="C151" s="10"/>
      <c r="D151" s="11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2.75" customHeight="1">
      <c r="A152" s="10"/>
      <c r="B152" s="11"/>
      <c r="C152" s="10"/>
      <c r="D152" s="11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2.75" customHeight="1">
      <c r="A153" s="10"/>
      <c r="B153" s="11"/>
      <c r="C153" s="10"/>
      <c r="D153" s="11"/>
      <c r="E153" s="10"/>
      <c r="F153" s="1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2.75" customHeight="1">
      <c r="A154" s="10"/>
      <c r="B154" s="11"/>
      <c r="C154" s="10"/>
      <c r="D154" s="11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2.75" customHeight="1">
      <c r="A155" s="10"/>
      <c r="B155" s="11"/>
      <c r="C155" s="10"/>
      <c r="D155" s="11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  <c r="W155" s="10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2.75" customHeight="1">
      <c r="A156" s="10"/>
      <c r="B156" s="11"/>
      <c r="C156" s="10"/>
      <c r="D156" s="11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  <c r="W156" s="10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2.75" customHeight="1">
      <c r="A157" s="10"/>
      <c r="B157" s="11"/>
      <c r="C157" s="10"/>
      <c r="D157" s="11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  <c r="W157" s="10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2.75" customHeight="1">
      <c r="A158" s="10"/>
      <c r="B158" s="11"/>
      <c r="C158" s="10"/>
      <c r="D158" s="11"/>
      <c r="E158" s="10"/>
      <c r="F158" s="1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  <c r="W158" s="10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2.75" customHeight="1">
      <c r="A159" s="10"/>
      <c r="B159" s="11"/>
      <c r="C159" s="10"/>
      <c r="D159" s="11"/>
      <c r="E159" s="10"/>
      <c r="F159" s="1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2.75" customHeight="1">
      <c r="A160" s="10"/>
      <c r="B160" s="11"/>
      <c r="C160" s="10"/>
      <c r="D160" s="11"/>
      <c r="E160" s="10"/>
      <c r="F160" s="1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  <c r="W160" s="10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2.75" customHeight="1">
      <c r="A161" s="10"/>
      <c r="B161" s="11"/>
      <c r="C161" s="10"/>
      <c r="D161" s="11"/>
      <c r="E161" s="10"/>
      <c r="F161" s="1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/>
      <c r="V161" s="11"/>
      <c r="W161" s="10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2.75" customHeight="1">
      <c r="A162" s="10"/>
      <c r="B162" s="11"/>
      <c r="C162" s="10"/>
      <c r="D162" s="11"/>
      <c r="E162" s="10"/>
      <c r="F162" s="1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/>
      <c r="V162" s="11"/>
      <c r="W162" s="10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2.75" customHeight="1">
      <c r="A163" s="10"/>
      <c r="B163" s="11"/>
      <c r="C163" s="10"/>
      <c r="D163" s="11"/>
      <c r="E163" s="10"/>
      <c r="F163" s="1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/>
      <c r="V163" s="11"/>
      <c r="W163" s="10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2.75" customHeight="1">
      <c r="A164" s="10"/>
      <c r="B164" s="11"/>
      <c r="C164" s="10"/>
      <c r="D164" s="11"/>
      <c r="E164" s="10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  <c r="W164" s="10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2.75" customHeight="1">
      <c r="A165" s="10"/>
      <c r="B165" s="11"/>
      <c r="C165" s="10"/>
      <c r="D165" s="11"/>
      <c r="E165" s="10"/>
      <c r="F165" s="1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  <c r="W165" s="10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2.75" customHeight="1">
      <c r="A166" s="10"/>
      <c r="B166" s="11"/>
      <c r="C166" s="10"/>
      <c r="D166" s="11"/>
      <c r="E166" s="10"/>
      <c r="F166" s="1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/>
      <c r="V166" s="11"/>
      <c r="W166" s="10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2.75" customHeight="1">
      <c r="A167" s="10"/>
      <c r="B167" s="11"/>
      <c r="C167" s="10"/>
      <c r="D167" s="11"/>
      <c r="E167" s="10"/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/>
      <c r="V167" s="11"/>
      <c r="W167" s="10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2.75" customHeight="1">
      <c r="A168" s="10"/>
      <c r="B168" s="11"/>
      <c r="C168" s="10"/>
      <c r="D168" s="11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/>
      <c r="V168" s="11"/>
      <c r="W168" s="10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2.75" customHeight="1">
      <c r="A169" s="10"/>
      <c r="B169" s="11"/>
      <c r="C169" s="10"/>
      <c r="D169" s="11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/>
      <c r="V169" s="11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2.75" customHeight="1">
      <c r="A170" s="10"/>
      <c r="B170" s="11"/>
      <c r="C170" s="10"/>
      <c r="D170" s="11"/>
      <c r="E170" s="10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/>
      <c r="V170" s="11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2.75" customHeight="1">
      <c r="A171" s="10"/>
      <c r="B171" s="11"/>
      <c r="C171" s="10"/>
      <c r="D171" s="11"/>
      <c r="E171" s="10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/>
      <c r="V171" s="11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2.75" customHeight="1">
      <c r="A172" s="10"/>
      <c r="B172" s="11"/>
      <c r="C172" s="10"/>
      <c r="D172" s="11"/>
      <c r="E172" s="10"/>
      <c r="F172" s="1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/>
      <c r="V172" s="11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2.75" customHeight="1">
      <c r="A173" s="10"/>
      <c r="B173" s="11"/>
      <c r="C173" s="10"/>
      <c r="D173" s="11"/>
      <c r="E173" s="10"/>
      <c r="F173" s="1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/>
      <c r="V173" s="11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2.75" customHeight="1">
      <c r="A174" s="10"/>
      <c r="B174" s="11"/>
      <c r="C174" s="10"/>
      <c r="D174" s="11"/>
      <c r="E174" s="10"/>
      <c r="F174" s="1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/>
      <c r="V174" s="11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2.75" customHeight="1">
      <c r="A175" s="10"/>
      <c r="B175" s="11"/>
      <c r="C175" s="10"/>
      <c r="D175" s="11"/>
      <c r="E175" s="10"/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/>
      <c r="V175" s="11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2.75" customHeight="1">
      <c r="A176" s="10"/>
      <c r="B176" s="11"/>
      <c r="C176" s="10"/>
      <c r="D176" s="11"/>
      <c r="E176" s="10"/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/>
      <c r="V176" s="11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2.75" customHeight="1">
      <c r="A177" s="10"/>
      <c r="B177" s="11"/>
      <c r="C177" s="10"/>
      <c r="D177" s="11"/>
      <c r="E177" s="10"/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/>
      <c r="V177" s="11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2.75" customHeight="1">
      <c r="A178" s="10"/>
      <c r="B178" s="11"/>
      <c r="C178" s="10"/>
      <c r="D178" s="11"/>
      <c r="E178" s="10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/>
      <c r="V178" s="11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2.75" customHeight="1">
      <c r="A179" s="10"/>
      <c r="B179" s="11"/>
      <c r="C179" s="10"/>
      <c r="D179" s="11"/>
      <c r="E179" s="10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/>
      <c r="V179" s="11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2.75" customHeight="1">
      <c r="A180" s="10"/>
      <c r="B180" s="11"/>
      <c r="C180" s="10"/>
      <c r="D180" s="11"/>
      <c r="E180" s="10"/>
      <c r="F180" s="1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/>
      <c r="V180" s="11"/>
      <c r="W180" s="10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2.75" customHeight="1">
      <c r="A181" s="10"/>
      <c r="B181" s="11"/>
      <c r="C181" s="10"/>
      <c r="D181" s="11"/>
      <c r="E181" s="10"/>
      <c r="F181" s="1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/>
      <c r="V181" s="11"/>
      <c r="W181" s="10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2.75" customHeight="1">
      <c r="A182" s="10"/>
      <c r="B182" s="11"/>
      <c r="C182" s="10"/>
      <c r="D182" s="11"/>
      <c r="E182" s="10"/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/>
      <c r="V182" s="11"/>
      <c r="W182" s="10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2.75" customHeight="1">
      <c r="A183" s="10"/>
      <c r="B183" s="11"/>
      <c r="C183" s="10"/>
      <c r="D183" s="11"/>
      <c r="E183" s="10"/>
      <c r="F183" s="1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/>
      <c r="V183" s="11"/>
      <c r="W183" s="10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2.75" customHeight="1">
      <c r="A184" s="10"/>
      <c r="B184" s="11"/>
      <c r="C184" s="10"/>
      <c r="D184" s="11"/>
      <c r="E184" s="10"/>
      <c r="F184" s="1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/>
      <c r="V184" s="11"/>
      <c r="W184" s="10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2.75" customHeight="1">
      <c r="A185" s="10"/>
      <c r="B185" s="11"/>
      <c r="C185" s="10"/>
      <c r="D185" s="11"/>
      <c r="E185" s="10"/>
      <c r="F185" s="1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/>
      <c r="V185" s="11"/>
      <c r="W185" s="10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2.75" customHeight="1">
      <c r="A186" s="10"/>
      <c r="B186" s="11"/>
      <c r="C186" s="10"/>
      <c r="D186" s="11"/>
      <c r="E186" s="10"/>
      <c r="F186" s="1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/>
      <c r="V186" s="11"/>
      <c r="W186" s="10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2.75" customHeight="1">
      <c r="A187" s="10"/>
      <c r="B187" s="11"/>
      <c r="C187" s="10"/>
      <c r="D187" s="11"/>
      <c r="E187" s="10"/>
      <c r="F187" s="1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/>
      <c r="V187" s="11"/>
      <c r="W187" s="10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2.75" customHeight="1">
      <c r="A188" s="10"/>
      <c r="B188" s="11"/>
      <c r="C188" s="10"/>
      <c r="D188" s="11"/>
      <c r="E188" s="10"/>
      <c r="F188" s="1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/>
      <c r="V188" s="11"/>
      <c r="W188" s="10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2.75" customHeight="1">
      <c r="A189" s="10"/>
      <c r="B189" s="11"/>
      <c r="C189" s="10"/>
      <c r="D189" s="11"/>
      <c r="E189" s="10"/>
      <c r="F189" s="1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/>
      <c r="V189" s="11"/>
      <c r="W189" s="10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2.75" customHeight="1">
      <c r="A190" s="10"/>
      <c r="B190" s="11"/>
      <c r="C190" s="10"/>
      <c r="D190" s="11"/>
      <c r="E190" s="10"/>
      <c r="F190" s="1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/>
      <c r="V190" s="11"/>
      <c r="W190" s="10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2.75" customHeight="1">
      <c r="A191" s="10"/>
      <c r="B191" s="11"/>
      <c r="C191" s="10"/>
      <c r="D191" s="11"/>
      <c r="E191" s="10"/>
      <c r="F191" s="1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/>
      <c r="V191" s="11"/>
      <c r="W191" s="10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2.75" customHeight="1">
      <c r="A192" s="10"/>
      <c r="B192" s="11"/>
      <c r="C192" s="10"/>
      <c r="D192" s="11"/>
      <c r="E192" s="10"/>
      <c r="F192" s="1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/>
      <c r="V192" s="11"/>
      <c r="W192" s="10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2.75" customHeight="1">
      <c r="A193" s="10"/>
      <c r="B193" s="11"/>
      <c r="C193" s="10"/>
      <c r="D193" s="11"/>
      <c r="E193" s="10"/>
      <c r="F193" s="1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/>
      <c r="V193" s="11"/>
      <c r="W193" s="10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2.75" customHeight="1">
      <c r="A194" s="10"/>
      <c r="B194" s="11"/>
      <c r="C194" s="10"/>
      <c r="D194" s="11"/>
      <c r="E194" s="10"/>
      <c r="F194" s="1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/>
      <c r="V194" s="11"/>
      <c r="W194" s="10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2.75" customHeight="1">
      <c r="A195" s="10"/>
      <c r="B195" s="11"/>
      <c r="C195" s="10"/>
      <c r="D195" s="11"/>
      <c r="E195" s="10"/>
      <c r="F195" s="1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/>
      <c r="V195" s="11"/>
      <c r="W195" s="10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2.75" customHeight="1">
      <c r="A196" s="10"/>
      <c r="B196" s="11"/>
      <c r="C196" s="10"/>
      <c r="D196" s="11"/>
      <c r="E196" s="10"/>
      <c r="F196" s="1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/>
      <c r="V196" s="11"/>
      <c r="W196" s="10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2.75" customHeight="1">
      <c r="A197" s="10"/>
      <c r="B197" s="11"/>
      <c r="C197" s="10"/>
      <c r="D197" s="11"/>
      <c r="E197" s="10"/>
      <c r="F197" s="1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/>
      <c r="V197" s="11"/>
      <c r="W197" s="10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2.75" customHeight="1">
      <c r="A198" s="10"/>
      <c r="B198" s="11"/>
      <c r="C198" s="10"/>
      <c r="D198" s="11"/>
      <c r="E198" s="10"/>
      <c r="F198" s="1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/>
      <c r="V198" s="11"/>
      <c r="W198" s="10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2.75" customHeight="1">
      <c r="A199" s="10"/>
      <c r="B199" s="11"/>
      <c r="C199" s="10"/>
      <c r="D199" s="11"/>
      <c r="E199" s="10"/>
      <c r="F199" s="1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/>
      <c r="V199" s="11"/>
      <c r="W199" s="10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2.75" customHeight="1">
      <c r="A200" s="10"/>
      <c r="B200" s="11"/>
      <c r="C200" s="10"/>
      <c r="D200" s="11"/>
      <c r="E200" s="10"/>
      <c r="F200" s="1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/>
      <c r="V200" s="11"/>
      <c r="W200" s="10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2.75" customHeight="1">
      <c r="A201" s="10"/>
      <c r="B201" s="11"/>
      <c r="C201" s="10"/>
      <c r="D201" s="11"/>
      <c r="E201" s="10"/>
      <c r="F201" s="1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/>
      <c r="V201" s="11"/>
      <c r="W201" s="10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2.75" customHeight="1">
      <c r="A202" s="10"/>
      <c r="B202" s="11"/>
      <c r="C202" s="10"/>
      <c r="D202" s="11"/>
      <c r="E202" s="10"/>
      <c r="F202" s="1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/>
      <c r="V202" s="11"/>
      <c r="W202" s="10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2.75" customHeight="1">
      <c r="A203" s="10"/>
      <c r="B203" s="11"/>
      <c r="C203" s="10"/>
      <c r="D203" s="11"/>
      <c r="E203" s="10"/>
      <c r="F203" s="1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0"/>
      <c r="V203" s="11"/>
      <c r="W203" s="10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2.75" customHeight="1">
      <c r="A204" s="10"/>
      <c r="B204" s="11"/>
      <c r="C204" s="10"/>
      <c r="D204" s="11"/>
      <c r="E204" s="10"/>
      <c r="F204" s="1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0"/>
      <c r="V204" s="11"/>
      <c r="W204" s="10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2.75" customHeight="1">
      <c r="A205" s="10"/>
      <c r="B205" s="11"/>
      <c r="C205" s="10"/>
      <c r="D205" s="11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0"/>
      <c r="V205" s="11"/>
      <c r="W205" s="10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2.75" customHeight="1">
      <c r="A206" s="10"/>
      <c r="B206" s="11"/>
      <c r="C206" s="10"/>
      <c r="D206" s="11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0"/>
      <c r="V206" s="11"/>
      <c r="W206" s="10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2.75" customHeight="1">
      <c r="A207" s="10"/>
      <c r="B207" s="11"/>
      <c r="C207" s="10"/>
      <c r="D207" s="11"/>
      <c r="E207" s="10"/>
      <c r="F207" s="1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0"/>
      <c r="V207" s="11"/>
      <c r="W207" s="10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2.75" customHeight="1">
      <c r="A208" s="10"/>
      <c r="B208" s="11"/>
      <c r="C208" s="10"/>
      <c r="D208" s="11"/>
      <c r="E208" s="10"/>
      <c r="F208" s="1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0"/>
      <c r="V208" s="11"/>
      <c r="W208" s="10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2.75" customHeight="1">
      <c r="A209" s="10"/>
      <c r="B209" s="11"/>
      <c r="C209" s="10"/>
      <c r="D209" s="11"/>
      <c r="E209" s="10"/>
      <c r="F209" s="1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0"/>
      <c r="V209" s="11"/>
      <c r="W209" s="10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2.75" customHeight="1">
      <c r="A210" s="10"/>
      <c r="B210" s="11"/>
      <c r="C210" s="10"/>
      <c r="D210" s="11"/>
      <c r="E210" s="10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0"/>
      <c r="V210" s="11"/>
      <c r="W210" s="10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2.75" customHeight="1">
      <c r="A211" s="10"/>
      <c r="B211" s="11"/>
      <c r="C211" s="10"/>
      <c r="D211" s="11"/>
      <c r="E211" s="10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0"/>
      <c r="V211" s="11"/>
      <c r="W211" s="10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2.75" customHeight="1">
      <c r="A212" s="10"/>
      <c r="B212" s="11"/>
      <c r="C212" s="10"/>
      <c r="D212" s="11"/>
      <c r="E212" s="10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0"/>
      <c r="V212" s="11"/>
      <c r="W212" s="10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2.75" customHeight="1">
      <c r="A213" s="10"/>
      <c r="B213" s="11"/>
      <c r="C213" s="10"/>
      <c r="D213" s="11"/>
      <c r="E213" s="10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0"/>
      <c r="V213" s="11"/>
      <c r="W213" s="10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2.75" customHeight="1">
      <c r="A214" s="10"/>
      <c r="B214" s="11"/>
      <c r="C214" s="10"/>
      <c r="D214" s="11"/>
      <c r="E214" s="10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0"/>
      <c r="V214" s="11"/>
      <c r="W214" s="10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2.75" customHeight="1">
      <c r="A215" s="10"/>
      <c r="B215" s="11"/>
      <c r="C215" s="10"/>
      <c r="D215" s="11"/>
      <c r="E215" s="10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0"/>
      <c r="V215" s="11"/>
      <c r="W215" s="10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2.75" customHeight="1">
      <c r="A216" s="10"/>
      <c r="B216" s="11"/>
      <c r="C216" s="10"/>
      <c r="D216" s="11"/>
      <c r="E216" s="10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0"/>
      <c r="V216" s="11"/>
      <c r="W216" s="10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2.75" customHeight="1">
      <c r="A217" s="10"/>
      <c r="B217" s="11"/>
      <c r="C217" s="10"/>
      <c r="D217" s="11"/>
      <c r="E217" s="10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0"/>
      <c r="V217" s="11"/>
      <c r="W217" s="10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2.75" customHeight="1">
      <c r="A218" s="10"/>
      <c r="B218" s="11"/>
      <c r="C218" s="10"/>
      <c r="D218" s="11"/>
      <c r="E218" s="10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0"/>
      <c r="V218" s="11"/>
      <c r="W218" s="10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2.75" customHeight="1">
      <c r="A219" s="10"/>
      <c r="B219" s="11"/>
      <c r="C219" s="10"/>
      <c r="D219" s="11"/>
      <c r="E219" s="10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0"/>
      <c r="V219" s="11"/>
      <c r="W219" s="10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2.75" customHeight="1">
      <c r="A220" s="10"/>
      <c r="B220" s="11"/>
      <c r="C220" s="10"/>
      <c r="D220" s="11"/>
      <c r="E220" s="10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0"/>
      <c r="V220" s="11"/>
      <c r="W220" s="10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2.75" customHeight="1">
      <c r="A221" s="10"/>
      <c r="B221" s="11"/>
      <c r="C221" s="10"/>
      <c r="D221" s="11"/>
      <c r="E221" s="10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0"/>
      <c r="V221" s="11"/>
      <c r="W221" s="10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2.75" customHeight="1">
      <c r="A222" s="10"/>
      <c r="B222" s="11"/>
      <c r="C222" s="10"/>
      <c r="D222" s="11"/>
      <c r="E222" s="10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0"/>
      <c r="V222" s="11"/>
      <c r="W222" s="10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2.75" customHeight="1">
      <c r="A223" s="10"/>
      <c r="B223" s="11"/>
      <c r="C223" s="10"/>
      <c r="D223" s="11"/>
      <c r="E223" s="10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0"/>
      <c r="V223" s="11"/>
      <c r="W223" s="10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2.75" customHeight="1">
      <c r="A224" s="10"/>
      <c r="B224" s="11"/>
      <c r="C224" s="10"/>
      <c r="D224" s="11"/>
      <c r="E224" s="10"/>
      <c r="F224" s="1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0"/>
      <c r="V224" s="11"/>
      <c r="W224" s="10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2.75" customHeight="1">
      <c r="A225" s="10"/>
      <c r="B225" s="11"/>
      <c r="C225" s="10"/>
      <c r="D225" s="11"/>
      <c r="E225" s="10"/>
      <c r="F225" s="1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0"/>
      <c r="V225" s="11"/>
      <c r="W225" s="10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2.75" customHeight="1">
      <c r="A226" s="10"/>
      <c r="B226" s="11"/>
      <c r="C226" s="10"/>
      <c r="D226" s="11"/>
      <c r="E226" s="10"/>
      <c r="F226" s="1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0"/>
      <c r="V226" s="11"/>
      <c r="W226" s="10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2.75" customHeight="1">
      <c r="A227" s="10"/>
      <c r="B227" s="11"/>
      <c r="C227" s="10"/>
      <c r="D227" s="11"/>
      <c r="E227" s="10"/>
      <c r="F227" s="1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0"/>
      <c r="V227" s="11"/>
      <c r="W227" s="10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2.75" customHeight="1">
      <c r="A228" s="10"/>
      <c r="B228" s="11"/>
      <c r="C228" s="10"/>
      <c r="D228" s="11"/>
      <c r="E228" s="10"/>
      <c r="F228" s="1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0"/>
      <c r="V228" s="11"/>
      <c r="W228" s="10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2.75" customHeight="1">
      <c r="A229" s="10"/>
      <c r="B229" s="11"/>
      <c r="C229" s="10"/>
      <c r="D229" s="11"/>
      <c r="E229" s="10"/>
      <c r="F229" s="1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0"/>
      <c r="V229" s="11"/>
      <c r="W229" s="10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2.75" customHeight="1">
      <c r="A230" s="10"/>
      <c r="B230" s="11"/>
      <c r="C230" s="10"/>
      <c r="D230" s="11"/>
      <c r="E230" s="10"/>
      <c r="F230" s="1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0"/>
      <c r="V230" s="11"/>
      <c r="W230" s="10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2.75" customHeight="1">
      <c r="A231" s="10"/>
      <c r="B231" s="11"/>
      <c r="C231" s="10"/>
      <c r="D231" s="11"/>
      <c r="E231" s="10"/>
      <c r="F231" s="1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0"/>
      <c r="V231" s="11"/>
      <c r="W231" s="10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2.75" customHeight="1">
      <c r="A232" s="10"/>
      <c r="B232" s="11"/>
      <c r="C232" s="10"/>
      <c r="D232" s="11"/>
      <c r="E232" s="10"/>
      <c r="F232" s="1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0"/>
      <c r="V232" s="11"/>
      <c r="W232" s="10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2.75" customHeight="1">
      <c r="A233" s="10"/>
      <c r="B233" s="11"/>
      <c r="C233" s="10"/>
      <c r="D233" s="11"/>
      <c r="E233" s="10"/>
      <c r="F233" s="1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0"/>
      <c r="V233" s="11"/>
      <c r="W233" s="10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2.75" customHeight="1">
      <c r="A234" s="10"/>
      <c r="B234" s="11"/>
      <c r="C234" s="10"/>
      <c r="D234" s="11"/>
      <c r="E234" s="10"/>
      <c r="F234" s="1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0"/>
      <c r="V234" s="11"/>
      <c r="W234" s="10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2.75" customHeight="1">
      <c r="A235" s="10"/>
      <c r="B235" s="11"/>
      <c r="C235" s="10"/>
      <c r="D235" s="11"/>
      <c r="E235" s="10"/>
      <c r="F235" s="1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0"/>
      <c r="V235" s="11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2.75" customHeight="1">
      <c r="A236" s="10"/>
      <c r="B236" s="11"/>
      <c r="C236" s="10"/>
      <c r="D236" s="11"/>
      <c r="E236" s="10"/>
      <c r="F236" s="1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0"/>
      <c r="V236" s="11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2.75" customHeight="1">
      <c r="A237" s="10"/>
      <c r="B237" s="11"/>
      <c r="C237" s="10"/>
      <c r="D237" s="11"/>
      <c r="E237" s="10"/>
      <c r="F237" s="1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0"/>
      <c r="V237" s="11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2.75" customHeight="1">
      <c r="A238" s="10"/>
      <c r="B238" s="11"/>
      <c r="C238" s="10"/>
      <c r="D238" s="11"/>
      <c r="E238" s="10"/>
      <c r="F238" s="1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0"/>
      <c r="V238" s="11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2.75" customHeight="1">
      <c r="A239" s="10"/>
      <c r="B239" s="11"/>
      <c r="C239" s="10"/>
      <c r="D239" s="11"/>
      <c r="E239" s="10"/>
      <c r="F239" s="1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0"/>
      <c r="V239" s="11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2.75" customHeight="1">
      <c r="A240" s="10"/>
      <c r="B240" s="11"/>
      <c r="C240" s="10"/>
      <c r="D240" s="11"/>
      <c r="E240" s="10"/>
      <c r="F240" s="1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0"/>
      <c r="V240" s="11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2.75" customHeight="1">
      <c r="A241" s="10"/>
      <c r="B241" s="11"/>
      <c r="C241" s="10"/>
      <c r="D241" s="11"/>
      <c r="E241" s="10"/>
      <c r="F241" s="1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0"/>
      <c r="V241" s="11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2.75" customHeight="1">
      <c r="A242" s="10"/>
      <c r="B242" s="11"/>
      <c r="C242" s="10"/>
      <c r="D242" s="11"/>
      <c r="E242" s="10"/>
      <c r="F242" s="1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0"/>
      <c r="V242" s="11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2.75" customHeight="1">
      <c r="A243" s="10"/>
      <c r="B243" s="11"/>
      <c r="C243" s="10"/>
      <c r="D243" s="11"/>
      <c r="E243" s="10"/>
      <c r="F243" s="1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0"/>
      <c r="V243" s="11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2.75" customHeight="1">
      <c r="A244" s="10"/>
      <c r="B244" s="11"/>
      <c r="C244" s="10"/>
      <c r="D244" s="11"/>
      <c r="E244" s="10"/>
      <c r="F244" s="1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0"/>
      <c r="V244" s="11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2.75" customHeight="1">
      <c r="A245" s="10"/>
      <c r="B245" s="11"/>
      <c r="C245" s="10"/>
      <c r="D245" s="11"/>
      <c r="E245" s="10"/>
      <c r="F245" s="1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0"/>
      <c r="V245" s="11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2.75" customHeight="1">
      <c r="A246" s="10"/>
      <c r="B246" s="11"/>
      <c r="C246" s="10"/>
      <c r="D246" s="11"/>
      <c r="E246" s="10"/>
      <c r="F246" s="1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0"/>
      <c r="V246" s="11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2.75" customHeight="1">
      <c r="A247" s="10"/>
      <c r="B247" s="11"/>
      <c r="C247" s="10"/>
      <c r="D247" s="11"/>
      <c r="E247" s="10"/>
      <c r="F247" s="1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0"/>
      <c r="V247" s="11"/>
      <c r="W247" s="10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2.75" customHeight="1">
      <c r="A248" s="10"/>
      <c r="B248" s="11"/>
      <c r="C248" s="10"/>
      <c r="D248" s="11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0"/>
      <c r="V248" s="11"/>
      <c r="W248" s="10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2.75" customHeight="1">
      <c r="A249" s="10"/>
      <c r="B249" s="11"/>
      <c r="C249" s="10"/>
      <c r="D249" s="11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0"/>
      <c r="V249" s="11"/>
      <c r="W249" s="10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2.75" customHeight="1">
      <c r="A250" s="10"/>
      <c r="B250" s="11"/>
      <c r="C250" s="10"/>
      <c r="D250" s="11"/>
      <c r="E250" s="10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0"/>
      <c r="V250" s="11"/>
      <c r="W250" s="10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2.75" customHeight="1">
      <c r="A251" s="10"/>
      <c r="B251" s="11"/>
      <c r="C251" s="10"/>
      <c r="D251" s="11"/>
      <c r="E251" s="10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0"/>
      <c r="V251" s="11"/>
      <c r="W251" s="10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2.75" customHeight="1">
      <c r="A252" s="10"/>
      <c r="B252" s="11"/>
      <c r="C252" s="10"/>
      <c r="D252" s="11"/>
      <c r="E252" s="10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0"/>
      <c r="V252" s="11"/>
      <c r="W252" s="10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2.75" customHeight="1">
      <c r="A253" s="10"/>
      <c r="B253" s="11"/>
      <c r="C253" s="10"/>
      <c r="D253" s="11"/>
      <c r="E253" s="10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0"/>
      <c r="V253" s="11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2.75" customHeight="1">
      <c r="A254" s="10"/>
      <c r="B254" s="11"/>
      <c r="C254" s="10"/>
      <c r="D254" s="11"/>
      <c r="E254" s="10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0"/>
      <c r="V254" s="11"/>
      <c r="W254" s="10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2.75" customHeight="1">
      <c r="A255" s="10"/>
      <c r="B255" s="11"/>
      <c r="C255" s="10"/>
      <c r="D255" s="11"/>
      <c r="E255" s="10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0"/>
      <c r="V255" s="11"/>
      <c r="W255" s="10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2.75" customHeight="1">
      <c r="A256" s="10"/>
      <c r="B256" s="11"/>
      <c r="C256" s="10"/>
      <c r="D256" s="11"/>
      <c r="E256" s="10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0"/>
      <c r="V256" s="11"/>
      <c r="W256" s="10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2.75" customHeight="1">
      <c r="A257" s="10"/>
      <c r="B257" s="11"/>
      <c r="C257" s="10"/>
      <c r="D257" s="11"/>
      <c r="E257" s="10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0"/>
      <c r="V257" s="11"/>
      <c r="W257" s="10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2.75" customHeight="1">
      <c r="A258" s="10"/>
      <c r="B258" s="11"/>
      <c r="C258" s="10"/>
      <c r="D258" s="11"/>
      <c r="E258" s="10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0"/>
      <c r="V258" s="11"/>
      <c r="W258" s="10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2.75" customHeight="1">
      <c r="A259" s="10"/>
      <c r="B259" s="11"/>
      <c r="C259" s="10"/>
      <c r="D259" s="11"/>
      <c r="E259" s="10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0"/>
      <c r="V259" s="11"/>
      <c r="W259" s="10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2.75" customHeight="1">
      <c r="A260" s="10"/>
      <c r="B260" s="11"/>
      <c r="C260" s="10"/>
      <c r="D260" s="11"/>
      <c r="E260" s="10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0"/>
      <c r="V260" s="11"/>
      <c r="W260" s="10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2.75" customHeight="1">
      <c r="A261" s="10"/>
      <c r="B261" s="11"/>
      <c r="C261" s="10"/>
      <c r="D261" s="11"/>
      <c r="E261" s="10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0"/>
      <c r="V261" s="11"/>
      <c r="W261" s="10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2.75" customHeight="1">
      <c r="A262" s="10"/>
      <c r="B262" s="11"/>
      <c r="C262" s="10"/>
      <c r="D262" s="11"/>
      <c r="E262" s="10"/>
      <c r="F262" s="1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0"/>
      <c r="V262" s="11"/>
      <c r="W262" s="10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2.75" customHeight="1">
      <c r="A263" s="10"/>
      <c r="B263" s="11"/>
      <c r="C263" s="10"/>
      <c r="D263" s="11"/>
      <c r="E263" s="10"/>
      <c r="F263" s="1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0"/>
      <c r="V263" s="11"/>
      <c r="W263" s="10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2.75" customHeight="1">
      <c r="A264" s="10"/>
      <c r="B264" s="11"/>
      <c r="C264" s="10"/>
      <c r="D264" s="11"/>
      <c r="E264" s="10"/>
      <c r="F264" s="1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0"/>
      <c r="V264" s="11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2.75" customHeight="1">
      <c r="A265" s="10"/>
      <c r="B265" s="11"/>
      <c r="C265" s="10"/>
      <c r="D265" s="11"/>
      <c r="E265" s="10"/>
      <c r="F265" s="1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0"/>
      <c r="V265" s="11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2.75" customHeight="1">
      <c r="A266" s="10"/>
      <c r="B266" s="11"/>
      <c r="C266" s="10"/>
      <c r="D266" s="11"/>
      <c r="E266" s="10"/>
      <c r="F266" s="1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0"/>
      <c r="V266" s="11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2.75" customHeight="1">
      <c r="A267" s="10"/>
      <c r="B267" s="11"/>
      <c r="C267" s="10"/>
      <c r="D267" s="11"/>
      <c r="E267" s="10"/>
      <c r="F267" s="1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0"/>
      <c r="V267" s="11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2.75" customHeight="1">
      <c r="A268" s="10"/>
      <c r="B268" s="11"/>
      <c r="C268" s="10"/>
      <c r="D268" s="11"/>
      <c r="E268" s="10"/>
      <c r="F268" s="1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0"/>
      <c r="V268" s="11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2.75" customHeight="1">
      <c r="A269" s="10"/>
      <c r="B269" s="11"/>
      <c r="C269" s="10"/>
      <c r="D269" s="11"/>
      <c r="E269" s="10"/>
      <c r="F269" s="1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0"/>
      <c r="V269" s="11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2.75" customHeight="1">
      <c r="A270" s="10"/>
      <c r="B270" s="11"/>
      <c r="C270" s="10"/>
      <c r="D270" s="11"/>
      <c r="E270" s="10"/>
      <c r="F270" s="1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0"/>
      <c r="V270" s="11"/>
      <c r="W270" s="10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2.75" customHeight="1">
      <c r="A271" s="10"/>
      <c r="B271" s="11"/>
      <c r="C271" s="10"/>
      <c r="D271" s="11"/>
      <c r="E271" s="10"/>
      <c r="F271" s="1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0"/>
      <c r="V271" s="11"/>
      <c r="W271" s="10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2.75" customHeight="1">
      <c r="A272" s="10"/>
      <c r="B272" s="11"/>
      <c r="C272" s="10"/>
      <c r="D272" s="11"/>
      <c r="E272" s="10"/>
      <c r="F272" s="1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0"/>
      <c r="V272" s="11"/>
      <c r="W272" s="10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2.75" customHeight="1">
      <c r="A273" s="10"/>
      <c r="B273" s="11"/>
      <c r="C273" s="10"/>
      <c r="D273" s="11"/>
      <c r="E273" s="10"/>
      <c r="F273" s="1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0"/>
      <c r="V273" s="11"/>
      <c r="W273" s="10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2.75" customHeight="1">
      <c r="A274" s="10"/>
      <c r="B274" s="11"/>
      <c r="C274" s="10"/>
      <c r="D274" s="11"/>
      <c r="E274" s="10"/>
      <c r="F274" s="1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0"/>
      <c r="V274" s="11"/>
      <c r="W274" s="10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2.75" customHeight="1">
      <c r="A275" s="10"/>
      <c r="B275" s="11"/>
      <c r="C275" s="10"/>
      <c r="D275" s="11"/>
      <c r="E275" s="10"/>
      <c r="F275" s="1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0"/>
      <c r="V275" s="11"/>
      <c r="W275" s="10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2.75" customHeight="1">
      <c r="A276" s="10"/>
      <c r="B276" s="11"/>
      <c r="C276" s="10"/>
      <c r="D276" s="11"/>
      <c r="E276" s="10"/>
      <c r="F276" s="1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0"/>
      <c r="V276" s="11"/>
      <c r="W276" s="10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2.75" customHeight="1">
      <c r="A277" s="10"/>
      <c r="B277" s="11"/>
      <c r="C277" s="10"/>
      <c r="D277" s="11"/>
      <c r="E277" s="10"/>
      <c r="F277" s="1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0"/>
      <c r="V277" s="11"/>
      <c r="W277" s="10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2.75" customHeight="1">
      <c r="A278" s="10"/>
      <c r="B278" s="11"/>
      <c r="C278" s="10"/>
      <c r="D278" s="11"/>
      <c r="E278" s="10"/>
      <c r="F278" s="1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0"/>
      <c r="V278" s="11"/>
      <c r="W278" s="10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2.75" customHeight="1">
      <c r="A279" s="10"/>
      <c r="B279" s="11"/>
      <c r="C279" s="10"/>
      <c r="D279" s="11"/>
      <c r="E279" s="10"/>
      <c r="F279" s="1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0"/>
      <c r="V279" s="11"/>
      <c r="W279" s="10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2.75" customHeight="1">
      <c r="A280" s="10"/>
      <c r="B280" s="11"/>
      <c r="C280" s="10"/>
      <c r="D280" s="11"/>
      <c r="E280" s="10"/>
      <c r="F280" s="1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0"/>
      <c r="V280" s="11"/>
      <c r="W280" s="10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2.75" customHeight="1">
      <c r="A281" s="10"/>
      <c r="B281" s="11"/>
      <c r="C281" s="10"/>
      <c r="D281" s="11"/>
      <c r="E281" s="10"/>
      <c r="F281" s="1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0"/>
      <c r="V281" s="11"/>
      <c r="W281" s="10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2.75" customHeight="1">
      <c r="A282" s="10"/>
      <c r="B282" s="11"/>
      <c r="C282" s="10"/>
      <c r="D282" s="11"/>
      <c r="E282" s="10"/>
      <c r="F282" s="1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0"/>
      <c r="V282" s="11"/>
      <c r="W282" s="10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2.75" customHeight="1">
      <c r="A283" s="10"/>
      <c r="B283" s="11"/>
      <c r="C283" s="10"/>
      <c r="D283" s="11"/>
      <c r="E283" s="10"/>
      <c r="F283" s="1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0"/>
      <c r="V283" s="11"/>
      <c r="W283" s="10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2.75" customHeight="1">
      <c r="A284" s="10"/>
      <c r="B284" s="11"/>
      <c r="C284" s="10"/>
      <c r="D284" s="11"/>
      <c r="E284" s="10"/>
      <c r="F284" s="1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0"/>
      <c r="V284" s="11"/>
      <c r="W284" s="10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2.75" customHeight="1">
      <c r="A285" s="10"/>
      <c r="B285" s="11"/>
      <c r="C285" s="10"/>
      <c r="D285" s="11"/>
      <c r="E285" s="10"/>
      <c r="F285" s="1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0"/>
      <c r="V285" s="11"/>
      <c r="W285" s="10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2.75" customHeight="1">
      <c r="A286" s="10"/>
      <c r="B286" s="11"/>
      <c r="C286" s="10"/>
      <c r="D286" s="11"/>
      <c r="E286" s="10"/>
      <c r="F286" s="1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0"/>
      <c r="V286" s="11"/>
      <c r="W286" s="10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2.75" customHeight="1">
      <c r="A287" s="10"/>
      <c r="B287" s="11"/>
      <c r="C287" s="10"/>
      <c r="D287" s="11"/>
      <c r="E287" s="10"/>
      <c r="F287" s="1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0"/>
      <c r="V287" s="11"/>
      <c r="W287" s="10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2.75" customHeight="1">
      <c r="A288" s="10"/>
      <c r="B288" s="11"/>
      <c r="C288" s="10"/>
      <c r="D288" s="11"/>
      <c r="E288" s="10"/>
      <c r="F288" s="1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0"/>
      <c r="V288" s="11"/>
      <c r="W288" s="10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2.75" customHeight="1">
      <c r="A289" s="10"/>
      <c r="B289" s="11"/>
      <c r="C289" s="10"/>
      <c r="D289" s="11"/>
      <c r="E289" s="10"/>
      <c r="F289" s="1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0"/>
      <c r="V289" s="11"/>
      <c r="W289" s="10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2.75" customHeight="1">
      <c r="A290" s="10"/>
      <c r="B290" s="11"/>
      <c r="C290" s="10"/>
      <c r="D290" s="11"/>
      <c r="E290" s="10"/>
      <c r="F290" s="1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0"/>
      <c r="V290" s="11"/>
      <c r="W290" s="10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2.75" customHeight="1">
      <c r="A291" s="10"/>
      <c r="B291" s="11"/>
      <c r="C291" s="10"/>
      <c r="D291" s="11"/>
      <c r="E291" s="10"/>
      <c r="F291" s="1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0"/>
      <c r="V291" s="11"/>
      <c r="W291" s="10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2.75" customHeight="1">
      <c r="A292" s="10"/>
      <c r="B292" s="11"/>
      <c r="C292" s="10"/>
      <c r="D292" s="11"/>
      <c r="E292" s="10"/>
      <c r="F292" s="1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0"/>
      <c r="V292" s="11"/>
      <c r="W292" s="10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2.75" customHeight="1">
      <c r="A293" s="10"/>
      <c r="B293" s="11"/>
      <c r="C293" s="10"/>
      <c r="D293" s="11"/>
      <c r="E293" s="10"/>
      <c r="F293" s="1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0"/>
      <c r="V293" s="11"/>
      <c r="W293" s="10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2.75" customHeight="1">
      <c r="A294" s="10"/>
      <c r="B294" s="11"/>
      <c r="C294" s="10"/>
      <c r="D294" s="11"/>
      <c r="E294" s="10"/>
      <c r="F294" s="1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0"/>
      <c r="V294" s="11"/>
      <c r="W294" s="10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2.75" customHeight="1">
      <c r="A295" s="10"/>
      <c r="B295" s="11"/>
      <c r="C295" s="10"/>
      <c r="D295" s="11"/>
      <c r="E295" s="10"/>
      <c r="F295" s="1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0"/>
      <c r="V295" s="11"/>
      <c r="W295" s="10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2.75" customHeight="1">
      <c r="A296" s="10"/>
      <c r="B296" s="11"/>
      <c r="C296" s="10"/>
      <c r="D296" s="11"/>
      <c r="E296" s="10"/>
      <c r="F296" s="1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0"/>
      <c r="V296" s="11"/>
      <c r="W296" s="10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2.75" customHeight="1">
      <c r="A297" s="10"/>
      <c r="B297" s="11"/>
      <c r="C297" s="10"/>
      <c r="D297" s="11"/>
      <c r="E297" s="10"/>
      <c r="F297" s="1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0"/>
      <c r="V297" s="11"/>
      <c r="W297" s="10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2.75" customHeight="1">
      <c r="A298" s="10"/>
      <c r="B298" s="11"/>
      <c r="C298" s="10"/>
      <c r="D298" s="11"/>
      <c r="E298" s="10"/>
      <c r="F298" s="1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0"/>
      <c r="V298" s="11"/>
      <c r="W298" s="10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2.75" customHeight="1">
      <c r="A299" s="10"/>
      <c r="B299" s="11"/>
      <c r="C299" s="10"/>
      <c r="D299" s="11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0"/>
      <c r="V299" s="11"/>
      <c r="W299" s="10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2.75" customHeight="1">
      <c r="A300" s="10"/>
      <c r="B300" s="11"/>
      <c r="C300" s="10"/>
      <c r="D300" s="11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0"/>
      <c r="V300" s="11"/>
      <c r="W300" s="10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2.75" customHeight="1">
      <c r="A301" s="10"/>
      <c r="B301" s="11"/>
      <c r="C301" s="10"/>
      <c r="D301" s="11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0"/>
      <c r="V301" s="11"/>
      <c r="W301" s="10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2.75" customHeight="1">
      <c r="A302" s="10"/>
      <c r="B302" s="11"/>
      <c r="C302" s="10"/>
      <c r="D302" s="11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0"/>
      <c r="V302" s="11"/>
      <c r="W302" s="10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2.75" customHeight="1">
      <c r="A303" s="10"/>
      <c r="B303" s="11"/>
      <c r="C303" s="10"/>
      <c r="D303" s="11"/>
      <c r="E303" s="10"/>
      <c r="F303" s="1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0"/>
      <c r="V303" s="11"/>
      <c r="W303" s="10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2.75" customHeight="1">
      <c r="A304" s="10"/>
      <c r="B304" s="11"/>
      <c r="C304" s="10"/>
      <c r="D304" s="11"/>
      <c r="E304" s="10"/>
      <c r="F304" s="1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0"/>
      <c r="V304" s="11"/>
      <c r="W304" s="10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2.75" customHeight="1">
      <c r="A305" s="10"/>
      <c r="B305" s="11"/>
      <c r="C305" s="10"/>
      <c r="D305" s="11"/>
      <c r="E305" s="10"/>
      <c r="F305" s="1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0"/>
      <c r="V305" s="11"/>
      <c r="W305" s="10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2.75" customHeight="1">
      <c r="A306" s="10"/>
      <c r="B306" s="11"/>
      <c r="C306" s="10"/>
      <c r="D306" s="11"/>
      <c r="E306" s="10"/>
      <c r="F306" s="1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/>
      <c r="V306" s="11"/>
      <c r="W306" s="10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2.75" customHeight="1">
      <c r="A307" s="10"/>
      <c r="B307" s="11"/>
      <c r="C307" s="10"/>
      <c r="D307" s="11"/>
      <c r="E307" s="10"/>
      <c r="F307" s="1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0"/>
      <c r="V307" s="11"/>
      <c r="W307" s="10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2.75" customHeight="1">
      <c r="A308" s="10"/>
      <c r="B308" s="11"/>
      <c r="C308" s="10"/>
      <c r="D308" s="11"/>
      <c r="E308" s="10"/>
      <c r="F308" s="1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0"/>
      <c r="V308" s="11"/>
      <c r="W308" s="10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2.75" customHeight="1">
      <c r="A309" s="10"/>
      <c r="B309" s="11"/>
      <c r="C309" s="10"/>
      <c r="D309" s="11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0"/>
      <c r="V309" s="11"/>
      <c r="W309" s="10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2.75" customHeight="1">
      <c r="A310" s="10"/>
      <c r="B310" s="11"/>
      <c r="C310" s="10"/>
      <c r="D310" s="11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0"/>
      <c r="V310" s="11"/>
      <c r="W310" s="10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2.75" customHeight="1">
      <c r="A311" s="10"/>
      <c r="B311" s="11"/>
      <c r="C311" s="10"/>
      <c r="D311" s="11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0"/>
      <c r="V311" s="11"/>
      <c r="W311" s="10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2.75" customHeight="1">
      <c r="A312" s="10"/>
      <c r="B312" s="11"/>
      <c r="C312" s="10"/>
      <c r="D312" s="11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0"/>
      <c r="V312" s="11"/>
      <c r="W312" s="10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2.75" customHeight="1">
      <c r="A313" s="10"/>
      <c r="B313" s="11"/>
      <c r="C313" s="10"/>
      <c r="D313" s="11"/>
      <c r="E313" s="10"/>
      <c r="F313" s="1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0"/>
      <c r="V313" s="11"/>
      <c r="W313" s="10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2.75" customHeight="1">
      <c r="A314" s="10"/>
      <c r="B314" s="11"/>
      <c r="C314" s="10"/>
      <c r="D314" s="11"/>
      <c r="E314" s="10"/>
      <c r="F314" s="1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0"/>
      <c r="V314" s="11"/>
      <c r="W314" s="10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2.75" customHeight="1">
      <c r="A315" s="10"/>
      <c r="B315" s="11"/>
      <c r="C315" s="10"/>
      <c r="D315" s="11"/>
      <c r="E315" s="10"/>
      <c r="F315" s="1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0"/>
      <c r="V315" s="11"/>
      <c r="W315" s="10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2.75" customHeight="1">
      <c r="A316" s="10"/>
      <c r="B316" s="11"/>
      <c r="C316" s="10"/>
      <c r="D316" s="11"/>
      <c r="E316" s="10"/>
      <c r="F316" s="1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/>
      <c r="V316" s="11"/>
      <c r="W316" s="10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2.75" customHeight="1">
      <c r="A317" s="10"/>
      <c r="B317" s="11"/>
      <c r="C317" s="10"/>
      <c r="D317" s="11"/>
      <c r="E317" s="10"/>
      <c r="F317" s="1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0"/>
      <c r="V317" s="11"/>
      <c r="W317" s="10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2.75" customHeight="1">
      <c r="A318" s="10"/>
      <c r="B318" s="11"/>
      <c r="C318" s="10"/>
      <c r="D318" s="11"/>
      <c r="E318" s="10"/>
      <c r="F318" s="1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0"/>
      <c r="V318" s="11"/>
      <c r="W318" s="10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2.75" customHeight="1">
      <c r="A319" s="10"/>
      <c r="B319" s="11"/>
      <c r="C319" s="10"/>
      <c r="D319" s="11"/>
      <c r="E319" s="10"/>
      <c r="F319" s="1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0"/>
      <c r="V319" s="11"/>
      <c r="W319" s="10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2.75" customHeight="1">
      <c r="A320" s="10"/>
      <c r="B320" s="11"/>
      <c r="C320" s="10"/>
      <c r="D320" s="11"/>
      <c r="E320" s="10"/>
      <c r="F320" s="1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0"/>
      <c r="V320" s="11"/>
      <c r="W320" s="10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2.75" customHeight="1">
      <c r="A321" s="10"/>
      <c r="B321" s="11"/>
      <c r="C321" s="10"/>
      <c r="D321" s="11"/>
      <c r="E321" s="10"/>
      <c r="F321" s="1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0"/>
      <c r="V321" s="11"/>
      <c r="W321" s="10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2.75" customHeight="1">
      <c r="A322" s="10"/>
      <c r="B322" s="11"/>
      <c r="C322" s="10"/>
      <c r="D322" s="11"/>
      <c r="E322" s="10"/>
      <c r="F322" s="1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0"/>
      <c r="V322" s="11"/>
      <c r="W322" s="10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2.75" customHeight="1">
      <c r="A323" s="10"/>
      <c r="B323" s="11"/>
      <c r="C323" s="10"/>
      <c r="D323" s="11"/>
      <c r="E323" s="10"/>
      <c r="F323" s="1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0"/>
      <c r="V323" s="11"/>
      <c r="W323" s="10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2.75" customHeight="1">
      <c r="A324" s="10"/>
      <c r="B324" s="11"/>
      <c r="C324" s="10"/>
      <c r="D324" s="11"/>
      <c r="E324" s="10"/>
      <c r="F324" s="1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0"/>
      <c r="V324" s="11"/>
      <c r="W324" s="10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2.75" customHeight="1">
      <c r="A325" s="10"/>
      <c r="B325" s="11"/>
      <c r="C325" s="10"/>
      <c r="D325" s="11"/>
      <c r="E325" s="10"/>
      <c r="F325" s="1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0"/>
      <c r="V325" s="11"/>
      <c r="W325" s="10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2.75" customHeight="1">
      <c r="A326" s="10"/>
      <c r="B326" s="11"/>
      <c r="C326" s="10"/>
      <c r="D326" s="11"/>
      <c r="E326" s="10"/>
      <c r="F326" s="1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0"/>
      <c r="V326" s="11"/>
      <c r="W326" s="10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2.75" customHeight="1">
      <c r="A327" s="10"/>
      <c r="B327" s="11"/>
      <c r="C327" s="10"/>
      <c r="D327" s="11"/>
      <c r="E327" s="10"/>
      <c r="F327" s="1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0"/>
      <c r="V327" s="11"/>
      <c r="W327" s="10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2.75" customHeight="1">
      <c r="A328" s="10"/>
      <c r="B328" s="11"/>
      <c r="C328" s="10"/>
      <c r="D328" s="11"/>
      <c r="E328" s="10"/>
      <c r="F328" s="1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0"/>
      <c r="V328" s="11"/>
      <c r="W328" s="10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2.75" customHeight="1">
      <c r="A329" s="10"/>
      <c r="B329" s="11"/>
      <c r="C329" s="10"/>
      <c r="D329" s="11"/>
      <c r="E329" s="10"/>
      <c r="F329" s="1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0"/>
      <c r="V329" s="11"/>
      <c r="W329" s="10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2.75" customHeight="1">
      <c r="A330" s="10"/>
      <c r="B330" s="11"/>
      <c r="C330" s="10"/>
      <c r="D330" s="11"/>
      <c r="E330" s="10"/>
      <c r="F330" s="1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0"/>
      <c r="V330" s="11"/>
      <c r="W330" s="10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2.75" customHeight="1">
      <c r="A331" s="10"/>
      <c r="B331" s="11"/>
      <c r="C331" s="10"/>
      <c r="D331" s="11"/>
      <c r="E331" s="10"/>
      <c r="F331" s="1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0"/>
      <c r="V331" s="11"/>
      <c r="W331" s="10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2.75" customHeight="1">
      <c r="A332" s="10"/>
      <c r="B332" s="11"/>
      <c r="C332" s="10"/>
      <c r="D332" s="11"/>
      <c r="E332" s="10"/>
      <c r="F332" s="1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0"/>
      <c r="V332" s="11"/>
      <c r="W332" s="10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2.75" customHeight="1">
      <c r="A333" s="10"/>
      <c r="B333" s="11"/>
      <c r="C333" s="10"/>
      <c r="D333" s="11"/>
      <c r="E333" s="10"/>
      <c r="F333" s="1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0"/>
      <c r="V333" s="11"/>
      <c r="W333" s="10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2.75" customHeight="1">
      <c r="A334" s="10"/>
      <c r="B334" s="11"/>
      <c r="C334" s="10"/>
      <c r="D334" s="11"/>
      <c r="E334" s="10"/>
      <c r="F334" s="1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0"/>
      <c r="V334" s="11"/>
      <c r="W334" s="10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2.75" customHeight="1">
      <c r="A335" s="10"/>
      <c r="B335" s="11"/>
      <c r="C335" s="10"/>
      <c r="D335" s="11"/>
      <c r="E335" s="10"/>
      <c r="F335" s="1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0"/>
      <c r="V335" s="11"/>
      <c r="W335" s="10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2.75" customHeight="1">
      <c r="A336" s="10"/>
      <c r="B336" s="11"/>
      <c r="C336" s="10"/>
      <c r="D336" s="11"/>
      <c r="E336" s="10"/>
      <c r="F336" s="1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0"/>
      <c r="V336" s="11"/>
      <c r="W336" s="10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2.75" customHeight="1">
      <c r="A337" s="10"/>
      <c r="B337" s="11"/>
      <c r="C337" s="10"/>
      <c r="D337" s="11"/>
      <c r="E337" s="10"/>
      <c r="F337" s="1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0"/>
      <c r="V337" s="11"/>
      <c r="W337" s="10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2.75" customHeight="1">
      <c r="A338" s="10"/>
      <c r="B338" s="11"/>
      <c r="C338" s="10"/>
      <c r="D338" s="11"/>
      <c r="E338" s="10"/>
      <c r="F338" s="1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0"/>
      <c r="V338" s="11"/>
      <c r="W338" s="10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2.75" customHeight="1">
      <c r="A339" s="10"/>
      <c r="B339" s="11"/>
      <c r="C339" s="10"/>
      <c r="D339" s="11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0"/>
      <c r="V339" s="11"/>
      <c r="W339" s="10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2.75" customHeight="1">
      <c r="A340" s="10"/>
      <c r="B340" s="11"/>
      <c r="C340" s="10"/>
      <c r="D340" s="11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0"/>
      <c r="V340" s="11"/>
      <c r="W340" s="10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2.75" customHeight="1">
      <c r="A341" s="10"/>
      <c r="B341" s="11"/>
      <c r="C341" s="10"/>
      <c r="D341" s="11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0"/>
      <c r="V341" s="11"/>
      <c r="W341" s="10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2.75" customHeight="1">
      <c r="A342" s="10"/>
      <c r="B342" s="11"/>
      <c r="C342" s="10"/>
      <c r="D342" s="11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0"/>
      <c r="V342" s="11"/>
      <c r="W342" s="10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2.75" customHeight="1">
      <c r="A343" s="10"/>
      <c r="B343" s="11"/>
      <c r="C343" s="10"/>
      <c r="D343" s="11"/>
      <c r="E343" s="10"/>
      <c r="F343" s="1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0"/>
      <c r="V343" s="11"/>
      <c r="W343" s="10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2.75" customHeight="1">
      <c r="A344" s="10"/>
      <c r="B344" s="11"/>
      <c r="C344" s="10"/>
      <c r="D344" s="11"/>
      <c r="E344" s="10"/>
      <c r="F344" s="1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0"/>
      <c r="V344" s="11"/>
      <c r="W344" s="10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2.75" customHeight="1">
      <c r="A345" s="10"/>
      <c r="B345" s="11"/>
      <c r="C345" s="10"/>
      <c r="D345" s="11"/>
      <c r="E345" s="10"/>
      <c r="F345" s="1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0"/>
      <c r="V345" s="11"/>
      <c r="W345" s="10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2.75" customHeight="1">
      <c r="A346" s="10"/>
      <c r="B346" s="11"/>
      <c r="C346" s="10"/>
      <c r="D346" s="11"/>
      <c r="E346" s="10"/>
      <c r="F346" s="1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0"/>
      <c r="V346" s="11"/>
      <c r="W346" s="10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2.75" customHeight="1">
      <c r="A347" s="10"/>
      <c r="B347" s="11"/>
      <c r="C347" s="10"/>
      <c r="D347" s="11"/>
      <c r="E347" s="10"/>
      <c r="F347" s="1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0"/>
      <c r="V347" s="11"/>
      <c r="W347" s="10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2.75" customHeight="1">
      <c r="A348" s="10"/>
      <c r="B348" s="11"/>
      <c r="C348" s="10"/>
      <c r="D348" s="11"/>
      <c r="E348" s="10"/>
      <c r="F348" s="1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0"/>
      <c r="V348" s="11"/>
      <c r="W348" s="10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2.75" customHeight="1">
      <c r="A349" s="10"/>
      <c r="B349" s="11"/>
      <c r="C349" s="10"/>
      <c r="D349" s="11"/>
      <c r="E349" s="10"/>
      <c r="F349" s="1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0"/>
      <c r="V349" s="11"/>
      <c r="W349" s="10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2.75" customHeight="1">
      <c r="A350" s="10"/>
      <c r="B350" s="11"/>
      <c r="C350" s="10"/>
      <c r="D350" s="11"/>
      <c r="E350" s="10"/>
      <c r="F350" s="1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0"/>
      <c r="V350" s="11"/>
      <c r="W350" s="10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2.75" customHeight="1">
      <c r="A351" s="10"/>
      <c r="B351" s="11"/>
      <c r="C351" s="10"/>
      <c r="D351" s="11"/>
      <c r="E351" s="10"/>
      <c r="F351" s="1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0"/>
      <c r="V351" s="11"/>
      <c r="W351" s="10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2.75" customHeight="1">
      <c r="A352" s="10"/>
      <c r="B352" s="11"/>
      <c r="C352" s="10"/>
      <c r="D352" s="11"/>
      <c r="E352" s="10"/>
      <c r="F352" s="1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0"/>
      <c r="V352" s="11"/>
      <c r="W352" s="10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2.75" customHeight="1">
      <c r="A353" s="10"/>
      <c r="B353" s="11"/>
      <c r="C353" s="10"/>
      <c r="D353" s="11"/>
      <c r="E353" s="10"/>
      <c r="F353" s="1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0"/>
      <c r="V353" s="11"/>
      <c r="W353" s="10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2.75" customHeight="1">
      <c r="A354" s="10"/>
      <c r="B354" s="11"/>
      <c r="C354" s="10"/>
      <c r="D354" s="11"/>
      <c r="E354" s="10"/>
      <c r="F354" s="1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0"/>
      <c r="V354" s="11"/>
      <c r="W354" s="10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2.75" customHeight="1">
      <c r="A355" s="10"/>
      <c r="B355" s="11"/>
      <c r="C355" s="10"/>
      <c r="D355" s="11"/>
      <c r="E355" s="10"/>
      <c r="F355" s="1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0"/>
      <c r="V355" s="11"/>
      <c r="W355" s="10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2.75" customHeight="1">
      <c r="A356" s="10"/>
      <c r="B356" s="11"/>
      <c r="C356" s="10"/>
      <c r="D356" s="11"/>
      <c r="E356" s="10"/>
      <c r="F356" s="1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0"/>
      <c r="V356" s="11"/>
      <c r="W356" s="10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2.75" customHeight="1">
      <c r="A357" s="10"/>
      <c r="B357" s="11"/>
      <c r="C357" s="10"/>
      <c r="D357" s="11"/>
      <c r="E357" s="10"/>
      <c r="F357" s="1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0"/>
      <c r="V357" s="11"/>
      <c r="W357" s="10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2.75" customHeight="1">
      <c r="A358" s="10"/>
      <c r="B358" s="11"/>
      <c r="C358" s="10"/>
      <c r="D358" s="11"/>
      <c r="E358" s="10"/>
      <c r="F358" s="1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0"/>
      <c r="V358" s="11"/>
      <c r="W358" s="10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2.75" customHeight="1">
      <c r="A359" s="10"/>
      <c r="B359" s="11"/>
      <c r="C359" s="10"/>
      <c r="D359" s="11"/>
      <c r="E359" s="10"/>
      <c r="F359" s="1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0"/>
      <c r="V359" s="11"/>
      <c r="W359" s="10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2.75" customHeight="1">
      <c r="A360" s="10"/>
      <c r="B360" s="11"/>
      <c r="C360" s="10"/>
      <c r="D360" s="11"/>
      <c r="E360" s="10"/>
      <c r="F360" s="1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0"/>
      <c r="V360" s="11"/>
      <c r="W360" s="10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2.75" customHeight="1">
      <c r="A361" s="10"/>
      <c r="B361" s="11"/>
      <c r="C361" s="10"/>
      <c r="D361" s="11"/>
      <c r="E361" s="10"/>
      <c r="F361" s="1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0"/>
      <c r="V361" s="11"/>
      <c r="W361" s="10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2.75" customHeight="1">
      <c r="A362" s="10"/>
      <c r="B362" s="11"/>
      <c r="C362" s="10"/>
      <c r="D362" s="11"/>
      <c r="E362" s="10"/>
      <c r="F362" s="1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0"/>
      <c r="V362" s="11"/>
      <c r="W362" s="10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2.75" customHeight="1">
      <c r="A363" s="10"/>
      <c r="B363" s="11"/>
      <c r="C363" s="10"/>
      <c r="D363" s="11"/>
      <c r="E363" s="10"/>
      <c r="F363" s="1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0"/>
      <c r="V363" s="11"/>
      <c r="W363" s="10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2.75" customHeight="1">
      <c r="A364" s="10"/>
      <c r="B364" s="11"/>
      <c r="C364" s="10"/>
      <c r="D364" s="11"/>
      <c r="E364" s="10"/>
      <c r="F364" s="1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0"/>
      <c r="V364" s="11"/>
      <c r="W364" s="10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2.75" customHeight="1">
      <c r="A365" s="10"/>
      <c r="B365" s="11"/>
      <c r="C365" s="10"/>
      <c r="D365" s="11"/>
      <c r="E365" s="10"/>
      <c r="F365" s="1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0"/>
      <c r="V365" s="11"/>
      <c r="W365" s="10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2.75" customHeight="1">
      <c r="A366" s="10"/>
      <c r="B366" s="11"/>
      <c r="C366" s="10"/>
      <c r="D366" s="11"/>
      <c r="E366" s="10"/>
      <c r="F366" s="1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0"/>
      <c r="V366" s="11"/>
      <c r="W366" s="10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2.75" customHeight="1">
      <c r="A367" s="10"/>
      <c r="B367" s="11"/>
      <c r="C367" s="10"/>
      <c r="D367" s="11"/>
      <c r="E367" s="10"/>
      <c r="F367" s="1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0"/>
      <c r="V367" s="11"/>
      <c r="W367" s="10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2.75" customHeight="1">
      <c r="A368" s="10"/>
      <c r="B368" s="11"/>
      <c r="C368" s="10"/>
      <c r="D368" s="11"/>
      <c r="E368" s="10"/>
      <c r="F368" s="1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0"/>
      <c r="V368" s="11"/>
      <c r="W368" s="10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2.75" customHeight="1">
      <c r="A369" s="10"/>
      <c r="B369" s="11"/>
      <c r="C369" s="10"/>
      <c r="D369" s="11"/>
      <c r="E369" s="10"/>
      <c r="F369" s="1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0"/>
      <c r="V369" s="11"/>
      <c r="W369" s="10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2.75" customHeight="1">
      <c r="A370" s="10"/>
      <c r="B370" s="11"/>
      <c r="C370" s="10"/>
      <c r="D370" s="11"/>
      <c r="E370" s="10"/>
      <c r="F370" s="1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0"/>
      <c r="V370" s="11"/>
      <c r="W370" s="10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2.75" customHeight="1">
      <c r="A371" s="10"/>
      <c r="B371" s="11"/>
      <c r="C371" s="10"/>
      <c r="D371" s="11"/>
      <c r="E371" s="10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0"/>
      <c r="V371" s="11"/>
      <c r="W371" s="10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2.75" customHeight="1">
      <c r="A372" s="10"/>
      <c r="B372" s="11"/>
      <c r="C372" s="10"/>
      <c r="D372" s="11"/>
      <c r="E372" s="10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0"/>
      <c r="V372" s="11"/>
      <c r="W372" s="10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2.75" customHeight="1">
      <c r="A373" s="10"/>
      <c r="B373" s="11"/>
      <c r="C373" s="10"/>
      <c r="D373" s="11"/>
      <c r="E373" s="10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0"/>
      <c r="V373" s="11"/>
      <c r="W373" s="10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2.75" customHeight="1">
      <c r="A374" s="10"/>
      <c r="B374" s="11"/>
      <c r="C374" s="10"/>
      <c r="D374" s="11"/>
      <c r="E374" s="10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0"/>
      <c r="V374" s="11"/>
      <c r="W374" s="10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2.75" customHeight="1">
      <c r="A375" s="10"/>
      <c r="B375" s="11"/>
      <c r="C375" s="10"/>
      <c r="D375" s="11"/>
      <c r="E375" s="10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0"/>
      <c r="V375" s="11"/>
      <c r="W375" s="10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2.75" customHeight="1">
      <c r="A376" s="10"/>
      <c r="B376" s="11"/>
      <c r="C376" s="10"/>
      <c r="D376" s="11"/>
      <c r="E376" s="10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0"/>
      <c r="V376" s="11"/>
      <c r="W376" s="10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2.75" customHeight="1">
      <c r="A377" s="10"/>
      <c r="B377" s="11"/>
      <c r="C377" s="10"/>
      <c r="D377" s="11"/>
      <c r="E377" s="10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0"/>
      <c r="V377" s="11"/>
      <c r="W377" s="10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2.75" customHeight="1">
      <c r="A378" s="10"/>
      <c r="B378" s="11"/>
      <c r="C378" s="10"/>
      <c r="D378" s="11"/>
      <c r="E378" s="10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0"/>
      <c r="V378" s="11"/>
      <c r="W378" s="10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2.75" customHeight="1">
      <c r="A379" s="10"/>
      <c r="B379" s="11"/>
      <c r="C379" s="10"/>
      <c r="D379" s="11"/>
      <c r="E379" s="10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0"/>
      <c r="V379" s="11"/>
      <c r="W379" s="10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2.75" customHeight="1">
      <c r="A380" s="10"/>
      <c r="B380" s="11"/>
      <c r="C380" s="10"/>
      <c r="D380" s="11"/>
      <c r="E380" s="10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0"/>
      <c r="V380" s="11"/>
      <c r="W380" s="10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2.75" customHeight="1">
      <c r="A381" s="10"/>
      <c r="B381" s="11"/>
      <c r="C381" s="10"/>
      <c r="D381" s="11"/>
      <c r="E381" s="10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0"/>
      <c r="V381" s="11"/>
      <c r="W381" s="10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2.75" customHeight="1">
      <c r="A382" s="10"/>
      <c r="B382" s="11"/>
      <c r="C382" s="10"/>
      <c r="D382" s="11"/>
      <c r="E382" s="10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0"/>
      <c r="V382" s="11"/>
      <c r="W382" s="10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2.75" customHeight="1">
      <c r="A383" s="10"/>
      <c r="B383" s="11"/>
      <c r="C383" s="10"/>
      <c r="D383" s="11"/>
      <c r="E383" s="10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0"/>
      <c r="V383" s="11"/>
      <c r="W383" s="10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2.75" customHeight="1">
      <c r="A384" s="10"/>
      <c r="B384" s="11"/>
      <c r="C384" s="10"/>
      <c r="D384" s="11"/>
      <c r="E384" s="10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0"/>
      <c r="V384" s="11"/>
      <c r="W384" s="10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2.75" customHeight="1">
      <c r="A385" s="10"/>
      <c r="B385" s="11"/>
      <c r="C385" s="10"/>
      <c r="D385" s="11"/>
      <c r="E385" s="10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0"/>
      <c r="V385" s="11"/>
      <c r="W385" s="10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2.75" customHeight="1">
      <c r="A386" s="10"/>
      <c r="B386" s="11"/>
      <c r="C386" s="10"/>
      <c r="D386" s="11"/>
      <c r="E386" s="10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0"/>
      <c r="V386" s="11"/>
      <c r="W386" s="10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2.75" customHeight="1">
      <c r="A387" s="10"/>
      <c r="B387" s="11"/>
      <c r="C387" s="10"/>
      <c r="D387" s="11"/>
      <c r="E387" s="10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0"/>
      <c r="V387" s="11"/>
      <c r="W387" s="10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2.75" customHeight="1">
      <c r="A388" s="10"/>
      <c r="B388" s="11"/>
      <c r="C388" s="10"/>
      <c r="D388" s="11"/>
      <c r="E388" s="10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0"/>
      <c r="V388" s="11"/>
      <c r="W388" s="10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2.75" customHeight="1">
      <c r="A389" s="10"/>
      <c r="B389" s="11"/>
      <c r="C389" s="10"/>
      <c r="D389" s="11"/>
      <c r="E389" s="10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0"/>
      <c r="V389" s="11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2.75" customHeight="1">
      <c r="A390" s="10"/>
      <c r="B390" s="11"/>
      <c r="C390" s="10"/>
      <c r="D390" s="11"/>
      <c r="E390" s="10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0"/>
      <c r="V390" s="11"/>
      <c r="W390" s="10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2.75" customHeight="1">
      <c r="A391" s="10"/>
      <c r="B391" s="11"/>
      <c r="C391" s="10"/>
      <c r="D391" s="11"/>
      <c r="E391" s="10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0"/>
      <c r="V391" s="11"/>
      <c r="W391" s="10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2.75" customHeight="1">
      <c r="A392" s="10"/>
      <c r="B392" s="11"/>
      <c r="C392" s="10"/>
      <c r="D392" s="11"/>
      <c r="E392" s="10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0"/>
      <c r="V392" s="11"/>
      <c r="W392" s="10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2.75" customHeight="1">
      <c r="A393" s="10"/>
      <c r="B393" s="11"/>
      <c r="C393" s="10"/>
      <c r="D393" s="11"/>
      <c r="E393" s="10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0"/>
      <c r="V393" s="11"/>
      <c r="W393" s="10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2.75" customHeight="1">
      <c r="A394" s="10"/>
      <c r="B394" s="11"/>
      <c r="C394" s="10"/>
      <c r="D394" s="11"/>
      <c r="E394" s="10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0"/>
      <c r="V394" s="11"/>
      <c r="W394" s="10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2.75" customHeight="1">
      <c r="A395" s="10"/>
      <c r="B395" s="11"/>
      <c r="C395" s="10"/>
      <c r="D395" s="11"/>
      <c r="E395" s="10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0"/>
      <c r="V395" s="11"/>
      <c r="W395" s="10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2.75" customHeight="1">
      <c r="A396" s="10"/>
      <c r="B396" s="11"/>
      <c r="C396" s="10"/>
      <c r="D396" s="11"/>
      <c r="E396" s="10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0"/>
      <c r="V396" s="11"/>
      <c r="W396" s="10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2.75" customHeight="1">
      <c r="A397" s="10"/>
      <c r="B397" s="11"/>
      <c r="C397" s="10"/>
      <c r="D397" s="11"/>
      <c r="E397" s="10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0"/>
      <c r="V397" s="11"/>
      <c r="W397" s="10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2.75" customHeight="1">
      <c r="A398" s="10"/>
      <c r="B398" s="11"/>
      <c r="C398" s="10"/>
      <c r="D398" s="11"/>
      <c r="E398" s="10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0"/>
      <c r="V398" s="11"/>
      <c r="W398" s="10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2.75" customHeight="1">
      <c r="A399" s="10"/>
      <c r="B399" s="11"/>
      <c r="C399" s="10"/>
      <c r="D399" s="11"/>
      <c r="E399" s="10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0"/>
      <c r="V399" s="11"/>
      <c r="W399" s="10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2.75" customHeight="1">
      <c r="A400" s="10"/>
      <c r="B400" s="11"/>
      <c r="C400" s="10"/>
      <c r="D400" s="11"/>
      <c r="E400" s="10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0"/>
      <c r="V400" s="11"/>
      <c r="W400" s="10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2.75" customHeight="1">
      <c r="A401" s="10"/>
      <c r="B401" s="11"/>
      <c r="C401" s="10"/>
      <c r="D401" s="11"/>
      <c r="E401" s="10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0"/>
      <c r="V401" s="11"/>
      <c r="W401" s="10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2.75" customHeight="1">
      <c r="A402" s="10"/>
      <c r="B402" s="11"/>
      <c r="C402" s="10"/>
      <c r="D402" s="11"/>
      <c r="E402" s="10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0"/>
      <c r="V402" s="11"/>
      <c r="W402" s="10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2.75" customHeight="1">
      <c r="A403" s="10"/>
      <c r="B403" s="11"/>
      <c r="C403" s="10"/>
      <c r="D403" s="11"/>
      <c r="E403" s="10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0"/>
      <c r="V403" s="11"/>
      <c r="W403" s="10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2.75" customHeight="1">
      <c r="A404" s="10"/>
      <c r="B404" s="11"/>
      <c r="C404" s="10"/>
      <c r="D404" s="11"/>
      <c r="E404" s="10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0"/>
      <c r="V404" s="11"/>
      <c r="W404" s="10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2.75" customHeight="1">
      <c r="A405" s="10"/>
      <c r="B405" s="11"/>
      <c r="C405" s="10"/>
      <c r="D405" s="11"/>
      <c r="E405" s="10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0"/>
      <c r="V405" s="11"/>
      <c r="W405" s="10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2.75" customHeight="1">
      <c r="A406" s="10"/>
      <c r="B406" s="11"/>
      <c r="C406" s="10"/>
      <c r="D406" s="11"/>
      <c r="E406" s="10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0"/>
      <c r="V406" s="11"/>
      <c r="W406" s="10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2.75" customHeight="1">
      <c r="A407" s="10"/>
      <c r="B407" s="11"/>
      <c r="C407" s="10"/>
      <c r="D407" s="11"/>
      <c r="E407" s="10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0"/>
      <c r="V407" s="11"/>
      <c r="W407" s="10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2.75" customHeight="1">
      <c r="A408" s="10"/>
      <c r="B408" s="11"/>
      <c r="C408" s="10"/>
      <c r="D408" s="11"/>
      <c r="E408" s="10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0"/>
      <c r="V408" s="11"/>
      <c r="W408" s="10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2.75" customHeight="1">
      <c r="A409" s="10"/>
      <c r="B409" s="11"/>
      <c r="C409" s="10"/>
      <c r="D409" s="11"/>
      <c r="E409" s="10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0"/>
      <c r="V409" s="11"/>
      <c r="W409" s="10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2.75" customHeight="1">
      <c r="A410" s="10"/>
      <c r="B410" s="11"/>
      <c r="C410" s="10"/>
      <c r="D410" s="11"/>
      <c r="E410" s="10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0"/>
      <c r="V410" s="11"/>
      <c r="W410" s="10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2.75" customHeight="1">
      <c r="A411" s="10"/>
      <c r="B411" s="11"/>
      <c r="C411" s="10"/>
      <c r="D411" s="11"/>
      <c r="E411" s="10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0"/>
      <c r="V411" s="11"/>
      <c r="W411" s="10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2.75" customHeight="1">
      <c r="A412" s="10"/>
      <c r="B412" s="11"/>
      <c r="C412" s="10"/>
      <c r="D412" s="11"/>
      <c r="E412" s="10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0"/>
      <c r="V412" s="11"/>
      <c r="W412" s="10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2.75" customHeight="1">
      <c r="A413" s="10"/>
      <c r="B413" s="11"/>
      <c r="C413" s="10"/>
      <c r="D413" s="11"/>
      <c r="E413" s="10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0"/>
      <c r="V413" s="11"/>
      <c r="W413" s="10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2.75" customHeight="1">
      <c r="A414" s="10"/>
      <c r="B414" s="11"/>
      <c r="C414" s="10"/>
      <c r="D414" s="11"/>
      <c r="E414" s="10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0"/>
      <c r="V414" s="11"/>
      <c r="W414" s="10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2.75" customHeight="1">
      <c r="A415" s="10"/>
      <c r="B415" s="11"/>
      <c r="C415" s="10"/>
      <c r="D415" s="11"/>
      <c r="E415" s="10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0"/>
      <c r="V415" s="11"/>
      <c r="W415" s="10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2.75" customHeight="1">
      <c r="A416" s="10"/>
      <c r="B416" s="11"/>
      <c r="C416" s="10"/>
      <c r="D416" s="11"/>
      <c r="E416" s="10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0"/>
      <c r="V416" s="11"/>
      <c r="W416" s="10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2.75" customHeight="1">
      <c r="A417" s="10"/>
      <c r="B417" s="11"/>
      <c r="C417" s="10"/>
      <c r="D417" s="11"/>
      <c r="E417" s="10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0"/>
      <c r="V417" s="11"/>
      <c r="W417" s="10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2.75" customHeight="1">
      <c r="A418" s="10"/>
      <c r="B418" s="11"/>
      <c r="C418" s="10"/>
      <c r="D418" s="11"/>
      <c r="E418" s="10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0"/>
      <c r="V418" s="11"/>
      <c r="W418" s="10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2.75" customHeight="1">
      <c r="A419" s="10"/>
      <c r="B419" s="11"/>
      <c r="C419" s="10"/>
      <c r="D419" s="11"/>
      <c r="E419" s="10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0"/>
      <c r="V419" s="11"/>
      <c r="W419" s="10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2.75" customHeight="1">
      <c r="A420" s="10"/>
      <c r="B420" s="11"/>
      <c r="C420" s="10"/>
      <c r="D420" s="11"/>
      <c r="E420" s="10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0"/>
      <c r="V420" s="11"/>
      <c r="W420" s="10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2.75" customHeight="1">
      <c r="A421" s="10"/>
      <c r="B421" s="11"/>
      <c r="C421" s="10"/>
      <c r="D421" s="11"/>
      <c r="E421" s="10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0"/>
      <c r="V421" s="11"/>
      <c r="W421" s="10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2.75" customHeight="1">
      <c r="A422" s="10"/>
      <c r="B422" s="11"/>
      <c r="C422" s="10"/>
      <c r="D422" s="11"/>
      <c r="E422" s="10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0"/>
      <c r="V422" s="11"/>
      <c r="W422" s="10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2.75" customHeight="1">
      <c r="A423" s="10"/>
      <c r="B423" s="11"/>
      <c r="C423" s="10"/>
      <c r="D423" s="11"/>
      <c r="E423" s="10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0"/>
      <c r="V423" s="11"/>
      <c r="W423" s="10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2.75" customHeight="1">
      <c r="A424" s="10"/>
      <c r="B424" s="11"/>
      <c r="C424" s="10"/>
      <c r="D424" s="11"/>
      <c r="E424" s="10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0"/>
      <c r="V424" s="11"/>
      <c r="W424" s="10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2.75" customHeight="1">
      <c r="A425" s="10"/>
      <c r="B425" s="11"/>
      <c r="C425" s="10"/>
      <c r="D425" s="11"/>
      <c r="E425" s="10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0"/>
      <c r="V425" s="11"/>
      <c r="W425" s="10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2.75" customHeight="1">
      <c r="A426" s="10"/>
      <c r="B426" s="11"/>
      <c r="C426" s="10"/>
      <c r="D426" s="11"/>
      <c r="E426" s="10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0"/>
      <c r="V426" s="11"/>
      <c r="W426" s="10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2.75" customHeight="1">
      <c r="A427" s="10"/>
      <c r="B427" s="11"/>
      <c r="C427" s="10"/>
      <c r="D427" s="11"/>
      <c r="E427" s="10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0"/>
      <c r="V427" s="11"/>
      <c r="W427" s="10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2.75" customHeight="1">
      <c r="A428" s="10"/>
      <c r="B428" s="11"/>
      <c r="C428" s="10"/>
      <c r="D428" s="11"/>
      <c r="E428" s="10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0"/>
      <c r="V428" s="11"/>
      <c r="W428" s="10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2.75" customHeight="1">
      <c r="A429" s="10"/>
      <c r="B429" s="11"/>
      <c r="C429" s="10"/>
      <c r="D429" s="11"/>
      <c r="E429" s="10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0"/>
      <c r="V429" s="11"/>
      <c r="W429" s="10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2.75" customHeight="1">
      <c r="A430" s="10"/>
      <c r="B430" s="11"/>
      <c r="C430" s="10"/>
      <c r="D430" s="11"/>
      <c r="E430" s="10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0"/>
      <c r="V430" s="11"/>
      <c r="W430" s="10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2.75" customHeight="1">
      <c r="A431" s="10"/>
      <c r="B431" s="11"/>
      <c r="C431" s="10"/>
      <c r="D431" s="11"/>
      <c r="E431" s="10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0"/>
      <c r="V431" s="11"/>
      <c r="W431" s="10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2.75" customHeight="1">
      <c r="A432" s="10"/>
      <c r="B432" s="11"/>
      <c r="C432" s="10"/>
      <c r="D432" s="11"/>
      <c r="E432" s="10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0"/>
      <c r="V432" s="11"/>
      <c r="W432" s="10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2.75" customHeight="1">
      <c r="A433" s="10"/>
      <c r="B433" s="11"/>
      <c r="C433" s="10"/>
      <c r="D433" s="11"/>
      <c r="E433" s="10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0"/>
      <c r="V433" s="11"/>
      <c r="W433" s="10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2.75" customHeight="1">
      <c r="A434" s="10"/>
      <c r="B434" s="11"/>
      <c r="C434" s="10"/>
      <c r="D434" s="11"/>
      <c r="E434" s="10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0"/>
      <c r="V434" s="11"/>
      <c r="W434" s="10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2.75" customHeight="1">
      <c r="A435" s="10"/>
      <c r="B435" s="11"/>
      <c r="C435" s="10"/>
      <c r="D435" s="11"/>
      <c r="E435" s="10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0"/>
      <c r="V435" s="11"/>
      <c r="W435" s="10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2.75" customHeight="1">
      <c r="A436" s="10"/>
      <c r="B436" s="11"/>
      <c r="C436" s="10"/>
      <c r="D436" s="11"/>
      <c r="E436" s="10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0"/>
      <c r="V436" s="11"/>
      <c r="W436" s="10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2.75" customHeight="1">
      <c r="A437" s="10"/>
      <c r="B437" s="11"/>
      <c r="C437" s="10"/>
      <c r="D437" s="11"/>
      <c r="E437" s="10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0"/>
      <c r="V437" s="11"/>
      <c r="W437" s="10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2.75" customHeight="1">
      <c r="A438" s="10"/>
      <c r="B438" s="11"/>
      <c r="C438" s="10"/>
      <c r="D438" s="11"/>
      <c r="E438" s="10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0"/>
      <c r="V438" s="11"/>
      <c r="W438" s="10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2.75" customHeight="1">
      <c r="A439" s="10"/>
      <c r="B439" s="11"/>
      <c r="C439" s="10"/>
      <c r="D439" s="11"/>
      <c r="E439" s="10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0"/>
      <c r="V439" s="11"/>
      <c r="W439" s="10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2.75" customHeight="1">
      <c r="A440" s="10"/>
      <c r="B440" s="11"/>
      <c r="C440" s="10"/>
      <c r="D440" s="11"/>
      <c r="E440" s="10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0"/>
      <c r="V440" s="11"/>
      <c r="W440" s="10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2.75" customHeight="1">
      <c r="A441" s="10"/>
      <c r="B441" s="11"/>
      <c r="C441" s="10"/>
      <c r="D441" s="11"/>
      <c r="E441" s="10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0"/>
      <c r="V441" s="11"/>
      <c r="W441" s="10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2.75" customHeight="1">
      <c r="A442" s="10"/>
      <c r="B442" s="11"/>
      <c r="C442" s="10"/>
      <c r="D442" s="11"/>
      <c r="E442" s="10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0"/>
      <c r="V442" s="11"/>
      <c r="W442" s="10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2.75" customHeight="1">
      <c r="A443" s="10"/>
      <c r="B443" s="11"/>
      <c r="C443" s="10"/>
      <c r="D443" s="11"/>
      <c r="E443" s="10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0"/>
      <c r="V443" s="11"/>
      <c r="W443" s="10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2.75" customHeight="1">
      <c r="A444" s="10"/>
      <c r="B444" s="11"/>
      <c r="C444" s="10"/>
      <c r="D444" s="11"/>
      <c r="E444" s="10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0"/>
      <c r="V444" s="11"/>
      <c r="W444" s="10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2.75" customHeight="1">
      <c r="A445" s="10"/>
      <c r="B445" s="11"/>
      <c r="C445" s="10"/>
      <c r="D445" s="11"/>
      <c r="E445" s="10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0"/>
      <c r="V445" s="11"/>
      <c r="W445" s="10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2.75" customHeight="1">
      <c r="A446" s="10"/>
      <c r="B446" s="11"/>
      <c r="C446" s="10"/>
      <c r="D446" s="11"/>
      <c r="E446" s="10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0"/>
      <c r="V446" s="11"/>
      <c r="W446" s="10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2.75" customHeight="1">
      <c r="A447" s="10"/>
      <c r="B447" s="11"/>
      <c r="C447" s="10"/>
      <c r="D447" s="11"/>
      <c r="E447" s="10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0"/>
      <c r="V447" s="11"/>
      <c r="W447" s="10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2.75" customHeight="1">
      <c r="A448" s="10"/>
      <c r="B448" s="11"/>
      <c r="C448" s="10"/>
      <c r="D448" s="11"/>
      <c r="E448" s="10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0"/>
      <c r="V448" s="11"/>
      <c r="W448" s="10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2.75" customHeight="1">
      <c r="A449" s="10"/>
      <c r="B449" s="11"/>
      <c r="C449" s="10"/>
      <c r="D449" s="11"/>
      <c r="E449" s="10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0"/>
      <c r="V449" s="11"/>
      <c r="W449" s="10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2.75" customHeight="1">
      <c r="A450" s="10"/>
      <c r="B450" s="11"/>
      <c r="C450" s="10"/>
      <c r="D450" s="11"/>
      <c r="E450" s="10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0"/>
      <c r="V450" s="11"/>
      <c r="W450" s="10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2.75" customHeight="1">
      <c r="A451" s="10"/>
      <c r="B451" s="11"/>
      <c r="C451" s="10"/>
      <c r="D451" s="11"/>
      <c r="E451" s="10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0"/>
      <c r="V451" s="11"/>
      <c r="W451" s="10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2.75" customHeight="1">
      <c r="A452" s="10"/>
      <c r="B452" s="11"/>
      <c r="C452" s="10"/>
      <c r="D452" s="11"/>
      <c r="E452" s="10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0"/>
      <c r="V452" s="11"/>
      <c r="W452" s="10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2.75" customHeight="1">
      <c r="A453" s="10"/>
      <c r="B453" s="11"/>
      <c r="C453" s="10"/>
      <c r="D453" s="11"/>
      <c r="E453" s="10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0"/>
      <c r="V453" s="11"/>
      <c r="W453" s="10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2.75" customHeight="1">
      <c r="A454" s="10"/>
      <c r="B454" s="11"/>
      <c r="C454" s="10"/>
      <c r="D454" s="11"/>
      <c r="E454" s="10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0"/>
      <c r="V454" s="11"/>
      <c r="W454" s="10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2.75" customHeight="1">
      <c r="A455" s="10"/>
      <c r="B455" s="11"/>
      <c r="C455" s="10"/>
      <c r="D455" s="11"/>
      <c r="E455" s="10"/>
      <c r="F455" s="1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0"/>
      <c r="V455" s="11"/>
      <c r="W455" s="10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2.75" customHeight="1">
      <c r="A456" s="10"/>
      <c r="B456" s="11"/>
      <c r="C456" s="10"/>
      <c r="D456" s="11"/>
      <c r="E456" s="10"/>
      <c r="F456" s="1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0"/>
      <c r="V456" s="11"/>
      <c r="W456" s="10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2.75" customHeight="1">
      <c r="A457" s="10"/>
      <c r="B457" s="11"/>
      <c r="C457" s="10"/>
      <c r="D457" s="11"/>
      <c r="E457" s="10"/>
      <c r="F457" s="1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0"/>
      <c r="V457" s="11"/>
      <c r="W457" s="10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2.75" customHeight="1">
      <c r="A458" s="10"/>
      <c r="B458" s="11"/>
      <c r="C458" s="10"/>
      <c r="D458" s="11"/>
      <c r="E458" s="10"/>
      <c r="F458" s="1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0"/>
      <c r="V458" s="11"/>
      <c r="W458" s="10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2.75" customHeight="1">
      <c r="A459" s="10"/>
      <c r="B459" s="11"/>
      <c r="C459" s="10"/>
      <c r="D459" s="11"/>
      <c r="E459" s="10"/>
      <c r="F459" s="1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0"/>
      <c r="V459" s="11"/>
      <c r="W459" s="10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2.75" customHeight="1">
      <c r="A460" s="10"/>
      <c r="B460" s="11"/>
      <c r="C460" s="10"/>
      <c r="D460" s="11"/>
      <c r="E460" s="10"/>
      <c r="F460" s="1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0"/>
      <c r="V460" s="11"/>
      <c r="W460" s="10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2.75" customHeight="1">
      <c r="A461" s="10"/>
      <c r="B461" s="11"/>
      <c r="C461" s="10"/>
      <c r="D461" s="11"/>
      <c r="E461" s="10"/>
      <c r="F461" s="1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0"/>
      <c r="V461" s="11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2.75" customHeight="1">
      <c r="A462" s="10"/>
      <c r="B462" s="11"/>
      <c r="C462" s="10"/>
      <c r="D462" s="11"/>
      <c r="E462" s="10"/>
      <c r="F462" s="1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0"/>
      <c r="V462" s="11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2.75" customHeight="1">
      <c r="A463" s="10"/>
      <c r="B463" s="11"/>
      <c r="C463" s="10"/>
      <c r="D463" s="11"/>
      <c r="E463" s="10"/>
      <c r="F463" s="1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0"/>
      <c r="V463" s="11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2.75" customHeight="1">
      <c r="A464" s="10"/>
      <c r="B464" s="11"/>
      <c r="C464" s="10"/>
      <c r="D464" s="11"/>
      <c r="E464" s="10"/>
      <c r="F464" s="1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0"/>
      <c r="V464" s="11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2.75" customHeight="1">
      <c r="A465" s="10"/>
      <c r="B465" s="11"/>
      <c r="C465" s="10"/>
      <c r="D465" s="11"/>
      <c r="E465" s="10"/>
      <c r="F465" s="1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0"/>
      <c r="V465" s="11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2.75" customHeight="1">
      <c r="A466" s="10"/>
      <c r="B466" s="11"/>
      <c r="C466" s="10"/>
      <c r="D466" s="11"/>
      <c r="E466" s="10"/>
      <c r="F466" s="1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0"/>
      <c r="V466" s="11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2.75" customHeight="1">
      <c r="A467" s="10"/>
      <c r="B467" s="11"/>
      <c r="C467" s="10"/>
      <c r="D467" s="11"/>
      <c r="E467" s="10"/>
      <c r="F467" s="1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0"/>
      <c r="V467" s="11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2.75" customHeight="1">
      <c r="A468" s="10"/>
      <c r="B468" s="11"/>
      <c r="C468" s="10"/>
      <c r="D468" s="11"/>
      <c r="E468" s="10"/>
      <c r="F468" s="1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0"/>
      <c r="V468" s="11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2.75" customHeight="1">
      <c r="A469" s="10"/>
      <c r="B469" s="11"/>
      <c r="C469" s="10"/>
      <c r="D469" s="11"/>
      <c r="E469" s="10"/>
      <c r="F469" s="1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0"/>
      <c r="V469" s="11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2.75" customHeight="1">
      <c r="A470" s="10"/>
      <c r="B470" s="11"/>
      <c r="C470" s="10"/>
      <c r="D470" s="11"/>
      <c r="E470" s="10"/>
      <c r="F470" s="1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0"/>
      <c r="V470" s="11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2.75" customHeight="1">
      <c r="A471" s="10"/>
      <c r="B471" s="11"/>
      <c r="C471" s="10"/>
      <c r="D471" s="11"/>
      <c r="E471" s="10"/>
      <c r="F471" s="1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0"/>
      <c r="V471" s="11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2.75" customHeight="1">
      <c r="A472" s="10"/>
      <c r="B472" s="11"/>
      <c r="C472" s="10"/>
      <c r="D472" s="11"/>
      <c r="E472" s="10"/>
      <c r="F472" s="1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0"/>
      <c r="V472" s="11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2.75" customHeight="1">
      <c r="A473" s="10"/>
      <c r="B473" s="11"/>
      <c r="C473" s="10"/>
      <c r="D473" s="11"/>
      <c r="E473" s="10"/>
      <c r="F473" s="1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0"/>
      <c r="V473" s="11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2.75" customHeight="1">
      <c r="A474" s="10"/>
      <c r="B474" s="11"/>
      <c r="C474" s="10"/>
      <c r="D474" s="11"/>
      <c r="E474" s="10"/>
      <c r="F474" s="1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0"/>
      <c r="V474" s="11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2.75" customHeight="1">
      <c r="A475" s="10"/>
      <c r="B475" s="11"/>
      <c r="C475" s="10"/>
      <c r="D475" s="11"/>
      <c r="E475" s="10"/>
      <c r="F475" s="1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0"/>
      <c r="V475" s="11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2.75" customHeight="1">
      <c r="A476" s="10"/>
      <c r="B476" s="11"/>
      <c r="C476" s="10"/>
      <c r="D476" s="11"/>
      <c r="E476" s="10"/>
      <c r="F476" s="1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0"/>
      <c r="V476" s="11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2.75" customHeight="1">
      <c r="A477" s="10"/>
      <c r="B477" s="11"/>
      <c r="C477" s="10"/>
      <c r="D477" s="11"/>
      <c r="E477" s="10"/>
      <c r="F477" s="1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0"/>
      <c r="V477" s="11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2.75" customHeight="1">
      <c r="A478" s="10"/>
      <c r="B478" s="11"/>
      <c r="C478" s="10"/>
      <c r="D478" s="11"/>
      <c r="E478" s="10"/>
      <c r="F478" s="1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0"/>
      <c r="V478" s="11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2.75" customHeight="1">
      <c r="A479" s="10"/>
      <c r="B479" s="11"/>
      <c r="C479" s="10"/>
      <c r="D479" s="11"/>
      <c r="E479" s="10"/>
      <c r="F479" s="1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0"/>
      <c r="V479" s="11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2.75" customHeight="1">
      <c r="A480" s="10"/>
      <c r="B480" s="11"/>
      <c r="C480" s="10"/>
      <c r="D480" s="11"/>
      <c r="E480" s="10"/>
      <c r="F480" s="1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0"/>
      <c r="V480" s="11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2.75" customHeight="1">
      <c r="A481" s="10"/>
      <c r="B481" s="11"/>
      <c r="C481" s="10"/>
      <c r="D481" s="11"/>
      <c r="E481" s="10"/>
      <c r="F481" s="1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0"/>
      <c r="V481" s="11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2.75" customHeight="1">
      <c r="A482" s="10"/>
      <c r="B482" s="11"/>
      <c r="C482" s="10"/>
      <c r="D482" s="11"/>
      <c r="E482" s="10"/>
      <c r="F482" s="1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0"/>
      <c r="V482" s="11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2.75" customHeight="1">
      <c r="A483" s="10"/>
      <c r="B483" s="11"/>
      <c r="C483" s="10"/>
      <c r="D483" s="11"/>
      <c r="E483" s="10"/>
      <c r="F483" s="1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0"/>
      <c r="V483" s="11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2.75" customHeight="1">
      <c r="A484" s="10"/>
      <c r="B484" s="11"/>
      <c r="C484" s="10"/>
      <c r="D484" s="11"/>
      <c r="E484" s="10"/>
      <c r="F484" s="1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0"/>
      <c r="V484" s="11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2.75" customHeight="1">
      <c r="A485" s="10"/>
      <c r="B485" s="11"/>
      <c r="C485" s="10"/>
      <c r="D485" s="11"/>
      <c r="E485" s="10"/>
      <c r="F485" s="1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0"/>
      <c r="V485" s="11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2.75" customHeight="1">
      <c r="A486" s="10"/>
      <c r="B486" s="11"/>
      <c r="C486" s="10"/>
      <c r="D486" s="11"/>
      <c r="E486" s="10"/>
      <c r="F486" s="1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0"/>
      <c r="V486" s="11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2.75" customHeight="1">
      <c r="A487" s="10"/>
      <c r="B487" s="11"/>
      <c r="C487" s="10"/>
      <c r="D487" s="11"/>
      <c r="E487" s="10"/>
      <c r="F487" s="1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0"/>
      <c r="V487" s="11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2.75" customHeight="1">
      <c r="A488" s="10"/>
      <c r="B488" s="11"/>
      <c r="C488" s="10"/>
      <c r="D488" s="11"/>
      <c r="E488" s="10"/>
      <c r="F488" s="1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0"/>
      <c r="V488" s="11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2.75" customHeight="1">
      <c r="A489" s="10"/>
      <c r="B489" s="11"/>
      <c r="C489" s="10"/>
      <c r="D489" s="11"/>
      <c r="E489" s="10"/>
      <c r="F489" s="1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0"/>
      <c r="V489" s="11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2.75" customHeight="1">
      <c r="A490" s="10"/>
      <c r="B490" s="11"/>
      <c r="C490" s="10"/>
      <c r="D490" s="11"/>
      <c r="E490" s="10"/>
      <c r="F490" s="1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0"/>
      <c r="V490" s="11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2.75" customHeight="1">
      <c r="A491" s="10"/>
      <c r="B491" s="11"/>
      <c r="C491" s="10"/>
      <c r="D491" s="11"/>
      <c r="E491" s="10"/>
      <c r="F491" s="1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0"/>
      <c r="V491" s="11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2.75" customHeight="1">
      <c r="A492" s="10"/>
      <c r="B492" s="11"/>
      <c r="C492" s="10"/>
      <c r="D492" s="11"/>
      <c r="E492" s="10"/>
      <c r="F492" s="1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0"/>
      <c r="V492" s="11"/>
      <c r="W492" s="10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2.75" customHeight="1">
      <c r="A493" s="10"/>
      <c r="B493" s="11"/>
      <c r="C493" s="10"/>
      <c r="D493" s="11"/>
      <c r="E493" s="10"/>
      <c r="F493" s="1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0"/>
      <c r="V493" s="11"/>
      <c r="W493" s="10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2.75" customHeight="1">
      <c r="A494" s="10"/>
      <c r="B494" s="11"/>
      <c r="C494" s="10"/>
      <c r="D494" s="11"/>
      <c r="E494" s="10"/>
      <c r="F494" s="1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0"/>
      <c r="V494" s="11"/>
      <c r="W494" s="10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2.75" customHeight="1">
      <c r="A495" s="10"/>
      <c r="B495" s="11"/>
      <c r="C495" s="10"/>
      <c r="D495" s="11"/>
      <c r="E495" s="10"/>
      <c r="F495" s="1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0"/>
      <c r="V495" s="11"/>
      <c r="W495" s="10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2.75" customHeight="1">
      <c r="A496" s="10"/>
      <c r="B496" s="11"/>
      <c r="C496" s="10"/>
      <c r="D496" s="11"/>
      <c r="E496" s="10"/>
      <c r="F496" s="1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0"/>
      <c r="V496" s="11"/>
      <c r="W496" s="10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2.75" customHeight="1">
      <c r="A497" s="10"/>
      <c r="B497" s="11"/>
      <c r="C497" s="10"/>
      <c r="D497" s="11"/>
      <c r="E497" s="10"/>
      <c r="F497" s="1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0"/>
      <c r="V497" s="11"/>
      <c r="W497" s="10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2.75" customHeight="1">
      <c r="A498" s="10"/>
      <c r="B498" s="11"/>
      <c r="C498" s="10"/>
      <c r="D498" s="11"/>
      <c r="E498" s="10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0"/>
      <c r="V498" s="11"/>
      <c r="W498" s="10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2.75" customHeight="1">
      <c r="A499" s="10"/>
      <c r="B499" s="11"/>
      <c r="C499" s="10"/>
      <c r="D499" s="11"/>
      <c r="E499" s="10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0"/>
      <c r="V499" s="11"/>
      <c r="W499" s="10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2.75" customHeight="1">
      <c r="A500" s="10"/>
      <c r="B500" s="11"/>
      <c r="C500" s="10"/>
      <c r="D500" s="11"/>
      <c r="E500" s="10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0"/>
      <c r="V500" s="11"/>
      <c r="W500" s="10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2.75" customHeight="1">
      <c r="A501" s="10"/>
      <c r="B501" s="11"/>
      <c r="C501" s="10"/>
      <c r="D501" s="11"/>
      <c r="E501" s="10"/>
      <c r="F501" s="1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0"/>
      <c r="V501" s="11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2.75" customHeight="1">
      <c r="A502" s="10"/>
      <c r="B502" s="11"/>
      <c r="C502" s="10"/>
      <c r="D502" s="11"/>
      <c r="E502" s="10"/>
      <c r="F502" s="1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0"/>
      <c r="V502" s="11"/>
      <c r="W502" s="10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2.75" customHeight="1">
      <c r="A503" s="10"/>
      <c r="B503" s="11"/>
      <c r="C503" s="10"/>
      <c r="D503" s="11"/>
      <c r="E503" s="10"/>
      <c r="F503" s="1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0"/>
      <c r="V503" s="11"/>
      <c r="W503" s="10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2.75" customHeight="1">
      <c r="A504" s="10"/>
      <c r="B504" s="11"/>
      <c r="C504" s="10"/>
      <c r="D504" s="11"/>
      <c r="E504" s="10"/>
      <c r="F504" s="1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0"/>
      <c r="V504" s="11"/>
      <c r="W504" s="10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2.75" customHeight="1">
      <c r="A505" s="10"/>
      <c r="B505" s="11"/>
      <c r="C505" s="10"/>
      <c r="D505" s="11"/>
      <c r="E505" s="10"/>
      <c r="F505" s="1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0"/>
      <c r="V505" s="11"/>
      <c r="W505" s="10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2.75" customHeight="1">
      <c r="A506" s="10"/>
      <c r="B506" s="11"/>
      <c r="C506" s="10"/>
      <c r="D506" s="11"/>
      <c r="E506" s="10"/>
      <c r="F506" s="1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0"/>
      <c r="V506" s="11"/>
      <c r="W506" s="10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2.75" customHeight="1">
      <c r="A507" s="10"/>
      <c r="B507" s="11"/>
      <c r="C507" s="10"/>
      <c r="D507" s="11"/>
      <c r="E507" s="10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0"/>
      <c r="V507" s="11"/>
      <c r="W507" s="10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2.75" customHeight="1">
      <c r="A508" s="10"/>
      <c r="B508" s="11"/>
      <c r="C508" s="10"/>
      <c r="D508" s="11"/>
      <c r="E508" s="10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0"/>
      <c r="V508" s="11"/>
      <c r="W508" s="10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2.75" customHeight="1">
      <c r="A509" s="10"/>
      <c r="B509" s="11"/>
      <c r="C509" s="10"/>
      <c r="D509" s="11"/>
      <c r="E509" s="10"/>
      <c r="F509" s="1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0"/>
      <c r="V509" s="11"/>
      <c r="W509" s="10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2.75" customHeight="1">
      <c r="A510" s="10"/>
      <c r="B510" s="11"/>
      <c r="C510" s="10"/>
      <c r="D510" s="11"/>
      <c r="E510" s="10"/>
      <c r="F510" s="1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0"/>
      <c r="V510" s="11"/>
      <c r="W510" s="10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2.75" customHeight="1">
      <c r="A511" s="10"/>
      <c r="B511" s="11"/>
      <c r="C511" s="10"/>
      <c r="D511" s="11"/>
      <c r="E511" s="10"/>
      <c r="F511" s="1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0"/>
      <c r="V511" s="11"/>
      <c r="W511" s="10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2.75" customHeight="1">
      <c r="A512" s="10"/>
      <c r="B512" s="11"/>
      <c r="C512" s="10"/>
      <c r="D512" s="11"/>
      <c r="E512" s="10"/>
      <c r="F512" s="1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0"/>
      <c r="V512" s="11"/>
      <c r="W512" s="10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2.75" customHeight="1">
      <c r="A513" s="10"/>
      <c r="B513" s="11"/>
      <c r="C513" s="10"/>
      <c r="D513" s="11"/>
      <c r="E513" s="10"/>
      <c r="F513" s="1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0"/>
      <c r="V513" s="11"/>
      <c r="W513" s="10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2.75" customHeight="1">
      <c r="A514" s="10"/>
      <c r="B514" s="11"/>
      <c r="C514" s="10"/>
      <c r="D514" s="11"/>
      <c r="E514" s="10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0"/>
      <c r="V514" s="11"/>
      <c r="W514" s="10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2.75" customHeight="1">
      <c r="A515" s="10"/>
      <c r="B515" s="11"/>
      <c r="C515" s="10"/>
      <c r="D515" s="11"/>
      <c r="E515" s="10"/>
      <c r="F515" s="1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0"/>
      <c r="V515" s="11"/>
      <c r="W515" s="10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2.75" customHeight="1">
      <c r="A516" s="10"/>
      <c r="B516" s="11"/>
      <c r="C516" s="10"/>
      <c r="D516" s="11"/>
      <c r="E516" s="10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0"/>
      <c r="V516" s="11"/>
      <c r="W516" s="10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2.75" customHeight="1">
      <c r="A517" s="10"/>
      <c r="B517" s="11"/>
      <c r="C517" s="10"/>
      <c r="D517" s="11"/>
      <c r="E517" s="10"/>
      <c r="F517" s="1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0"/>
      <c r="V517" s="11"/>
      <c r="W517" s="10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2.75" customHeight="1">
      <c r="A518" s="10"/>
      <c r="B518" s="11"/>
      <c r="C518" s="10"/>
      <c r="D518" s="11"/>
      <c r="E518" s="10"/>
      <c r="F518" s="1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0"/>
      <c r="V518" s="11"/>
      <c r="W518" s="10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2.75" customHeight="1">
      <c r="A519" s="10"/>
      <c r="B519" s="11"/>
      <c r="C519" s="10"/>
      <c r="D519" s="11"/>
      <c r="E519" s="10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0"/>
      <c r="V519" s="11"/>
      <c r="W519" s="10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2.75" customHeight="1">
      <c r="A520" s="10"/>
      <c r="B520" s="11"/>
      <c r="C520" s="10"/>
      <c r="D520" s="11"/>
      <c r="E520" s="10"/>
      <c r="F520" s="1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0"/>
      <c r="V520" s="11"/>
      <c r="W520" s="10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2.75" customHeight="1">
      <c r="A521" s="10"/>
      <c r="B521" s="11"/>
      <c r="C521" s="10"/>
      <c r="D521" s="11"/>
      <c r="E521" s="10"/>
      <c r="F521" s="1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0"/>
      <c r="V521" s="11"/>
      <c r="W521" s="10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2.75" customHeight="1">
      <c r="A522" s="10"/>
      <c r="B522" s="11"/>
      <c r="C522" s="10"/>
      <c r="D522" s="11"/>
      <c r="E522" s="10"/>
      <c r="F522" s="1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0"/>
      <c r="V522" s="11"/>
      <c r="W522" s="10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2.75" customHeight="1">
      <c r="A523" s="10"/>
      <c r="B523" s="11"/>
      <c r="C523" s="10"/>
      <c r="D523" s="11"/>
      <c r="E523" s="10"/>
      <c r="F523" s="1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0"/>
      <c r="V523" s="11"/>
      <c r="W523" s="10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2.75" customHeight="1">
      <c r="A524" s="10"/>
      <c r="B524" s="11"/>
      <c r="C524" s="10"/>
      <c r="D524" s="11"/>
      <c r="E524" s="10"/>
      <c r="F524" s="1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0"/>
      <c r="V524" s="11"/>
      <c r="W524" s="10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2.75" customHeight="1">
      <c r="A525" s="10"/>
      <c r="B525" s="11"/>
      <c r="C525" s="10"/>
      <c r="D525" s="11"/>
      <c r="E525" s="10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0"/>
      <c r="V525" s="11"/>
      <c r="W525" s="10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2.75" customHeight="1">
      <c r="A526" s="10"/>
      <c r="B526" s="11"/>
      <c r="C526" s="10"/>
      <c r="D526" s="11"/>
      <c r="E526" s="10"/>
      <c r="F526" s="1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0"/>
      <c r="V526" s="11"/>
      <c r="W526" s="10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2.75" customHeight="1">
      <c r="A527" s="10"/>
      <c r="B527" s="11"/>
      <c r="C527" s="10"/>
      <c r="D527" s="11"/>
      <c r="E527" s="10"/>
      <c r="F527" s="1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0"/>
      <c r="V527" s="11"/>
      <c r="W527" s="10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2.75" customHeight="1">
      <c r="A528" s="10"/>
      <c r="B528" s="11"/>
      <c r="C528" s="10"/>
      <c r="D528" s="11"/>
      <c r="E528" s="10"/>
      <c r="F528" s="1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0"/>
      <c r="V528" s="11"/>
      <c r="W528" s="10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2.75" customHeight="1">
      <c r="A529" s="10"/>
      <c r="B529" s="11"/>
      <c r="C529" s="10"/>
      <c r="D529" s="11"/>
      <c r="E529" s="10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0"/>
      <c r="V529" s="11"/>
      <c r="W529" s="10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2.75" customHeight="1">
      <c r="A530" s="10"/>
      <c r="B530" s="11"/>
      <c r="C530" s="10"/>
      <c r="D530" s="11"/>
      <c r="E530" s="10"/>
      <c r="F530" s="1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0"/>
      <c r="V530" s="11"/>
      <c r="W530" s="10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2.75" customHeight="1">
      <c r="A531" s="10"/>
      <c r="B531" s="11"/>
      <c r="C531" s="10"/>
      <c r="D531" s="11"/>
      <c r="E531" s="10"/>
      <c r="F531" s="1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0"/>
      <c r="V531" s="11"/>
      <c r="W531" s="10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2.75" customHeight="1">
      <c r="A532" s="10"/>
      <c r="B532" s="11"/>
      <c r="C532" s="10"/>
      <c r="D532" s="11"/>
      <c r="E532" s="10"/>
      <c r="F532" s="1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0"/>
      <c r="V532" s="11"/>
      <c r="W532" s="10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2.75" customHeight="1">
      <c r="A533" s="10"/>
      <c r="B533" s="11"/>
      <c r="C533" s="10"/>
      <c r="D533" s="11"/>
      <c r="E533" s="10"/>
      <c r="F533" s="1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0"/>
      <c r="V533" s="11"/>
      <c r="W533" s="10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2.75" customHeight="1">
      <c r="A534" s="10"/>
      <c r="B534" s="11"/>
      <c r="C534" s="10"/>
      <c r="D534" s="11"/>
      <c r="E534" s="10"/>
      <c r="F534" s="1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0"/>
      <c r="V534" s="11"/>
      <c r="W534" s="10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2.75" customHeight="1">
      <c r="A535" s="10"/>
      <c r="B535" s="11"/>
      <c r="C535" s="10"/>
      <c r="D535" s="11"/>
      <c r="E535" s="10"/>
      <c r="F535" s="1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0"/>
      <c r="V535" s="11"/>
      <c r="W535" s="10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2.75" customHeight="1">
      <c r="A536" s="10"/>
      <c r="B536" s="11"/>
      <c r="C536" s="10"/>
      <c r="D536" s="11"/>
      <c r="E536" s="10"/>
      <c r="F536" s="1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0"/>
      <c r="V536" s="11"/>
      <c r="W536" s="10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2.75" customHeight="1">
      <c r="A537" s="10"/>
      <c r="B537" s="11"/>
      <c r="C537" s="10"/>
      <c r="D537" s="11"/>
      <c r="E537" s="10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0"/>
      <c r="V537" s="11"/>
      <c r="W537" s="10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2.75" customHeight="1">
      <c r="A538" s="10"/>
      <c r="B538" s="11"/>
      <c r="C538" s="10"/>
      <c r="D538" s="11"/>
      <c r="E538" s="10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0"/>
      <c r="V538" s="11"/>
      <c r="W538" s="10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2.75" customHeight="1">
      <c r="A539" s="10"/>
      <c r="B539" s="11"/>
      <c r="C539" s="10"/>
      <c r="D539" s="11"/>
      <c r="E539" s="10"/>
      <c r="F539" s="1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0"/>
      <c r="V539" s="11"/>
      <c r="W539" s="10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2.75" customHeight="1">
      <c r="A540" s="10"/>
      <c r="B540" s="11"/>
      <c r="C540" s="10"/>
      <c r="D540" s="11"/>
      <c r="E540" s="10"/>
      <c r="F540" s="1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0"/>
      <c r="V540" s="11"/>
      <c r="W540" s="10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2.75" customHeight="1">
      <c r="A541" s="10"/>
      <c r="B541" s="11"/>
      <c r="C541" s="10"/>
      <c r="D541" s="11"/>
      <c r="E541" s="10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0"/>
      <c r="V541" s="11"/>
      <c r="W541" s="10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2.75" customHeight="1">
      <c r="A542" s="10"/>
      <c r="B542" s="11"/>
      <c r="C542" s="10"/>
      <c r="D542" s="11"/>
      <c r="E542" s="10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0"/>
      <c r="V542" s="11"/>
      <c r="W542" s="10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2.75" customHeight="1">
      <c r="A543" s="10"/>
      <c r="B543" s="11"/>
      <c r="C543" s="10"/>
      <c r="D543" s="11"/>
      <c r="E543" s="10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0"/>
      <c r="V543" s="11"/>
      <c r="W543" s="10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2.75" customHeight="1">
      <c r="A544" s="10"/>
      <c r="B544" s="11"/>
      <c r="C544" s="10"/>
      <c r="D544" s="11"/>
      <c r="E544" s="10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0"/>
      <c r="V544" s="11"/>
      <c r="W544" s="10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2.75" customHeight="1">
      <c r="A545" s="10"/>
      <c r="B545" s="11"/>
      <c r="C545" s="10"/>
      <c r="D545" s="11"/>
      <c r="E545" s="10"/>
      <c r="F545" s="1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0"/>
      <c r="V545" s="11"/>
      <c r="W545" s="10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2.75" customHeight="1">
      <c r="A546" s="10"/>
      <c r="B546" s="11"/>
      <c r="C546" s="10"/>
      <c r="D546" s="11"/>
      <c r="E546" s="10"/>
      <c r="F546" s="1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0"/>
      <c r="V546" s="11"/>
      <c r="W546" s="10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2.75" customHeight="1">
      <c r="A547" s="10"/>
      <c r="B547" s="11"/>
      <c r="C547" s="10"/>
      <c r="D547" s="11"/>
      <c r="E547" s="10"/>
      <c r="F547" s="1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0"/>
      <c r="V547" s="11"/>
      <c r="W547" s="10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2.75" customHeight="1">
      <c r="A548" s="10"/>
      <c r="B548" s="11"/>
      <c r="C548" s="10"/>
      <c r="D548" s="11"/>
      <c r="E548" s="10"/>
      <c r="F548" s="1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0"/>
      <c r="V548" s="11"/>
      <c r="W548" s="10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2.75" customHeight="1">
      <c r="A549" s="10"/>
      <c r="B549" s="11"/>
      <c r="C549" s="10"/>
      <c r="D549" s="11"/>
      <c r="E549" s="10"/>
      <c r="F549" s="1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0"/>
      <c r="V549" s="11"/>
      <c r="W549" s="10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2.75" customHeight="1">
      <c r="A550" s="10"/>
      <c r="B550" s="11"/>
      <c r="C550" s="10"/>
      <c r="D550" s="11"/>
      <c r="E550" s="10"/>
      <c r="F550" s="1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0"/>
      <c r="V550" s="11"/>
      <c r="W550" s="10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2.75" customHeight="1">
      <c r="A551" s="10"/>
      <c r="B551" s="11"/>
      <c r="C551" s="10"/>
      <c r="D551" s="11"/>
      <c r="E551" s="10"/>
      <c r="F551" s="1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0"/>
      <c r="V551" s="11"/>
      <c r="W551" s="10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2.75" customHeight="1">
      <c r="A552" s="10"/>
      <c r="B552" s="11"/>
      <c r="C552" s="10"/>
      <c r="D552" s="11"/>
      <c r="E552" s="10"/>
      <c r="F552" s="1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0"/>
      <c r="V552" s="11"/>
      <c r="W552" s="10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2.75" customHeight="1">
      <c r="A553" s="10"/>
      <c r="B553" s="11"/>
      <c r="C553" s="10"/>
      <c r="D553" s="11"/>
      <c r="E553" s="10"/>
      <c r="F553" s="1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0"/>
      <c r="V553" s="11"/>
      <c r="W553" s="10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2.75" customHeight="1">
      <c r="A554" s="10"/>
      <c r="B554" s="11"/>
      <c r="C554" s="10"/>
      <c r="D554" s="11"/>
      <c r="E554" s="10"/>
      <c r="F554" s="1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0"/>
      <c r="V554" s="11"/>
      <c r="W554" s="10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2.75" customHeight="1">
      <c r="A555" s="10"/>
      <c r="B555" s="11"/>
      <c r="C555" s="10"/>
      <c r="D555" s="11"/>
      <c r="E555" s="10"/>
      <c r="F555" s="1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0"/>
      <c r="V555" s="11"/>
      <c r="W555" s="10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2.75" customHeight="1">
      <c r="A556" s="10"/>
      <c r="B556" s="11"/>
      <c r="C556" s="10"/>
      <c r="D556" s="11"/>
      <c r="E556" s="10"/>
      <c r="F556" s="1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0"/>
      <c r="V556" s="11"/>
      <c r="W556" s="10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2.75" customHeight="1">
      <c r="A557" s="10"/>
      <c r="B557" s="11"/>
      <c r="C557" s="10"/>
      <c r="D557" s="11"/>
      <c r="E557" s="10"/>
      <c r="F557" s="1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0"/>
      <c r="V557" s="11"/>
      <c r="W557" s="10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2.75" customHeight="1">
      <c r="A558" s="10"/>
      <c r="B558" s="11"/>
      <c r="C558" s="10"/>
      <c r="D558" s="11"/>
      <c r="E558" s="10"/>
      <c r="F558" s="1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0"/>
      <c r="V558" s="11"/>
      <c r="W558" s="10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2.75" customHeight="1">
      <c r="A559" s="10"/>
      <c r="B559" s="11"/>
      <c r="C559" s="10"/>
      <c r="D559" s="11"/>
      <c r="E559" s="10"/>
      <c r="F559" s="1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0"/>
      <c r="V559" s="11"/>
      <c r="W559" s="10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2.75" customHeight="1">
      <c r="A560" s="10"/>
      <c r="B560" s="11"/>
      <c r="C560" s="10"/>
      <c r="D560" s="11"/>
      <c r="E560" s="10"/>
      <c r="F560" s="1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0"/>
      <c r="V560" s="11"/>
      <c r="W560" s="10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2.75" customHeight="1">
      <c r="A561" s="10"/>
      <c r="B561" s="11"/>
      <c r="C561" s="10"/>
      <c r="D561" s="11"/>
      <c r="E561" s="10"/>
      <c r="F561" s="1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0"/>
      <c r="V561" s="11"/>
      <c r="W561" s="10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2.75" customHeight="1">
      <c r="A562" s="10"/>
      <c r="B562" s="11"/>
      <c r="C562" s="10"/>
      <c r="D562" s="11"/>
      <c r="E562" s="10"/>
      <c r="F562" s="1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0"/>
      <c r="V562" s="11"/>
      <c r="W562" s="10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2.75" customHeight="1">
      <c r="A563" s="10"/>
      <c r="B563" s="11"/>
      <c r="C563" s="10"/>
      <c r="D563" s="11"/>
      <c r="E563" s="10"/>
      <c r="F563" s="1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0"/>
      <c r="V563" s="11"/>
      <c r="W563" s="10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2.75" customHeight="1">
      <c r="A564" s="10"/>
      <c r="B564" s="11"/>
      <c r="C564" s="10"/>
      <c r="D564" s="11"/>
      <c r="E564" s="10"/>
      <c r="F564" s="1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0"/>
      <c r="V564" s="11"/>
      <c r="W564" s="10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2.75" customHeight="1">
      <c r="A565" s="10"/>
      <c r="B565" s="11"/>
      <c r="C565" s="10"/>
      <c r="D565" s="11"/>
      <c r="E565" s="10"/>
      <c r="F565" s="1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0"/>
      <c r="V565" s="11"/>
      <c r="W565" s="10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2.75" customHeight="1">
      <c r="A566" s="10"/>
      <c r="B566" s="11"/>
      <c r="C566" s="10"/>
      <c r="D566" s="11"/>
      <c r="E566" s="10"/>
      <c r="F566" s="1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0"/>
      <c r="V566" s="11"/>
      <c r="W566" s="10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2.75" customHeight="1">
      <c r="A567" s="10"/>
      <c r="B567" s="11"/>
      <c r="C567" s="10"/>
      <c r="D567" s="11"/>
      <c r="E567" s="10"/>
      <c r="F567" s="1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0"/>
      <c r="V567" s="11"/>
      <c r="W567" s="10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2.75" customHeight="1">
      <c r="A568" s="10"/>
      <c r="B568" s="11"/>
      <c r="C568" s="10"/>
      <c r="D568" s="11"/>
      <c r="E568" s="10"/>
      <c r="F568" s="1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0"/>
      <c r="V568" s="11"/>
      <c r="W568" s="10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2.75" customHeight="1">
      <c r="A569" s="10"/>
      <c r="B569" s="11"/>
      <c r="C569" s="10"/>
      <c r="D569" s="11"/>
      <c r="E569" s="10"/>
      <c r="F569" s="1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0"/>
      <c r="V569" s="11"/>
      <c r="W569" s="10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2.75" customHeight="1">
      <c r="A570" s="10"/>
      <c r="B570" s="11"/>
      <c r="C570" s="10"/>
      <c r="D570" s="11"/>
      <c r="E570" s="10"/>
      <c r="F570" s="1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0"/>
      <c r="V570" s="11"/>
      <c r="W570" s="10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2.75" customHeight="1">
      <c r="A571" s="10"/>
      <c r="B571" s="11"/>
      <c r="C571" s="10"/>
      <c r="D571" s="11"/>
      <c r="E571" s="10"/>
      <c r="F571" s="1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0"/>
      <c r="V571" s="11"/>
      <c r="W571" s="10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2.75" customHeight="1">
      <c r="A572" s="10"/>
      <c r="B572" s="11"/>
      <c r="C572" s="10"/>
      <c r="D572" s="11"/>
      <c r="E572" s="10"/>
      <c r="F572" s="1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0"/>
      <c r="V572" s="11"/>
      <c r="W572" s="10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2.75" customHeight="1">
      <c r="A573" s="10"/>
      <c r="B573" s="11"/>
      <c r="C573" s="10"/>
      <c r="D573" s="11"/>
      <c r="E573" s="10"/>
      <c r="F573" s="1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0"/>
      <c r="V573" s="11"/>
      <c r="W573" s="10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2.75" customHeight="1">
      <c r="A574" s="10"/>
      <c r="B574" s="11"/>
      <c r="C574" s="10"/>
      <c r="D574" s="11"/>
      <c r="E574" s="10"/>
      <c r="F574" s="1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0"/>
      <c r="V574" s="11"/>
      <c r="W574" s="10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2.75" customHeight="1">
      <c r="A575" s="10"/>
      <c r="B575" s="11"/>
      <c r="C575" s="10"/>
      <c r="D575" s="11"/>
      <c r="E575" s="10"/>
      <c r="F575" s="1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0"/>
      <c r="V575" s="11"/>
      <c r="W575" s="10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2.75" customHeight="1">
      <c r="A576" s="10"/>
      <c r="B576" s="11"/>
      <c r="C576" s="10"/>
      <c r="D576" s="11"/>
      <c r="E576" s="10"/>
      <c r="F576" s="1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0"/>
      <c r="V576" s="11"/>
      <c r="W576" s="10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2.75" customHeight="1">
      <c r="A577" s="10"/>
      <c r="B577" s="11"/>
      <c r="C577" s="10"/>
      <c r="D577" s="11"/>
      <c r="E577" s="10"/>
      <c r="F577" s="1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0"/>
      <c r="V577" s="11"/>
      <c r="W577" s="10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2.75" customHeight="1">
      <c r="A578" s="10"/>
      <c r="B578" s="11"/>
      <c r="C578" s="10"/>
      <c r="D578" s="11"/>
      <c r="E578" s="10"/>
      <c r="F578" s="1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0"/>
      <c r="V578" s="11"/>
      <c r="W578" s="10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2.75" customHeight="1">
      <c r="A579" s="10"/>
      <c r="B579" s="11"/>
      <c r="C579" s="10"/>
      <c r="D579" s="11"/>
      <c r="E579" s="10"/>
      <c r="F579" s="1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0"/>
      <c r="V579" s="11"/>
      <c r="W579" s="10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2.75" customHeight="1">
      <c r="A580" s="10"/>
      <c r="B580" s="11"/>
      <c r="C580" s="10"/>
      <c r="D580" s="11"/>
      <c r="E580" s="10"/>
      <c r="F580" s="1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0"/>
      <c r="V580" s="11"/>
      <c r="W580" s="10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2.75" customHeight="1">
      <c r="A581" s="10"/>
      <c r="B581" s="11"/>
      <c r="C581" s="10"/>
      <c r="D581" s="11"/>
      <c r="E581" s="10"/>
      <c r="F581" s="1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0"/>
      <c r="V581" s="11"/>
      <c r="W581" s="10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2.75" customHeight="1">
      <c r="A582" s="10"/>
      <c r="B582" s="11"/>
      <c r="C582" s="10"/>
      <c r="D582" s="11"/>
      <c r="E582" s="10"/>
      <c r="F582" s="1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0"/>
      <c r="V582" s="11"/>
      <c r="W582" s="10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2.75" customHeight="1">
      <c r="A583" s="10"/>
      <c r="B583" s="11"/>
      <c r="C583" s="10"/>
      <c r="D583" s="11"/>
      <c r="E583" s="10"/>
      <c r="F583" s="1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0"/>
      <c r="V583" s="11"/>
      <c r="W583" s="10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2.75" customHeight="1">
      <c r="A584" s="10"/>
      <c r="B584" s="11"/>
      <c r="C584" s="10"/>
      <c r="D584" s="11"/>
      <c r="E584" s="10"/>
      <c r="F584" s="1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0"/>
      <c r="V584" s="11"/>
      <c r="W584" s="10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2.75" customHeight="1">
      <c r="A585" s="10"/>
      <c r="B585" s="11"/>
      <c r="C585" s="10"/>
      <c r="D585" s="11"/>
      <c r="E585" s="10"/>
      <c r="F585" s="1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0"/>
      <c r="V585" s="11"/>
      <c r="W585" s="10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2.75" customHeight="1">
      <c r="A586" s="10"/>
      <c r="B586" s="11"/>
      <c r="C586" s="10"/>
      <c r="D586" s="11"/>
      <c r="E586" s="10"/>
      <c r="F586" s="1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0"/>
      <c r="V586" s="11"/>
      <c r="W586" s="10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2.75" customHeight="1">
      <c r="A587" s="10"/>
      <c r="B587" s="11"/>
      <c r="C587" s="10"/>
      <c r="D587" s="11"/>
      <c r="E587" s="10"/>
      <c r="F587" s="1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0"/>
      <c r="V587" s="11"/>
      <c r="W587" s="10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2.75" customHeight="1">
      <c r="A588" s="10"/>
      <c r="B588" s="11"/>
      <c r="C588" s="10"/>
      <c r="D588" s="11"/>
      <c r="E588" s="10"/>
      <c r="F588" s="1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0"/>
      <c r="V588" s="11"/>
      <c r="W588" s="10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2.75" customHeight="1">
      <c r="A589" s="10"/>
      <c r="B589" s="11"/>
      <c r="C589" s="10"/>
      <c r="D589" s="11"/>
      <c r="E589" s="10"/>
      <c r="F589" s="1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0"/>
      <c r="V589" s="11"/>
      <c r="W589" s="10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2.75" customHeight="1">
      <c r="A590" s="10"/>
      <c r="B590" s="11"/>
      <c r="C590" s="10"/>
      <c r="D590" s="11"/>
      <c r="E590" s="10"/>
      <c r="F590" s="1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0"/>
      <c r="V590" s="11"/>
      <c r="W590" s="10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2.75" customHeight="1">
      <c r="A591" s="10"/>
      <c r="B591" s="11"/>
      <c r="C591" s="10"/>
      <c r="D591" s="11"/>
      <c r="E591" s="10"/>
      <c r="F591" s="1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0"/>
      <c r="V591" s="11"/>
      <c r="W591" s="10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2.75" customHeight="1">
      <c r="A592" s="10"/>
      <c r="B592" s="11"/>
      <c r="C592" s="10"/>
      <c r="D592" s="11"/>
      <c r="E592" s="10"/>
      <c r="F592" s="1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0"/>
      <c r="V592" s="11"/>
      <c r="W592" s="10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2.75" customHeight="1">
      <c r="A593" s="10"/>
      <c r="B593" s="11"/>
      <c r="C593" s="10"/>
      <c r="D593" s="11"/>
      <c r="E593" s="10"/>
      <c r="F593" s="1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0"/>
      <c r="V593" s="11"/>
      <c r="W593" s="10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2.75" customHeight="1">
      <c r="A594" s="10"/>
      <c r="B594" s="11"/>
      <c r="C594" s="10"/>
      <c r="D594" s="11"/>
      <c r="E594" s="10"/>
      <c r="F594" s="1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0"/>
      <c r="V594" s="11"/>
      <c r="W594" s="10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2.75" customHeight="1">
      <c r="A595" s="10"/>
      <c r="B595" s="11"/>
      <c r="C595" s="10"/>
      <c r="D595" s="11"/>
      <c r="E595" s="10"/>
      <c r="F595" s="1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0"/>
      <c r="V595" s="11"/>
      <c r="W595" s="10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2.75" customHeight="1">
      <c r="A596" s="10"/>
      <c r="B596" s="11"/>
      <c r="C596" s="10"/>
      <c r="D596" s="11"/>
      <c r="E596" s="10"/>
      <c r="F596" s="1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0"/>
      <c r="V596" s="11"/>
      <c r="W596" s="10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2.75" customHeight="1">
      <c r="A597" s="10"/>
      <c r="B597" s="11"/>
      <c r="C597" s="10"/>
      <c r="D597" s="11"/>
      <c r="E597" s="10"/>
      <c r="F597" s="1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0"/>
      <c r="V597" s="11"/>
      <c r="W597" s="10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2.75" customHeight="1">
      <c r="A598" s="10"/>
      <c r="B598" s="11"/>
      <c r="C598" s="10"/>
      <c r="D598" s="11"/>
      <c r="E598" s="10"/>
      <c r="F598" s="1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0"/>
      <c r="V598" s="11"/>
      <c r="W598" s="10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2.75" customHeight="1">
      <c r="A599" s="10"/>
      <c r="B599" s="11"/>
      <c r="C599" s="10"/>
      <c r="D599" s="11"/>
      <c r="E599" s="10"/>
      <c r="F599" s="1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0"/>
      <c r="V599" s="11"/>
      <c r="W599" s="10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2.75" customHeight="1">
      <c r="A600" s="10"/>
      <c r="B600" s="11"/>
      <c r="C600" s="10"/>
      <c r="D600" s="11"/>
      <c r="E600" s="10"/>
      <c r="F600" s="1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0"/>
      <c r="V600" s="11"/>
      <c r="W600" s="10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2.75" customHeight="1">
      <c r="A601" s="10"/>
      <c r="B601" s="11"/>
      <c r="C601" s="10"/>
      <c r="D601" s="11"/>
      <c r="E601" s="10"/>
      <c r="F601" s="1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0"/>
      <c r="V601" s="11"/>
      <c r="W601" s="10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2.75" customHeight="1">
      <c r="A602" s="10"/>
      <c r="B602" s="11"/>
      <c r="C602" s="10"/>
      <c r="D602" s="11"/>
      <c r="E602" s="10"/>
      <c r="F602" s="1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0"/>
      <c r="V602" s="11"/>
      <c r="W602" s="10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2.75" customHeight="1">
      <c r="A603" s="10"/>
      <c r="B603" s="11"/>
      <c r="C603" s="10"/>
      <c r="D603" s="11"/>
      <c r="E603" s="10"/>
      <c r="F603" s="1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0"/>
      <c r="V603" s="11"/>
      <c r="W603" s="10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2.75" customHeight="1">
      <c r="A604" s="10"/>
      <c r="B604" s="11"/>
      <c r="C604" s="10"/>
      <c r="D604" s="11"/>
      <c r="E604" s="10"/>
      <c r="F604" s="1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0"/>
      <c r="V604" s="11"/>
      <c r="W604" s="10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2.75" customHeight="1">
      <c r="A605" s="10"/>
      <c r="B605" s="11"/>
      <c r="C605" s="10"/>
      <c r="D605" s="11"/>
      <c r="E605" s="10"/>
      <c r="F605" s="1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0"/>
      <c r="V605" s="11"/>
      <c r="W605" s="10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2.75" customHeight="1">
      <c r="A606" s="10"/>
      <c r="B606" s="11"/>
      <c r="C606" s="10"/>
      <c r="D606" s="11"/>
      <c r="E606" s="10"/>
      <c r="F606" s="1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0"/>
      <c r="V606" s="11"/>
      <c r="W606" s="10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2.75" customHeight="1">
      <c r="A607" s="10"/>
      <c r="B607" s="11"/>
      <c r="C607" s="10"/>
      <c r="D607" s="11"/>
      <c r="E607" s="10"/>
      <c r="F607" s="1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0"/>
      <c r="V607" s="11"/>
      <c r="W607" s="10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2.75" customHeight="1">
      <c r="A608" s="10"/>
      <c r="B608" s="11"/>
      <c r="C608" s="10"/>
      <c r="D608" s="11"/>
      <c r="E608" s="10"/>
      <c r="F608" s="1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0"/>
      <c r="V608" s="11"/>
      <c r="W608" s="10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2.75" customHeight="1">
      <c r="A609" s="10"/>
      <c r="B609" s="11"/>
      <c r="C609" s="10"/>
      <c r="D609" s="11"/>
      <c r="E609" s="10"/>
      <c r="F609" s="1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0"/>
      <c r="V609" s="11"/>
      <c r="W609" s="10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2.75" customHeight="1">
      <c r="A610" s="10"/>
      <c r="B610" s="11"/>
      <c r="C610" s="10"/>
      <c r="D610" s="11"/>
      <c r="E610" s="10"/>
      <c r="F610" s="1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0"/>
      <c r="V610" s="11"/>
      <c r="W610" s="10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2.75" customHeight="1">
      <c r="A611" s="10"/>
      <c r="B611" s="11"/>
      <c r="C611" s="10"/>
      <c r="D611" s="11"/>
      <c r="E611" s="10"/>
      <c r="F611" s="1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0"/>
      <c r="V611" s="11"/>
      <c r="W611" s="10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2.75" customHeight="1">
      <c r="A612" s="10"/>
      <c r="B612" s="11"/>
      <c r="C612" s="10"/>
      <c r="D612" s="11"/>
      <c r="E612" s="10"/>
      <c r="F612" s="1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0"/>
      <c r="V612" s="11"/>
      <c r="W612" s="10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2.75" customHeight="1">
      <c r="A613" s="10"/>
      <c r="B613" s="11"/>
      <c r="C613" s="10"/>
      <c r="D613" s="11"/>
      <c r="E613" s="10"/>
      <c r="F613" s="1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0"/>
      <c r="V613" s="11"/>
      <c r="W613" s="10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2.75" customHeight="1">
      <c r="A614" s="10"/>
      <c r="B614" s="11"/>
      <c r="C614" s="10"/>
      <c r="D614" s="11"/>
      <c r="E614" s="10"/>
      <c r="F614" s="1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0"/>
      <c r="V614" s="11"/>
      <c r="W614" s="10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2.75" customHeight="1">
      <c r="A615" s="10"/>
      <c r="B615" s="11"/>
      <c r="C615" s="10"/>
      <c r="D615" s="11"/>
      <c r="E615" s="10"/>
      <c r="F615" s="1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0"/>
      <c r="V615" s="11"/>
      <c r="W615" s="10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2.75" customHeight="1">
      <c r="A616" s="10"/>
      <c r="B616" s="11"/>
      <c r="C616" s="10"/>
      <c r="D616" s="11"/>
      <c r="E616" s="10"/>
      <c r="F616" s="1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0"/>
      <c r="V616" s="11"/>
      <c r="W616" s="10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2.75" customHeight="1">
      <c r="A617" s="10"/>
      <c r="B617" s="11"/>
      <c r="C617" s="10"/>
      <c r="D617" s="11"/>
      <c r="E617" s="10"/>
      <c r="F617" s="1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0"/>
      <c r="V617" s="11"/>
      <c r="W617" s="10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2.75" customHeight="1">
      <c r="A618" s="10"/>
      <c r="B618" s="11"/>
      <c r="C618" s="10"/>
      <c r="D618" s="11"/>
      <c r="E618" s="10"/>
      <c r="F618" s="1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0"/>
      <c r="V618" s="11"/>
      <c r="W618" s="10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2.75" customHeight="1">
      <c r="A619" s="10"/>
      <c r="B619" s="11"/>
      <c r="C619" s="10"/>
      <c r="D619" s="11"/>
      <c r="E619" s="10"/>
      <c r="F619" s="1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0"/>
      <c r="V619" s="11"/>
      <c r="W619" s="10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2.75" customHeight="1">
      <c r="A620" s="10"/>
      <c r="B620" s="11"/>
      <c r="C620" s="10"/>
      <c r="D620" s="11"/>
      <c r="E620" s="10"/>
      <c r="F620" s="1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0"/>
      <c r="V620" s="11"/>
      <c r="W620" s="10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2.75" customHeight="1">
      <c r="A621" s="10"/>
      <c r="B621" s="11"/>
      <c r="C621" s="10"/>
      <c r="D621" s="11"/>
      <c r="E621" s="10"/>
      <c r="F621" s="1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0"/>
      <c r="V621" s="11"/>
      <c r="W621" s="10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2.75" customHeight="1">
      <c r="A622" s="10"/>
      <c r="B622" s="11"/>
      <c r="C622" s="10"/>
      <c r="D622" s="11"/>
      <c r="E622" s="10"/>
      <c r="F622" s="1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0"/>
      <c r="V622" s="11"/>
      <c r="W622" s="10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2.75" customHeight="1">
      <c r="A623" s="10"/>
      <c r="B623" s="11"/>
      <c r="C623" s="10"/>
      <c r="D623" s="11"/>
      <c r="E623" s="10"/>
      <c r="F623" s="1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0"/>
      <c r="V623" s="11"/>
      <c r="W623" s="10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2.75" customHeight="1">
      <c r="A624" s="10"/>
      <c r="B624" s="11"/>
      <c r="C624" s="10"/>
      <c r="D624" s="11"/>
      <c r="E624" s="10"/>
      <c r="F624" s="1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0"/>
      <c r="V624" s="11"/>
      <c r="W624" s="10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2.75" customHeight="1">
      <c r="A625" s="10"/>
      <c r="B625" s="11"/>
      <c r="C625" s="10"/>
      <c r="D625" s="11"/>
      <c r="E625" s="10"/>
      <c r="F625" s="1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0"/>
      <c r="V625" s="11"/>
      <c r="W625" s="10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2.75" customHeight="1">
      <c r="A626" s="10"/>
      <c r="B626" s="11"/>
      <c r="C626" s="10"/>
      <c r="D626" s="11"/>
      <c r="E626" s="10"/>
      <c r="F626" s="1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0"/>
      <c r="V626" s="11"/>
      <c r="W626" s="10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2.75" customHeight="1">
      <c r="A627" s="10"/>
      <c r="B627" s="11"/>
      <c r="C627" s="10"/>
      <c r="D627" s="11"/>
      <c r="E627" s="10"/>
      <c r="F627" s="1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0"/>
      <c r="V627" s="11"/>
      <c r="W627" s="10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2.75" customHeight="1">
      <c r="A628" s="10"/>
      <c r="B628" s="11"/>
      <c r="C628" s="10"/>
      <c r="D628" s="11"/>
      <c r="E628" s="10"/>
      <c r="F628" s="1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0"/>
      <c r="V628" s="11"/>
      <c r="W628" s="10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2.75" customHeight="1">
      <c r="A629" s="10"/>
      <c r="B629" s="11"/>
      <c r="C629" s="10"/>
      <c r="D629" s="11"/>
      <c r="E629" s="10"/>
      <c r="F629" s="1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0"/>
      <c r="V629" s="11"/>
      <c r="W629" s="10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2.75" customHeight="1">
      <c r="A630" s="10"/>
      <c r="B630" s="11"/>
      <c r="C630" s="10"/>
      <c r="D630" s="11"/>
      <c r="E630" s="10"/>
      <c r="F630" s="1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0"/>
      <c r="V630" s="11"/>
      <c r="W630" s="10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2.75" customHeight="1">
      <c r="A631" s="10"/>
      <c r="B631" s="11"/>
      <c r="C631" s="10"/>
      <c r="D631" s="11"/>
      <c r="E631" s="10"/>
      <c r="F631" s="1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0"/>
      <c r="V631" s="11"/>
      <c r="W631" s="10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2.75" customHeight="1">
      <c r="A632" s="10"/>
      <c r="B632" s="11"/>
      <c r="C632" s="10"/>
      <c r="D632" s="11"/>
      <c r="E632" s="10"/>
      <c r="F632" s="1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0"/>
      <c r="V632" s="11"/>
      <c r="W632" s="10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2.75" customHeight="1">
      <c r="A633" s="10"/>
      <c r="B633" s="11"/>
      <c r="C633" s="10"/>
      <c r="D633" s="11"/>
      <c r="E633" s="10"/>
      <c r="F633" s="1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0"/>
      <c r="V633" s="11"/>
      <c r="W633" s="10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2.75" customHeight="1">
      <c r="A634" s="10"/>
      <c r="B634" s="11"/>
      <c r="C634" s="10"/>
      <c r="D634" s="11"/>
      <c r="E634" s="10"/>
      <c r="F634" s="1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0"/>
      <c r="V634" s="11"/>
      <c r="W634" s="10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2.75" customHeight="1">
      <c r="A635" s="10"/>
      <c r="B635" s="11"/>
      <c r="C635" s="10"/>
      <c r="D635" s="11"/>
      <c r="E635" s="10"/>
      <c r="F635" s="1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0"/>
      <c r="V635" s="11"/>
      <c r="W635" s="10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2.75" customHeight="1">
      <c r="A636" s="10"/>
      <c r="B636" s="11"/>
      <c r="C636" s="10"/>
      <c r="D636" s="11"/>
      <c r="E636" s="10"/>
      <c r="F636" s="1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0"/>
      <c r="V636" s="11"/>
      <c r="W636" s="10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2.75" customHeight="1">
      <c r="A637" s="10"/>
      <c r="B637" s="11"/>
      <c r="C637" s="10"/>
      <c r="D637" s="11"/>
      <c r="E637" s="10"/>
      <c r="F637" s="1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0"/>
      <c r="V637" s="11"/>
      <c r="W637" s="10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2.75" customHeight="1">
      <c r="A638" s="10"/>
      <c r="B638" s="11"/>
      <c r="C638" s="10"/>
      <c r="D638" s="11"/>
      <c r="E638" s="10"/>
      <c r="F638" s="1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0"/>
      <c r="V638" s="11"/>
      <c r="W638" s="10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2.75" customHeight="1">
      <c r="A639" s="10"/>
      <c r="B639" s="11"/>
      <c r="C639" s="10"/>
      <c r="D639" s="11"/>
      <c r="E639" s="10"/>
      <c r="F639" s="1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0"/>
      <c r="V639" s="11"/>
      <c r="W639" s="10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2.75" customHeight="1">
      <c r="A640" s="10"/>
      <c r="B640" s="11"/>
      <c r="C640" s="10"/>
      <c r="D640" s="11"/>
      <c r="E640" s="10"/>
      <c r="F640" s="1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0"/>
      <c r="V640" s="11"/>
      <c r="W640" s="10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2.75" customHeight="1">
      <c r="A641" s="10"/>
      <c r="B641" s="11"/>
      <c r="C641" s="10"/>
      <c r="D641" s="11"/>
      <c r="E641" s="10"/>
      <c r="F641" s="1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0"/>
      <c r="V641" s="11"/>
      <c r="W641" s="10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2.75" customHeight="1">
      <c r="A642" s="10"/>
      <c r="B642" s="11"/>
      <c r="C642" s="10"/>
      <c r="D642" s="11"/>
      <c r="E642" s="10"/>
      <c r="F642" s="1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0"/>
      <c r="V642" s="11"/>
      <c r="W642" s="10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2.75" customHeight="1">
      <c r="A643" s="10"/>
      <c r="B643" s="11"/>
      <c r="C643" s="10"/>
      <c r="D643" s="11"/>
      <c r="E643" s="10"/>
      <c r="F643" s="1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0"/>
      <c r="V643" s="11"/>
      <c r="W643" s="10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2.75" customHeight="1">
      <c r="A644" s="10"/>
      <c r="B644" s="11"/>
      <c r="C644" s="10"/>
      <c r="D644" s="11"/>
      <c r="E644" s="10"/>
      <c r="F644" s="1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0"/>
      <c r="V644" s="11"/>
      <c r="W644" s="10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2.75" customHeight="1">
      <c r="A645" s="10"/>
      <c r="B645" s="11"/>
      <c r="C645" s="10"/>
      <c r="D645" s="11"/>
      <c r="E645" s="10"/>
      <c r="F645" s="1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0"/>
      <c r="V645" s="11"/>
      <c r="W645" s="10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2.75" customHeight="1">
      <c r="A646" s="10"/>
      <c r="B646" s="11"/>
      <c r="C646" s="10"/>
      <c r="D646" s="11"/>
      <c r="E646" s="10"/>
      <c r="F646" s="1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0"/>
      <c r="V646" s="11"/>
      <c r="W646" s="10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2.75" customHeight="1">
      <c r="A647" s="10"/>
      <c r="B647" s="11"/>
      <c r="C647" s="10"/>
      <c r="D647" s="11"/>
      <c r="E647" s="10"/>
      <c r="F647" s="1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0"/>
      <c r="V647" s="11"/>
      <c r="W647" s="10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2.75" customHeight="1">
      <c r="A648" s="10"/>
      <c r="B648" s="11"/>
      <c r="C648" s="10"/>
      <c r="D648" s="11"/>
      <c r="E648" s="10"/>
      <c r="F648" s="1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0"/>
      <c r="V648" s="11"/>
      <c r="W648" s="10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2.75" customHeight="1">
      <c r="A649" s="10"/>
      <c r="B649" s="11"/>
      <c r="C649" s="10"/>
      <c r="D649" s="11"/>
      <c r="E649" s="10"/>
      <c r="F649" s="1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0"/>
      <c r="V649" s="11"/>
      <c r="W649" s="10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2.75" customHeight="1">
      <c r="A650" s="10"/>
      <c r="B650" s="11"/>
      <c r="C650" s="10"/>
      <c r="D650" s="11"/>
      <c r="E650" s="10"/>
      <c r="F650" s="1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0"/>
      <c r="V650" s="11"/>
      <c r="W650" s="10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2.75" customHeight="1">
      <c r="A651" s="10"/>
      <c r="B651" s="11"/>
      <c r="C651" s="10"/>
      <c r="D651" s="11"/>
      <c r="E651" s="10"/>
      <c r="F651" s="1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0"/>
      <c r="V651" s="11"/>
      <c r="W651" s="10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2.75" customHeight="1">
      <c r="A652" s="10"/>
      <c r="B652" s="11"/>
      <c r="C652" s="10"/>
      <c r="D652" s="11"/>
      <c r="E652" s="10"/>
      <c r="F652" s="1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0"/>
      <c r="V652" s="11"/>
      <c r="W652" s="10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2.75" customHeight="1">
      <c r="A653" s="10"/>
      <c r="B653" s="11"/>
      <c r="C653" s="10"/>
      <c r="D653" s="11"/>
      <c r="E653" s="10"/>
      <c r="F653" s="1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0"/>
      <c r="V653" s="11"/>
      <c r="W653" s="10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2.75" customHeight="1">
      <c r="A654" s="10"/>
      <c r="B654" s="11"/>
      <c r="C654" s="10"/>
      <c r="D654" s="11"/>
      <c r="E654" s="10"/>
      <c r="F654" s="1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0"/>
      <c r="V654" s="11"/>
      <c r="W654" s="10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2.75" customHeight="1">
      <c r="A655" s="10"/>
      <c r="B655" s="11"/>
      <c r="C655" s="10"/>
      <c r="D655" s="11"/>
      <c r="E655" s="10"/>
      <c r="F655" s="1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0"/>
      <c r="V655" s="11"/>
      <c r="W655" s="10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2.75" customHeight="1">
      <c r="A656" s="10"/>
      <c r="B656" s="11"/>
      <c r="C656" s="10"/>
      <c r="D656" s="11"/>
      <c r="E656" s="10"/>
      <c r="F656" s="1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0"/>
      <c r="V656" s="11"/>
      <c r="W656" s="10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2.75" customHeight="1">
      <c r="A657" s="10"/>
      <c r="B657" s="11"/>
      <c r="C657" s="10"/>
      <c r="D657" s="11"/>
      <c r="E657" s="10"/>
      <c r="F657" s="1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0"/>
      <c r="V657" s="11"/>
      <c r="W657" s="10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2.75" customHeight="1">
      <c r="A658" s="10"/>
      <c r="B658" s="11"/>
      <c r="C658" s="10"/>
      <c r="D658" s="11"/>
      <c r="E658" s="10"/>
      <c r="F658" s="1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0"/>
      <c r="V658" s="11"/>
      <c r="W658" s="10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2.75" customHeight="1">
      <c r="A659" s="10"/>
      <c r="B659" s="11"/>
      <c r="C659" s="10"/>
      <c r="D659" s="11"/>
      <c r="E659" s="10"/>
      <c r="F659" s="1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0"/>
      <c r="V659" s="11"/>
      <c r="W659" s="10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2.75" customHeight="1">
      <c r="A660" s="10"/>
      <c r="B660" s="11"/>
      <c r="C660" s="10"/>
      <c r="D660" s="11"/>
      <c r="E660" s="10"/>
      <c r="F660" s="1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0"/>
      <c r="V660" s="11"/>
      <c r="W660" s="10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2.75" customHeight="1">
      <c r="A661" s="10"/>
      <c r="B661" s="11"/>
      <c r="C661" s="10"/>
      <c r="D661" s="11"/>
      <c r="E661" s="10"/>
      <c r="F661" s="1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0"/>
      <c r="V661" s="11"/>
      <c r="W661" s="10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2.75" customHeight="1">
      <c r="A662" s="10"/>
      <c r="B662" s="11"/>
      <c r="C662" s="10"/>
      <c r="D662" s="11"/>
      <c r="E662" s="10"/>
      <c r="F662" s="1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0"/>
      <c r="V662" s="11"/>
      <c r="W662" s="10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2.75" customHeight="1">
      <c r="A663" s="10"/>
      <c r="B663" s="11"/>
      <c r="C663" s="10"/>
      <c r="D663" s="11"/>
      <c r="E663" s="10"/>
      <c r="F663" s="1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0"/>
      <c r="V663" s="11"/>
      <c r="W663" s="10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2.75" customHeight="1">
      <c r="A664" s="10"/>
      <c r="B664" s="11"/>
      <c r="C664" s="10"/>
      <c r="D664" s="11"/>
      <c r="E664" s="10"/>
      <c r="F664" s="1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0"/>
      <c r="V664" s="11"/>
      <c r="W664" s="10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2.75" customHeight="1">
      <c r="A665" s="10"/>
      <c r="B665" s="11"/>
      <c r="C665" s="10"/>
      <c r="D665" s="11"/>
      <c r="E665" s="10"/>
      <c r="F665" s="1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0"/>
      <c r="V665" s="11"/>
      <c r="W665" s="10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2.75" customHeight="1">
      <c r="A666" s="10"/>
      <c r="B666" s="11"/>
      <c r="C666" s="10"/>
      <c r="D666" s="11"/>
      <c r="E666" s="10"/>
      <c r="F666" s="1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0"/>
      <c r="V666" s="11"/>
      <c r="W666" s="10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2.75" customHeight="1">
      <c r="A667" s="10"/>
      <c r="B667" s="11"/>
      <c r="C667" s="10"/>
      <c r="D667" s="11"/>
      <c r="E667" s="10"/>
      <c r="F667" s="1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0"/>
      <c r="V667" s="11"/>
      <c r="W667" s="10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2.75" customHeight="1">
      <c r="A668" s="10"/>
      <c r="B668" s="11"/>
      <c r="C668" s="10"/>
      <c r="D668" s="11"/>
      <c r="E668" s="10"/>
      <c r="F668" s="1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0"/>
      <c r="V668" s="11"/>
      <c r="W668" s="10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2.75" customHeight="1">
      <c r="A669" s="10"/>
      <c r="B669" s="11"/>
      <c r="C669" s="10"/>
      <c r="D669" s="11"/>
      <c r="E669" s="10"/>
      <c r="F669" s="1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0"/>
      <c r="V669" s="11"/>
      <c r="W669" s="10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2.75" customHeight="1">
      <c r="A670" s="10"/>
      <c r="B670" s="11"/>
      <c r="C670" s="10"/>
      <c r="D670" s="11"/>
      <c r="E670" s="10"/>
      <c r="F670" s="1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0"/>
      <c r="V670" s="11"/>
      <c r="W670" s="10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2.75" customHeight="1">
      <c r="A671" s="10"/>
      <c r="B671" s="11"/>
      <c r="C671" s="10"/>
      <c r="D671" s="11"/>
      <c r="E671" s="10"/>
      <c r="F671" s="1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0"/>
      <c r="V671" s="11"/>
      <c r="W671" s="10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2.75" customHeight="1">
      <c r="A672" s="10"/>
      <c r="B672" s="11"/>
      <c r="C672" s="10"/>
      <c r="D672" s="11"/>
      <c r="E672" s="10"/>
      <c r="F672" s="1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0"/>
      <c r="V672" s="11"/>
      <c r="W672" s="10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2.75" customHeight="1">
      <c r="A673" s="10"/>
      <c r="B673" s="11"/>
      <c r="C673" s="10"/>
      <c r="D673" s="11"/>
      <c r="E673" s="10"/>
      <c r="F673" s="1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0"/>
      <c r="V673" s="11"/>
      <c r="W673" s="10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2.75" customHeight="1">
      <c r="A674" s="10"/>
      <c r="B674" s="11"/>
      <c r="C674" s="10"/>
      <c r="D674" s="11"/>
      <c r="E674" s="10"/>
      <c r="F674" s="1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0"/>
      <c r="V674" s="11"/>
      <c r="W674" s="10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2.75" customHeight="1">
      <c r="A675" s="10"/>
      <c r="B675" s="11"/>
      <c r="C675" s="10"/>
      <c r="D675" s="11"/>
      <c r="E675" s="10"/>
      <c r="F675" s="1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0"/>
      <c r="V675" s="11"/>
      <c r="W675" s="10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2.75" customHeight="1">
      <c r="A676" s="10"/>
      <c r="B676" s="11"/>
      <c r="C676" s="10"/>
      <c r="D676" s="11"/>
      <c r="E676" s="10"/>
      <c r="F676" s="1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0"/>
      <c r="V676" s="11"/>
      <c r="W676" s="10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2.75" customHeight="1">
      <c r="A677" s="10"/>
      <c r="B677" s="11"/>
      <c r="C677" s="10"/>
      <c r="D677" s="11"/>
      <c r="E677" s="10"/>
      <c r="F677" s="1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0"/>
      <c r="V677" s="11"/>
      <c r="W677" s="10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2.75" customHeight="1">
      <c r="A678" s="10"/>
      <c r="B678" s="11"/>
      <c r="C678" s="10"/>
      <c r="D678" s="11"/>
      <c r="E678" s="10"/>
      <c r="F678" s="1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0"/>
      <c r="V678" s="11"/>
      <c r="W678" s="10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2.75" customHeight="1">
      <c r="A679" s="10"/>
      <c r="B679" s="11"/>
      <c r="C679" s="10"/>
      <c r="D679" s="11"/>
      <c r="E679" s="10"/>
      <c r="F679" s="1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0"/>
      <c r="V679" s="11"/>
      <c r="W679" s="10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2.75" customHeight="1">
      <c r="A680" s="10"/>
      <c r="B680" s="11"/>
      <c r="C680" s="10"/>
      <c r="D680" s="11"/>
      <c r="E680" s="10"/>
      <c r="F680" s="1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0"/>
      <c r="V680" s="11"/>
      <c r="W680" s="10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2.75" customHeight="1">
      <c r="A681" s="10"/>
      <c r="B681" s="11"/>
      <c r="C681" s="10"/>
      <c r="D681" s="11"/>
      <c r="E681" s="10"/>
      <c r="F681" s="1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0"/>
      <c r="V681" s="11"/>
      <c r="W681" s="10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2.75" customHeight="1">
      <c r="A682" s="10"/>
      <c r="B682" s="11"/>
      <c r="C682" s="10"/>
      <c r="D682" s="11"/>
      <c r="E682" s="10"/>
      <c r="F682" s="1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0"/>
      <c r="V682" s="11"/>
      <c r="W682" s="10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2.75" customHeight="1">
      <c r="A683" s="10"/>
      <c r="B683" s="11"/>
      <c r="C683" s="10"/>
      <c r="D683" s="11"/>
      <c r="E683" s="10"/>
      <c r="F683" s="1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0"/>
      <c r="V683" s="11"/>
      <c r="W683" s="10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2.75" customHeight="1">
      <c r="A684" s="10"/>
      <c r="B684" s="11"/>
      <c r="C684" s="10"/>
      <c r="D684" s="11"/>
      <c r="E684" s="10"/>
      <c r="F684" s="1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0"/>
      <c r="V684" s="11"/>
      <c r="W684" s="10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2.75" customHeight="1">
      <c r="A685" s="10"/>
      <c r="B685" s="11"/>
      <c r="C685" s="10"/>
      <c r="D685" s="11"/>
      <c r="E685" s="10"/>
      <c r="F685" s="1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0"/>
      <c r="V685" s="11"/>
      <c r="W685" s="10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2.75" customHeight="1">
      <c r="A686" s="10"/>
      <c r="B686" s="11"/>
      <c r="C686" s="10"/>
      <c r="D686" s="11"/>
      <c r="E686" s="10"/>
      <c r="F686" s="1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0"/>
      <c r="V686" s="11"/>
      <c r="W686" s="10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2.75" customHeight="1">
      <c r="A687" s="10"/>
      <c r="B687" s="11"/>
      <c r="C687" s="10"/>
      <c r="D687" s="11"/>
      <c r="E687" s="10"/>
      <c r="F687" s="1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0"/>
      <c r="V687" s="11"/>
      <c r="W687" s="10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2.75" customHeight="1">
      <c r="A688" s="10"/>
      <c r="B688" s="11"/>
      <c r="C688" s="10"/>
      <c r="D688" s="11"/>
      <c r="E688" s="10"/>
      <c r="F688" s="1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0"/>
      <c r="V688" s="11"/>
      <c r="W688" s="10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2.75" customHeight="1">
      <c r="A689" s="10"/>
      <c r="B689" s="11"/>
      <c r="C689" s="10"/>
      <c r="D689" s="11"/>
      <c r="E689" s="10"/>
      <c r="F689" s="1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0"/>
      <c r="V689" s="11"/>
      <c r="W689" s="10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2.75" customHeight="1">
      <c r="A690" s="10"/>
      <c r="B690" s="11"/>
      <c r="C690" s="10"/>
      <c r="D690" s="11"/>
      <c r="E690" s="10"/>
      <c r="F690" s="1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0"/>
      <c r="V690" s="11"/>
      <c r="W690" s="10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2.75" customHeight="1">
      <c r="A691" s="10"/>
      <c r="B691" s="11"/>
      <c r="C691" s="10"/>
      <c r="D691" s="11"/>
      <c r="E691" s="10"/>
      <c r="F691" s="1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0"/>
      <c r="V691" s="11"/>
      <c r="W691" s="10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2.75" customHeight="1">
      <c r="A692" s="10"/>
      <c r="B692" s="11"/>
      <c r="C692" s="10"/>
      <c r="D692" s="11"/>
      <c r="E692" s="10"/>
      <c r="F692" s="1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0"/>
      <c r="V692" s="11"/>
      <c r="W692" s="10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2.75" customHeight="1">
      <c r="A693" s="10"/>
      <c r="B693" s="11"/>
      <c r="C693" s="10"/>
      <c r="D693" s="11"/>
      <c r="E693" s="10"/>
      <c r="F693" s="1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0"/>
      <c r="V693" s="11"/>
      <c r="W693" s="10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2.75" customHeight="1">
      <c r="A694" s="10"/>
      <c r="B694" s="11"/>
      <c r="C694" s="10"/>
      <c r="D694" s="11"/>
      <c r="E694" s="10"/>
      <c r="F694" s="1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0"/>
      <c r="V694" s="11"/>
      <c r="W694" s="10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2.75" customHeight="1">
      <c r="A695" s="10"/>
      <c r="B695" s="11"/>
      <c r="C695" s="10"/>
      <c r="D695" s="11"/>
      <c r="E695" s="10"/>
      <c r="F695" s="1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0"/>
      <c r="V695" s="11"/>
      <c r="W695" s="10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2.75" customHeight="1">
      <c r="A696" s="10"/>
      <c r="B696" s="11"/>
      <c r="C696" s="10"/>
      <c r="D696" s="11"/>
      <c r="E696" s="10"/>
      <c r="F696" s="1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0"/>
      <c r="V696" s="11"/>
      <c r="W696" s="10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2.75" customHeight="1">
      <c r="A697" s="10"/>
      <c r="B697" s="11"/>
      <c r="C697" s="10"/>
      <c r="D697" s="11"/>
      <c r="E697" s="10"/>
      <c r="F697" s="1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0"/>
      <c r="V697" s="11"/>
      <c r="W697" s="10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2.75" customHeight="1">
      <c r="A698" s="10"/>
      <c r="B698" s="11"/>
      <c r="C698" s="10"/>
      <c r="D698" s="11"/>
      <c r="E698" s="10"/>
      <c r="F698" s="1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0"/>
      <c r="V698" s="11"/>
      <c r="W698" s="10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2.75" customHeight="1">
      <c r="A699" s="10"/>
      <c r="B699" s="11"/>
      <c r="C699" s="10"/>
      <c r="D699" s="11"/>
      <c r="E699" s="10"/>
      <c r="F699" s="1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0"/>
      <c r="V699" s="11"/>
      <c r="W699" s="10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2.75" customHeight="1">
      <c r="A700" s="10"/>
      <c r="B700" s="11"/>
      <c r="C700" s="10"/>
      <c r="D700" s="11"/>
      <c r="E700" s="10"/>
      <c r="F700" s="1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0"/>
      <c r="V700" s="11"/>
      <c r="W700" s="10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2.75" customHeight="1">
      <c r="A701" s="10"/>
      <c r="B701" s="11"/>
      <c r="C701" s="10"/>
      <c r="D701" s="11"/>
      <c r="E701" s="10"/>
      <c r="F701" s="1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0"/>
      <c r="V701" s="11"/>
      <c r="W701" s="10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2.75" customHeight="1">
      <c r="A702" s="10"/>
      <c r="B702" s="11"/>
      <c r="C702" s="10"/>
      <c r="D702" s="11"/>
      <c r="E702" s="10"/>
      <c r="F702" s="1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0"/>
      <c r="V702" s="11"/>
      <c r="W702" s="10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2.75" customHeight="1">
      <c r="A703" s="10"/>
      <c r="B703" s="11"/>
      <c r="C703" s="10"/>
      <c r="D703" s="11"/>
      <c r="E703" s="10"/>
      <c r="F703" s="1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0"/>
      <c r="V703" s="11"/>
      <c r="W703" s="10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2.75" customHeight="1">
      <c r="A704" s="10"/>
      <c r="B704" s="11"/>
      <c r="C704" s="10"/>
      <c r="D704" s="11"/>
      <c r="E704" s="10"/>
      <c r="F704" s="1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0"/>
      <c r="V704" s="11"/>
      <c r="W704" s="10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2.75" customHeight="1">
      <c r="A705" s="10"/>
      <c r="B705" s="11"/>
      <c r="C705" s="10"/>
      <c r="D705" s="11"/>
      <c r="E705" s="10"/>
      <c r="F705" s="1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0"/>
      <c r="V705" s="11"/>
      <c r="W705" s="10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2.75" customHeight="1">
      <c r="A706" s="10"/>
      <c r="B706" s="11"/>
      <c r="C706" s="10"/>
      <c r="D706" s="11"/>
      <c r="E706" s="10"/>
      <c r="F706" s="1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0"/>
      <c r="V706" s="11"/>
      <c r="W706" s="10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2.75" customHeight="1">
      <c r="A707" s="10"/>
      <c r="B707" s="11"/>
      <c r="C707" s="10"/>
      <c r="D707" s="11"/>
      <c r="E707" s="10"/>
      <c r="F707" s="1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0"/>
      <c r="V707" s="11"/>
      <c r="W707" s="10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2.75" customHeight="1">
      <c r="A708" s="10"/>
      <c r="B708" s="11"/>
      <c r="C708" s="10"/>
      <c r="D708" s="11"/>
      <c r="E708" s="10"/>
      <c r="F708" s="1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0"/>
      <c r="V708" s="11"/>
      <c r="W708" s="10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2.75" customHeight="1">
      <c r="A709" s="10"/>
      <c r="B709" s="11"/>
      <c r="C709" s="10"/>
      <c r="D709" s="11"/>
      <c r="E709" s="10"/>
      <c r="F709" s="1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0"/>
      <c r="V709" s="11"/>
      <c r="W709" s="10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2.75" customHeight="1">
      <c r="A710" s="10"/>
      <c r="B710" s="11"/>
      <c r="C710" s="10"/>
      <c r="D710" s="11"/>
      <c r="E710" s="10"/>
      <c r="F710" s="1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0"/>
      <c r="V710" s="11"/>
      <c r="W710" s="10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2.75" customHeight="1">
      <c r="A711" s="10"/>
      <c r="B711" s="11"/>
      <c r="C711" s="10"/>
      <c r="D711" s="11"/>
      <c r="E711" s="10"/>
      <c r="F711" s="1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0"/>
      <c r="V711" s="11"/>
      <c r="W711" s="10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2.75" customHeight="1">
      <c r="A712" s="10"/>
      <c r="B712" s="11"/>
      <c r="C712" s="10"/>
      <c r="D712" s="11"/>
      <c r="E712" s="10"/>
      <c r="F712" s="1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0"/>
      <c r="V712" s="11"/>
      <c r="W712" s="10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2.75" customHeight="1">
      <c r="A713" s="10"/>
      <c r="B713" s="11"/>
      <c r="C713" s="10"/>
      <c r="D713" s="11"/>
      <c r="E713" s="10"/>
      <c r="F713" s="1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0"/>
      <c r="V713" s="11"/>
      <c r="W713" s="10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2.75" customHeight="1">
      <c r="A714" s="10"/>
      <c r="B714" s="11"/>
      <c r="C714" s="10"/>
      <c r="D714" s="11"/>
      <c r="E714" s="10"/>
      <c r="F714" s="1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0"/>
      <c r="V714" s="11"/>
      <c r="W714" s="10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2.75" customHeight="1">
      <c r="A715" s="10"/>
      <c r="B715" s="11"/>
      <c r="C715" s="10"/>
      <c r="D715" s="11"/>
      <c r="E715" s="10"/>
      <c r="F715" s="1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0"/>
      <c r="V715" s="11"/>
      <c r="W715" s="10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2.75" customHeight="1">
      <c r="A716" s="10"/>
      <c r="B716" s="11"/>
      <c r="C716" s="10"/>
      <c r="D716" s="11"/>
      <c r="E716" s="10"/>
      <c r="F716" s="1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0"/>
      <c r="V716" s="11"/>
      <c r="W716" s="10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2.75" customHeight="1">
      <c r="A717" s="10"/>
      <c r="B717" s="11"/>
      <c r="C717" s="10"/>
      <c r="D717" s="11"/>
      <c r="E717" s="10"/>
      <c r="F717" s="1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0"/>
      <c r="V717" s="11"/>
      <c r="W717" s="10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2.75" customHeight="1">
      <c r="A718" s="10"/>
      <c r="B718" s="11"/>
      <c r="C718" s="10"/>
      <c r="D718" s="11"/>
      <c r="E718" s="10"/>
      <c r="F718" s="1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0"/>
      <c r="V718" s="11"/>
      <c r="W718" s="10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2.75" customHeight="1">
      <c r="A719" s="10"/>
      <c r="B719" s="11"/>
      <c r="C719" s="10"/>
      <c r="D719" s="11"/>
      <c r="E719" s="10"/>
      <c r="F719" s="1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0"/>
      <c r="V719" s="11"/>
      <c r="W719" s="10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2.75" customHeight="1">
      <c r="A720" s="10"/>
      <c r="B720" s="11"/>
      <c r="C720" s="10"/>
      <c r="D720" s="11"/>
      <c r="E720" s="10"/>
      <c r="F720" s="1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0"/>
      <c r="V720" s="11"/>
      <c r="W720" s="10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2.75" customHeight="1">
      <c r="A721" s="10"/>
      <c r="B721" s="11"/>
      <c r="C721" s="10"/>
      <c r="D721" s="11"/>
      <c r="E721" s="10"/>
      <c r="F721" s="1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0"/>
      <c r="V721" s="11"/>
      <c r="W721" s="10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2.75" customHeight="1">
      <c r="A722" s="10"/>
      <c r="B722" s="11"/>
      <c r="C722" s="10"/>
      <c r="D722" s="11"/>
      <c r="E722" s="10"/>
      <c r="F722" s="1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0"/>
      <c r="V722" s="11"/>
      <c r="W722" s="10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2.75" customHeight="1">
      <c r="A723" s="10"/>
      <c r="B723" s="11"/>
      <c r="C723" s="10"/>
      <c r="D723" s="11"/>
      <c r="E723" s="10"/>
      <c r="F723" s="1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0"/>
      <c r="V723" s="11"/>
      <c r="W723" s="10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2.75" customHeight="1">
      <c r="A724" s="10"/>
      <c r="B724" s="11"/>
      <c r="C724" s="10"/>
      <c r="D724" s="11"/>
      <c r="E724" s="10"/>
      <c r="F724" s="1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0"/>
      <c r="V724" s="11"/>
      <c r="W724" s="10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2.75" customHeight="1">
      <c r="A725" s="10"/>
      <c r="B725" s="11"/>
      <c r="C725" s="10"/>
      <c r="D725" s="11"/>
      <c r="E725" s="10"/>
      <c r="F725" s="1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0"/>
      <c r="V725" s="11"/>
      <c r="W725" s="10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2.75" customHeight="1">
      <c r="A726" s="10"/>
      <c r="B726" s="11"/>
      <c r="C726" s="10"/>
      <c r="D726" s="11"/>
      <c r="E726" s="10"/>
      <c r="F726" s="1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0"/>
      <c r="V726" s="11"/>
      <c r="W726" s="10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2.75" customHeight="1">
      <c r="A727" s="10"/>
      <c r="B727" s="11"/>
      <c r="C727" s="10"/>
      <c r="D727" s="11"/>
      <c r="E727" s="10"/>
      <c r="F727" s="1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0"/>
      <c r="V727" s="11"/>
      <c r="W727" s="10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2.75" customHeight="1">
      <c r="A728" s="10"/>
      <c r="B728" s="11"/>
      <c r="C728" s="10"/>
      <c r="D728" s="11"/>
      <c r="E728" s="10"/>
      <c r="F728" s="1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0"/>
      <c r="V728" s="11"/>
      <c r="W728" s="10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2.75" customHeight="1">
      <c r="A729" s="10"/>
      <c r="B729" s="11"/>
      <c r="C729" s="10"/>
      <c r="D729" s="11"/>
      <c r="E729" s="10"/>
      <c r="F729" s="1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0"/>
      <c r="V729" s="11"/>
      <c r="W729" s="10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2.75" customHeight="1">
      <c r="A730" s="10"/>
      <c r="B730" s="11"/>
      <c r="C730" s="10"/>
      <c r="D730" s="11"/>
      <c r="E730" s="10"/>
      <c r="F730" s="1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0"/>
      <c r="V730" s="11"/>
      <c r="W730" s="10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2.75" customHeight="1">
      <c r="A731" s="10"/>
      <c r="B731" s="11"/>
      <c r="C731" s="10"/>
      <c r="D731" s="11"/>
      <c r="E731" s="10"/>
      <c r="F731" s="1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0"/>
      <c r="V731" s="11"/>
      <c r="W731" s="10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2.75" customHeight="1">
      <c r="A732" s="10"/>
      <c r="B732" s="11"/>
      <c r="C732" s="10"/>
      <c r="D732" s="11"/>
      <c r="E732" s="10"/>
      <c r="F732" s="1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0"/>
      <c r="V732" s="11"/>
      <c r="W732" s="10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2.75" customHeight="1">
      <c r="A733" s="10"/>
      <c r="B733" s="11"/>
      <c r="C733" s="10"/>
      <c r="D733" s="11"/>
      <c r="E733" s="10"/>
      <c r="F733" s="1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0"/>
      <c r="V733" s="11"/>
      <c r="W733" s="10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2.75" customHeight="1">
      <c r="A734" s="10"/>
      <c r="B734" s="11"/>
      <c r="C734" s="10"/>
      <c r="D734" s="11"/>
      <c r="E734" s="10"/>
      <c r="F734" s="1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0"/>
      <c r="V734" s="11"/>
      <c r="W734" s="10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2.75" customHeight="1">
      <c r="A735" s="10"/>
      <c r="B735" s="11"/>
      <c r="C735" s="10"/>
      <c r="D735" s="11"/>
      <c r="E735" s="10"/>
      <c r="F735" s="1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0"/>
      <c r="V735" s="11"/>
      <c r="W735" s="10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2.75" customHeight="1">
      <c r="A736" s="10"/>
      <c r="B736" s="11"/>
      <c r="C736" s="10"/>
      <c r="D736" s="11"/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0"/>
      <c r="V736" s="11"/>
      <c r="W736" s="10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2.75" customHeight="1">
      <c r="A737" s="10"/>
      <c r="B737" s="11"/>
      <c r="C737" s="10"/>
      <c r="D737" s="11"/>
      <c r="E737" s="10"/>
      <c r="F737" s="1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0"/>
      <c r="V737" s="11"/>
      <c r="W737" s="10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2.75" customHeight="1">
      <c r="A738" s="10"/>
      <c r="B738" s="11"/>
      <c r="C738" s="10"/>
      <c r="D738" s="11"/>
      <c r="E738" s="10"/>
      <c r="F738" s="1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0"/>
      <c r="V738" s="11"/>
      <c r="W738" s="10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2.75" customHeight="1">
      <c r="A739" s="10"/>
      <c r="B739" s="11"/>
      <c r="C739" s="10"/>
      <c r="D739" s="11"/>
      <c r="E739" s="10"/>
      <c r="F739" s="1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0"/>
      <c r="V739" s="11"/>
      <c r="W739" s="10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2.75" customHeight="1">
      <c r="A740" s="10"/>
      <c r="B740" s="11"/>
      <c r="C740" s="10"/>
      <c r="D740" s="11"/>
      <c r="E740" s="10"/>
      <c r="F740" s="1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0"/>
      <c r="V740" s="11"/>
      <c r="W740" s="10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2.75" customHeight="1">
      <c r="A741" s="10"/>
      <c r="B741" s="11"/>
      <c r="C741" s="10"/>
      <c r="D741" s="11"/>
      <c r="E741" s="10"/>
      <c r="F741" s="1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0"/>
      <c r="V741" s="11"/>
      <c r="W741" s="10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2.75" customHeight="1">
      <c r="A742" s="10"/>
      <c r="B742" s="11"/>
      <c r="C742" s="10"/>
      <c r="D742" s="11"/>
      <c r="E742" s="10"/>
      <c r="F742" s="1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0"/>
      <c r="V742" s="11"/>
      <c r="W742" s="10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2.75" customHeight="1">
      <c r="A743" s="10"/>
      <c r="B743" s="11"/>
      <c r="C743" s="10"/>
      <c r="D743" s="11"/>
      <c r="E743" s="10"/>
      <c r="F743" s="1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0"/>
      <c r="V743" s="11"/>
      <c r="W743" s="10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2.75" customHeight="1">
      <c r="A744" s="10"/>
      <c r="B744" s="11"/>
      <c r="C744" s="10"/>
      <c r="D744" s="11"/>
      <c r="E744" s="10"/>
      <c r="F744" s="1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0"/>
      <c r="V744" s="11"/>
      <c r="W744" s="10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2.75" customHeight="1">
      <c r="A745" s="10"/>
      <c r="B745" s="11"/>
      <c r="C745" s="10"/>
      <c r="D745" s="11"/>
      <c r="E745" s="10"/>
      <c r="F745" s="1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0"/>
      <c r="V745" s="11"/>
      <c r="W745" s="10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2.75" customHeight="1">
      <c r="A746" s="10"/>
      <c r="B746" s="11"/>
      <c r="C746" s="10"/>
      <c r="D746" s="11"/>
      <c r="E746" s="10"/>
      <c r="F746" s="1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0"/>
      <c r="V746" s="11"/>
      <c r="W746" s="10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2.75" customHeight="1">
      <c r="A747" s="10"/>
      <c r="B747" s="11"/>
      <c r="C747" s="10"/>
      <c r="D747" s="11"/>
      <c r="E747" s="10"/>
      <c r="F747" s="1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0"/>
      <c r="V747" s="11"/>
      <c r="W747" s="10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2.75" customHeight="1">
      <c r="A748" s="10"/>
      <c r="B748" s="11"/>
      <c r="C748" s="10"/>
      <c r="D748" s="11"/>
      <c r="E748" s="10"/>
      <c r="F748" s="1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0"/>
      <c r="V748" s="11"/>
      <c r="W748" s="10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2.75" customHeight="1">
      <c r="A749" s="10"/>
      <c r="B749" s="11"/>
      <c r="C749" s="10"/>
      <c r="D749" s="11"/>
      <c r="E749" s="10"/>
      <c r="F749" s="1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0"/>
      <c r="V749" s="11"/>
      <c r="W749" s="10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2.75" customHeight="1">
      <c r="A750" s="10"/>
      <c r="B750" s="11"/>
      <c r="C750" s="10"/>
      <c r="D750" s="11"/>
      <c r="E750" s="10"/>
      <c r="F750" s="1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0"/>
      <c r="V750" s="11"/>
      <c r="W750" s="10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2.75" customHeight="1">
      <c r="A751" s="10"/>
      <c r="B751" s="11"/>
      <c r="C751" s="10"/>
      <c r="D751" s="11"/>
      <c r="E751" s="10"/>
      <c r="F751" s="1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0"/>
      <c r="V751" s="11"/>
      <c r="W751" s="10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2.75" customHeight="1">
      <c r="A752" s="10"/>
      <c r="B752" s="11"/>
      <c r="C752" s="10"/>
      <c r="D752" s="11"/>
      <c r="E752" s="10"/>
      <c r="F752" s="1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0"/>
      <c r="V752" s="11"/>
      <c r="W752" s="10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2.75" customHeight="1">
      <c r="A753" s="10"/>
      <c r="B753" s="11"/>
      <c r="C753" s="10"/>
      <c r="D753" s="11"/>
      <c r="E753" s="10"/>
      <c r="F753" s="1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0"/>
      <c r="V753" s="11"/>
      <c r="W753" s="10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2.75" customHeight="1">
      <c r="A754" s="10"/>
      <c r="B754" s="11"/>
      <c r="C754" s="10"/>
      <c r="D754" s="11"/>
      <c r="E754" s="10"/>
      <c r="F754" s="1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0"/>
      <c r="V754" s="11"/>
      <c r="W754" s="10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2.75" customHeight="1">
      <c r="A755" s="10"/>
      <c r="B755" s="11"/>
      <c r="C755" s="10"/>
      <c r="D755" s="11"/>
      <c r="E755" s="10"/>
      <c r="F755" s="1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0"/>
      <c r="V755" s="11"/>
      <c r="W755" s="10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2.75" customHeight="1">
      <c r="A756" s="10"/>
      <c r="B756" s="11"/>
      <c r="C756" s="10"/>
      <c r="D756" s="11"/>
      <c r="E756" s="10"/>
      <c r="F756" s="1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0"/>
      <c r="V756" s="11"/>
      <c r="W756" s="10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2.75" customHeight="1">
      <c r="A757" s="10"/>
      <c r="B757" s="11"/>
      <c r="C757" s="10"/>
      <c r="D757" s="11"/>
      <c r="E757" s="10"/>
      <c r="F757" s="1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0"/>
      <c r="V757" s="11"/>
      <c r="W757" s="10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2.75" customHeight="1">
      <c r="A758" s="10"/>
      <c r="B758" s="11"/>
      <c r="C758" s="10"/>
      <c r="D758" s="11"/>
      <c r="E758" s="10"/>
      <c r="F758" s="1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0"/>
      <c r="V758" s="11"/>
      <c r="W758" s="10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2.75" customHeight="1">
      <c r="A759" s="10"/>
      <c r="B759" s="11"/>
      <c r="C759" s="10"/>
      <c r="D759" s="11"/>
      <c r="E759" s="10"/>
      <c r="F759" s="1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0"/>
      <c r="V759" s="11"/>
      <c r="W759" s="10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2.75" customHeight="1">
      <c r="A760" s="10"/>
      <c r="B760" s="11"/>
      <c r="C760" s="10"/>
      <c r="D760" s="11"/>
      <c r="E760" s="10"/>
      <c r="F760" s="1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0"/>
      <c r="V760" s="11"/>
      <c r="W760" s="10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2.75" customHeight="1">
      <c r="A761" s="10"/>
      <c r="B761" s="11"/>
      <c r="C761" s="10"/>
      <c r="D761" s="11"/>
      <c r="E761" s="10"/>
      <c r="F761" s="1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0"/>
      <c r="V761" s="11"/>
      <c r="W761" s="10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2.75" customHeight="1">
      <c r="A762" s="10"/>
      <c r="B762" s="11"/>
      <c r="C762" s="10"/>
      <c r="D762" s="11"/>
      <c r="E762" s="10"/>
      <c r="F762" s="1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0"/>
      <c r="V762" s="11"/>
      <c r="W762" s="10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2.75" customHeight="1">
      <c r="A763" s="10"/>
      <c r="B763" s="11"/>
      <c r="C763" s="10"/>
      <c r="D763" s="11"/>
      <c r="E763" s="10"/>
      <c r="F763" s="1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0"/>
      <c r="V763" s="11"/>
      <c r="W763" s="10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2.75" customHeight="1">
      <c r="A764" s="10"/>
      <c r="B764" s="11"/>
      <c r="C764" s="10"/>
      <c r="D764" s="11"/>
      <c r="E764" s="10"/>
      <c r="F764" s="1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0"/>
      <c r="V764" s="11"/>
      <c r="W764" s="10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2.75" customHeight="1">
      <c r="A765" s="10"/>
      <c r="B765" s="11"/>
      <c r="C765" s="10"/>
      <c r="D765" s="11"/>
      <c r="E765" s="10"/>
      <c r="F765" s="1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0"/>
      <c r="V765" s="11"/>
      <c r="W765" s="10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2.75" customHeight="1">
      <c r="A766" s="10"/>
      <c r="B766" s="11"/>
      <c r="C766" s="10"/>
      <c r="D766" s="11"/>
      <c r="E766" s="10"/>
      <c r="F766" s="1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0"/>
      <c r="V766" s="11"/>
      <c r="W766" s="10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2.75" customHeight="1">
      <c r="A767" s="10"/>
      <c r="B767" s="11"/>
      <c r="C767" s="10"/>
      <c r="D767" s="11"/>
      <c r="E767" s="10"/>
      <c r="F767" s="1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0"/>
      <c r="V767" s="11"/>
      <c r="W767" s="10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2.75" customHeight="1">
      <c r="A768" s="10"/>
      <c r="B768" s="11"/>
      <c r="C768" s="10"/>
      <c r="D768" s="11"/>
      <c r="E768" s="10"/>
      <c r="F768" s="1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0"/>
      <c r="V768" s="11"/>
      <c r="W768" s="10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2.75" customHeight="1">
      <c r="A769" s="10"/>
      <c r="B769" s="11"/>
      <c r="C769" s="10"/>
      <c r="D769" s="11"/>
      <c r="E769" s="10"/>
      <c r="F769" s="1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0"/>
      <c r="V769" s="11"/>
      <c r="W769" s="10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2.75" customHeight="1">
      <c r="A770" s="10"/>
      <c r="B770" s="11"/>
      <c r="C770" s="10"/>
      <c r="D770" s="11"/>
      <c r="E770" s="10"/>
      <c r="F770" s="1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0"/>
      <c r="V770" s="11"/>
      <c r="W770" s="10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2.75" customHeight="1">
      <c r="A771" s="10"/>
      <c r="B771" s="11"/>
      <c r="C771" s="10"/>
      <c r="D771" s="11"/>
      <c r="E771" s="10"/>
      <c r="F771" s="1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0"/>
      <c r="V771" s="11"/>
      <c r="W771" s="10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2.75" customHeight="1">
      <c r="A772" s="10"/>
      <c r="B772" s="11"/>
      <c r="C772" s="10"/>
      <c r="D772" s="11"/>
      <c r="E772" s="10"/>
      <c r="F772" s="1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0"/>
      <c r="V772" s="11"/>
      <c r="W772" s="10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2.75" customHeight="1">
      <c r="A773" s="10"/>
      <c r="B773" s="11"/>
      <c r="C773" s="10"/>
      <c r="D773" s="11"/>
      <c r="E773" s="10"/>
      <c r="F773" s="1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0"/>
      <c r="V773" s="11"/>
      <c r="W773" s="10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2.75" customHeight="1">
      <c r="A774" s="10"/>
      <c r="B774" s="11"/>
      <c r="C774" s="10"/>
      <c r="D774" s="11"/>
      <c r="E774" s="10"/>
      <c r="F774" s="1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0"/>
      <c r="V774" s="11"/>
      <c r="W774" s="10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2.75" customHeight="1">
      <c r="A775" s="10"/>
      <c r="B775" s="11"/>
      <c r="C775" s="10"/>
      <c r="D775" s="11"/>
      <c r="E775" s="10"/>
      <c r="F775" s="1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0"/>
      <c r="V775" s="11"/>
      <c r="W775" s="10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2.75" customHeight="1">
      <c r="A776" s="10"/>
      <c r="B776" s="11"/>
      <c r="C776" s="10"/>
      <c r="D776" s="11"/>
      <c r="E776" s="10"/>
      <c r="F776" s="1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0"/>
      <c r="V776" s="11"/>
      <c r="W776" s="10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2.75" customHeight="1">
      <c r="A777" s="10"/>
      <c r="B777" s="11"/>
      <c r="C777" s="10"/>
      <c r="D777" s="11"/>
      <c r="E777" s="10"/>
      <c r="F777" s="1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0"/>
      <c r="V777" s="11"/>
      <c r="W777" s="10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2.75" customHeight="1">
      <c r="A778" s="10"/>
      <c r="B778" s="11"/>
      <c r="C778" s="10"/>
      <c r="D778" s="11"/>
      <c r="E778" s="10"/>
      <c r="F778" s="1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0"/>
      <c r="V778" s="11"/>
      <c r="W778" s="10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2.75" customHeight="1">
      <c r="A779" s="10"/>
      <c r="B779" s="11"/>
      <c r="C779" s="10"/>
      <c r="D779" s="11"/>
      <c r="E779" s="10"/>
      <c r="F779" s="1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0"/>
      <c r="V779" s="11"/>
      <c r="W779" s="10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2.75" customHeight="1">
      <c r="A780" s="10"/>
      <c r="B780" s="11"/>
      <c r="C780" s="10"/>
      <c r="D780" s="11"/>
      <c r="E780" s="10"/>
      <c r="F780" s="1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0"/>
      <c r="V780" s="11"/>
      <c r="W780" s="10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2.75" customHeight="1">
      <c r="A781" s="10"/>
      <c r="B781" s="11"/>
      <c r="C781" s="10"/>
      <c r="D781" s="11"/>
      <c r="E781" s="10"/>
      <c r="F781" s="1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0"/>
      <c r="V781" s="11"/>
      <c r="W781" s="10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2.75" customHeight="1">
      <c r="A782" s="10"/>
      <c r="B782" s="11"/>
      <c r="C782" s="10"/>
      <c r="D782" s="11"/>
      <c r="E782" s="10"/>
      <c r="F782" s="1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0"/>
      <c r="V782" s="11"/>
      <c r="W782" s="10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2.75" customHeight="1">
      <c r="A783" s="10"/>
      <c r="B783" s="11"/>
      <c r="C783" s="10"/>
      <c r="D783" s="11"/>
      <c r="E783" s="10"/>
      <c r="F783" s="1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0"/>
      <c r="V783" s="11"/>
      <c r="W783" s="10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2.75" customHeight="1">
      <c r="A784" s="10"/>
      <c r="B784" s="11"/>
      <c r="C784" s="10"/>
      <c r="D784" s="11"/>
      <c r="E784" s="10"/>
      <c r="F784" s="1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0"/>
      <c r="V784" s="11"/>
      <c r="W784" s="10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2.75" customHeight="1">
      <c r="A785" s="10"/>
      <c r="B785" s="11"/>
      <c r="C785" s="10"/>
      <c r="D785" s="11"/>
      <c r="E785" s="10"/>
      <c r="F785" s="1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0"/>
      <c r="V785" s="11"/>
      <c r="W785" s="10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2.75" customHeight="1">
      <c r="A786" s="10"/>
      <c r="B786" s="11"/>
      <c r="C786" s="10"/>
      <c r="D786" s="11"/>
      <c r="E786" s="10"/>
      <c r="F786" s="1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0"/>
      <c r="V786" s="11"/>
      <c r="W786" s="10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2.75" customHeight="1">
      <c r="A787" s="10"/>
      <c r="B787" s="11"/>
      <c r="C787" s="10"/>
      <c r="D787" s="11"/>
      <c r="E787" s="10"/>
      <c r="F787" s="1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0"/>
      <c r="V787" s="11"/>
      <c r="W787" s="10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2.75" customHeight="1">
      <c r="A788" s="10"/>
      <c r="B788" s="11"/>
      <c r="C788" s="10"/>
      <c r="D788" s="11"/>
      <c r="E788" s="10"/>
      <c r="F788" s="1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0"/>
      <c r="V788" s="11"/>
      <c r="W788" s="10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2.75" customHeight="1">
      <c r="A789" s="10"/>
      <c r="B789" s="11"/>
      <c r="C789" s="10"/>
      <c r="D789" s="11"/>
      <c r="E789" s="10"/>
      <c r="F789" s="1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0"/>
      <c r="V789" s="11"/>
      <c r="W789" s="10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2.75" customHeight="1">
      <c r="A790" s="10"/>
      <c r="B790" s="11"/>
      <c r="C790" s="10"/>
      <c r="D790" s="11"/>
      <c r="E790" s="10"/>
      <c r="F790" s="1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0"/>
      <c r="V790" s="11"/>
      <c r="W790" s="10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2.75" customHeight="1">
      <c r="A791" s="10"/>
      <c r="B791" s="11"/>
      <c r="C791" s="10"/>
      <c r="D791" s="11"/>
      <c r="E791" s="10"/>
      <c r="F791" s="1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0"/>
      <c r="V791" s="11"/>
      <c r="W791" s="10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2.75" customHeight="1">
      <c r="A792" s="10"/>
      <c r="B792" s="11"/>
      <c r="C792" s="10"/>
      <c r="D792" s="11"/>
      <c r="E792" s="10"/>
      <c r="F792" s="1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0"/>
      <c r="V792" s="11"/>
      <c r="W792" s="10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2.75" customHeight="1">
      <c r="A793" s="10"/>
      <c r="B793" s="11"/>
      <c r="C793" s="10"/>
      <c r="D793" s="11"/>
      <c r="E793" s="10"/>
      <c r="F793" s="1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0"/>
      <c r="V793" s="11"/>
      <c r="W793" s="10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2.75" customHeight="1">
      <c r="A794" s="10"/>
      <c r="B794" s="11"/>
      <c r="C794" s="10"/>
      <c r="D794" s="11"/>
      <c r="E794" s="10"/>
      <c r="F794" s="1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0"/>
      <c r="V794" s="11"/>
      <c r="W794" s="10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2.75" customHeight="1">
      <c r="A795" s="10"/>
      <c r="B795" s="11"/>
      <c r="C795" s="10"/>
      <c r="D795" s="11"/>
      <c r="E795" s="10"/>
      <c r="F795" s="1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0"/>
      <c r="V795" s="11"/>
      <c r="W795" s="10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2.75" customHeight="1">
      <c r="A796" s="10"/>
      <c r="B796" s="11"/>
      <c r="C796" s="10"/>
      <c r="D796" s="11"/>
      <c r="E796" s="10"/>
      <c r="F796" s="1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0"/>
      <c r="V796" s="11"/>
      <c r="W796" s="10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2.75" customHeight="1">
      <c r="A797" s="10"/>
      <c r="B797" s="11"/>
      <c r="C797" s="10"/>
      <c r="D797" s="11"/>
      <c r="E797" s="10"/>
      <c r="F797" s="1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0"/>
      <c r="V797" s="11"/>
      <c r="W797" s="10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2.75" customHeight="1">
      <c r="A798" s="10"/>
      <c r="B798" s="11"/>
      <c r="C798" s="10"/>
      <c r="D798" s="11"/>
      <c r="E798" s="10"/>
      <c r="F798" s="1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0"/>
      <c r="V798" s="11"/>
      <c r="W798" s="10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2.75" customHeight="1">
      <c r="A799" s="10"/>
      <c r="B799" s="11"/>
      <c r="C799" s="10"/>
      <c r="D799" s="11"/>
      <c r="E799" s="10"/>
      <c r="F799" s="1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0"/>
      <c r="V799" s="11"/>
      <c r="W799" s="10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2.75" customHeight="1">
      <c r="A800" s="10"/>
      <c r="B800" s="11"/>
      <c r="C800" s="10"/>
      <c r="D800" s="11"/>
      <c r="E800" s="10"/>
      <c r="F800" s="1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0"/>
      <c r="V800" s="11"/>
      <c r="W800" s="10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2.75" customHeight="1">
      <c r="A801" s="10"/>
      <c r="B801" s="11"/>
      <c r="C801" s="10"/>
      <c r="D801" s="11"/>
      <c r="E801" s="10"/>
      <c r="F801" s="1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0"/>
      <c r="V801" s="11"/>
      <c r="W801" s="10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2.75" customHeight="1">
      <c r="A802" s="10"/>
      <c r="B802" s="11"/>
      <c r="C802" s="10"/>
      <c r="D802" s="11"/>
      <c r="E802" s="10"/>
      <c r="F802" s="1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0"/>
      <c r="V802" s="11"/>
      <c r="W802" s="10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2.75" customHeight="1">
      <c r="A803" s="10"/>
      <c r="B803" s="11"/>
      <c r="C803" s="10"/>
      <c r="D803" s="11"/>
      <c r="E803" s="10"/>
      <c r="F803" s="1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0"/>
      <c r="V803" s="11"/>
      <c r="W803" s="10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2.75" customHeight="1">
      <c r="A804" s="10"/>
      <c r="B804" s="11"/>
      <c r="C804" s="10"/>
      <c r="D804" s="11"/>
      <c r="E804" s="10"/>
      <c r="F804" s="1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0"/>
      <c r="V804" s="11"/>
      <c r="W804" s="10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2.75" customHeight="1">
      <c r="A805" s="10"/>
      <c r="B805" s="11"/>
      <c r="C805" s="10"/>
      <c r="D805" s="11"/>
      <c r="E805" s="10"/>
      <c r="F805" s="1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0"/>
      <c r="V805" s="11"/>
      <c r="W805" s="10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2.75" customHeight="1">
      <c r="A806" s="10"/>
      <c r="B806" s="11"/>
      <c r="C806" s="10"/>
      <c r="D806" s="11"/>
      <c r="E806" s="10"/>
      <c r="F806" s="1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0"/>
      <c r="V806" s="11"/>
      <c r="W806" s="10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2.75" customHeight="1">
      <c r="A807" s="10"/>
      <c r="B807" s="11"/>
      <c r="C807" s="10"/>
      <c r="D807" s="11"/>
      <c r="E807" s="10"/>
      <c r="F807" s="1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0"/>
      <c r="V807" s="11"/>
      <c r="W807" s="10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2.75" customHeight="1">
      <c r="A808" s="10"/>
      <c r="B808" s="11"/>
      <c r="C808" s="10"/>
      <c r="D808" s="11"/>
      <c r="E808" s="10"/>
      <c r="F808" s="1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0"/>
      <c r="V808" s="11"/>
      <c r="W808" s="10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2.75" customHeight="1">
      <c r="A809" s="10"/>
      <c r="B809" s="11"/>
      <c r="C809" s="10"/>
      <c r="D809" s="11"/>
      <c r="E809" s="10"/>
      <c r="F809" s="1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0"/>
      <c r="V809" s="11"/>
      <c r="W809" s="10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2.75" customHeight="1">
      <c r="A810" s="10"/>
      <c r="B810" s="11"/>
      <c r="C810" s="10"/>
      <c r="D810" s="11"/>
      <c r="E810" s="10"/>
      <c r="F810" s="1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0"/>
      <c r="V810" s="11"/>
      <c r="W810" s="10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2.75" customHeight="1">
      <c r="A811" s="10"/>
      <c r="B811" s="11"/>
      <c r="C811" s="10"/>
      <c r="D811" s="11"/>
      <c r="E811" s="10"/>
      <c r="F811" s="1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0"/>
      <c r="V811" s="11"/>
      <c r="W811" s="10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2.75" customHeight="1">
      <c r="A812" s="10"/>
      <c r="B812" s="11"/>
      <c r="C812" s="10"/>
      <c r="D812" s="11"/>
      <c r="E812" s="10"/>
      <c r="F812" s="1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0"/>
      <c r="V812" s="11"/>
      <c r="W812" s="10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2.75" customHeight="1">
      <c r="A813" s="10"/>
      <c r="B813" s="11"/>
      <c r="C813" s="10"/>
      <c r="D813" s="11"/>
      <c r="E813" s="10"/>
      <c r="F813" s="1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0"/>
      <c r="V813" s="11"/>
      <c r="W813" s="10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2.75" customHeight="1">
      <c r="A814" s="10"/>
      <c r="B814" s="11"/>
      <c r="C814" s="10"/>
      <c r="D814" s="11"/>
      <c r="E814" s="10"/>
      <c r="F814" s="1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0"/>
      <c r="V814" s="11"/>
      <c r="W814" s="10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2.75" customHeight="1">
      <c r="A815" s="10"/>
      <c r="B815" s="11"/>
      <c r="C815" s="10"/>
      <c r="D815" s="11"/>
      <c r="E815" s="10"/>
      <c r="F815" s="1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0"/>
      <c r="V815" s="11"/>
      <c r="W815" s="10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2.75" customHeight="1">
      <c r="A816" s="10"/>
      <c r="B816" s="11"/>
      <c r="C816" s="10"/>
      <c r="D816" s="11"/>
      <c r="E816" s="10"/>
      <c r="F816" s="1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0"/>
      <c r="V816" s="11"/>
      <c r="W816" s="10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2.75" customHeight="1">
      <c r="A817" s="10"/>
      <c r="B817" s="11"/>
      <c r="C817" s="10"/>
      <c r="D817" s="11"/>
      <c r="E817" s="10"/>
      <c r="F817" s="1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0"/>
      <c r="V817" s="11"/>
      <c r="W817" s="10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2.75" customHeight="1">
      <c r="A818" s="10"/>
      <c r="B818" s="11"/>
      <c r="C818" s="10"/>
      <c r="D818" s="11"/>
      <c r="E818" s="10"/>
      <c r="F818" s="1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0"/>
      <c r="V818" s="11"/>
      <c r="W818" s="10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2.75" customHeight="1">
      <c r="A819" s="10"/>
      <c r="B819" s="11"/>
      <c r="C819" s="10"/>
      <c r="D819" s="11"/>
      <c r="E819" s="10"/>
      <c r="F819" s="1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0"/>
      <c r="V819" s="11"/>
      <c r="W819" s="10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2.75" customHeight="1">
      <c r="A820" s="10"/>
      <c r="B820" s="11"/>
      <c r="C820" s="10"/>
      <c r="D820" s="11"/>
      <c r="E820" s="10"/>
      <c r="F820" s="1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0"/>
      <c r="V820" s="11"/>
      <c r="W820" s="10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2.75" customHeight="1">
      <c r="A821" s="10"/>
      <c r="B821" s="11"/>
      <c r="C821" s="10"/>
      <c r="D821" s="11"/>
      <c r="E821" s="10"/>
      <c r="F821" s="1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0"/>
      <c r="V821" s="11"/>
      <c r="W821" s="10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2.75" customHeight="1">
      <c r="A822" s="10"/>
      <c r="B822" s="11"/>
      <c r="C822" s="10"/>
      <c r="D822" s="11"/>
      <c r="E822" s="10"/>
      <c r="F822" s="1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0"/>
      <c r="V822" s="11"/>
      <c r="W822" s="10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2.75" customHeight="1">
      <c r="A823" s="10"/>
      <c r="B823" s="11"/>
      <c r="C823" s="10"/>
      <c r="D823" s="11"/>
      <c r="E823" s="10"/>
      <c r="F823" s="1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0"/>
      <c r="V823" s="11"/>
      <c r="W823" s="10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2.75" customHeight="1">
      <c r="A824" s="10"/>
      <c r="B824" s="11"/>
      <c r="C824" s="10"/>
      <c r="D824" s="11"/>
      <c r="E824" s="10"/>
      <c r="F824" s="1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0"/>
      <c r="V824" s="11"/>
      <c r="W824" s="10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2.75" customHeight="1">
      <c r="A825" s="10"/>
      <c r="B825" s="11"/>
      <c r="C825" s="10"/>
      <c r="D825" s="11"/>
      <c r="E825" s="10"/>
      <c r="F825" s="1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0"/>
      <c r="V825" s="11"/>
      <c r="W825" s="10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2.75" customHeight="1">
      <c r="A826" s="10"/>
      <c r="B826" s="11"/>
      <c r="C826" s="10"/>
      <c r="D826" s="11"/>
      <c r="E826" s="10"/>
      <c r="F826" s="1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0"/>
      <c r="V826" s="11"/>
      <c r="W826" s="10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2.75" customHeight="1">
      <c r="A827" s="10"/>
      <c r="B827" s="11"/>
      <c r="C827" s="10"/>
      <c r="D827" s="11"/>
      <c r="E827" s="10"/>
      <c r="F827" s="1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0"/>
      <c r="V827" s="11"/>
      <c r="W827" s="10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2.75" customHeight="1">
      <c r="A828" s="10"/>
      <c r="B828" s="11"/>
      <c r="C828" s="10"/>
      <c r="D828" s="11"/>
      <c r="E828" s="10"/>
      <c r="F828" s="1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0"/>
      <c r="V828" s="11"/>
      <c r="W828" s="10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2.75" customHeight="1">
      <c r="A829" s="10"/>
      <c r="B829" s="11"/>
      <c r="C829" s="10"/>
      <c r="D829" s="11"/>
      <c r="E829" s="10"/>
      <c r="F829" s="1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0"/>
      <c r="V829" s="11"/>
      <c r="W829" s="10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2.75" customHeight="1">
      <c r="A830" s="10"/>
      <c r="B830" s="11"/>
      <c r="C830" s="10"/>
      <c r="D830" s="11"/>
      <c r="E830" s="10"/>
      <c r="F830" s="1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0"/>
      <c r="V830" s="11"/>
      <c r="W830" s="10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2.75" customHeight="1">
      <c r="A831" s="10"/>
      <c r="B831" s="11"/>
      <c r="C831" s="10"/>
      <c r="D831" s="11"/>
      <c r="E831" s="10"/>
      <c r="F831" s="1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0"/>
      <c r="V831" s="11"/>
      <c r="W831" s="10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2.75" customHeight="1">
      <c r="A832" s="10"/>
      <c r="B832" s="11"/>
      <c r="C832" s="10"/>
      <c r="D832" s="11"/>
      <c r="E832" s="10"/>
      <c r="F832" s="1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0"/>
      <c r="V832" s="11"/>
      <c r="W832" s="10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2.75" customHeight="1">
      <c r="A833" s="10"/>
      <c r="B833" s="11"/>
      <c r="C833" s="10"/>
      <c r="D833" s="11"/>
      <c r="E833" s="10"/>
      <c r="F833" s="1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0"/>
      <c r="V833" s="11"/>
      <c r="W833" s="10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2.75" customHeight="1">
      <c r="A834" s="10"/>
      <c r="B834" s="11"/>
      <c r="C834" s="10"/>
      <c r="D834" s="11"/>
      <c r="E834" s="10"/>
      <c r="F834" s="1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0"/>
      <c r="V834" s="11"/>
      <c r="W834" s="10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2.75" customHeight="1">
      <c r="A835" s="10"/>
      <c r="B835" s="11"/>
      <c r="C835" s="10"/>
      <c r="D835" s="11"/>
      <c r="E835" s="10"/>
      <c r="F835" s="1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0"/>
      <c r="V835" s="11"/>
      <c r="W835" s="10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2.75" customHeight="1">
      <c r="A836" s="10"/>
      <c r="B836" s="11"/>
      <c r="C836" s="10"/>
      <c r="D836" s="11"/>
      <c r="E836" s="10"/>
      <c r="F836" s="1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0"/>
      <c r="V836" s="11"/>
      <c r="W836" s="10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2.75" customHeight="1">
      <c r="A837" s="10"/>
      <c r="B837" s="11"/>
      <c r="C837" s="10"/>
      <c r="D837" s="11"/>
      <c r="E837" s="10"/>
      <c r="F837" s="1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0"/>
      <c r="V837" s="11"/>
      <c r="W837" s="10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2.75" customHeight="1">
      <c r="A838" s="10"/>
      <c r="B838" s="11"/>
      <c r="C838" s="10"/>
      <c r="D838" s="11"/>
      <c r="E838" s="10"/>
      <c r="F838" s="1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0"/>
      <c r="V838" s="11"/>
      <c r="W838" s="10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2.75" customHeight="1">
      <c r="A839" s="10"/>
      <c r="B839" s="11"/>
      <c r="C839" s="10"/>
      <c r="D839" s="11"/>
      <c r="E839" s="10"/>
      <c r="F839" s="1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0"/>
      <c r="V839" s="11"/>
      <c r="W839" s="10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2.75" customHeight="1">
      <c r="A840" s="10"/>
      <c r="B840" s="11"/>
      <c r="C840" s="10"/>
      <c r="D840" s="11"/>
      <c r="E840" s="10"/>
      <c r="F840" s="1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0"/>
      <c r="V840" s="11"/>
      <c r="W840" s="10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2.75" customHeight="1">
      <c r="A841" s="10"/>
      <c r="B841" s="11"/>
      <c r="C841" s="10"/>
      <c r="D841" s="11"/>
      <c r="E841" s="10"/>
      <c r="F841" s="1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0"/>
      <c r="V841" s="11"/>
      <c r="W841" s="10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2.75" customHeight="1">
      <c r="A842" s="10"/>
      <c r="B842" s="11"/>
      <c r="C842" s="10"/>
      <c r="D842" s="11"/>
      <c r="E842" s="10"/>
      <c r="F842" s="1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0"/>
      <c r="V842" s="11"/>
      <c r="W842" s="10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2.75" customHeight="1">
      <c r="A843" s="10"/>
      <c r="B843" s="11"/>
      <c r="C843" s="10"/>
      <c r="D843" s="11"/>
      <c r="E843" s="10"/>
      <c r="F843" s="1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0"/>
      <c r="V843" s="11"/>
      <c r="W843" s="10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2.75" customHeight="1">
      <c r="A844" s="10"/>
      <c r="B844" s="11"/>
      <c r="C844" s="10"/>
      <c r="D844" s="11"/>
      <c r="E844" s="10"/>
      <c r="F844" s="1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0"/>
      <c r="V844" s="11"/>
      <c r="W844" s="10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2.75" customHeight="1">
      <c r="A845" s="10"/>
      <c r="B845" s="11"/>
      <c r="C845" s="10"/>
      <c r="D845" s="11"/>
      <c r="E845" s="10"/>
      <c r="F845" s="1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0"/>
      <c r="V845" s="11"/>
      <c r="W845" s="10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2.75" customHeight="1">
      <c r="A846" s="10"/>
      <c r="B846" s="11"/>
      <c r="C846" s="10"/>
      <c r="D846" s="11"/>
      <c r="E846" s="10"/>
      <c r="F846" s="1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0"/>
      <c r="V846" s="11"/>
      <c r="W846" s="10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2.75" customHeight="1">
      <c r="A847" s="10"/>
      <c r="B847" s="11"/>
      <c r="C847" s="10"/>
      <c r="D847" s="11"/>
      <c r="E847" s="10"/>
      <c r="F847" s="1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0"/>
      <c r="V847" s="11"/>
      <c r="W847" s="10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2.75" customHeight="1">
      <c r="A848" s="10"/>
      <c r="B848" s="11"/>
      <c r="C848" s="10"/>
      <c r="D848" s="11"/>
      <c r="E848" s="10"/>
      <c r="F848" s="1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0"/>
      <c r="V848" s="11"/>
      <c r="W848" s="10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2.75" customHeight="1">
      <c r="A849" s="10"/>
      <c r="B849" s="11"/>
      <c r="C849" s="10"/>
      <c r="D849" s="11"/>
      <c r="E849" s="10"/>
      <c r="F849" s="1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0"/>
      <c r="V849" s="11"/>
      <c r="W849" s="10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2.75" customHeight="1">
      <c r="A850" s="10"/>
      <c r="B850" s="11"/>
      <c r="C850" s="10"/>
      <c r="D850" s="11"/>
      <c r="E850" s="10"/>
      <c r="F850" s="1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0"/>
      <c r="V850" s="11"/>
      <c r="W850" s="10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2.75" customHeight="1">
      <c r="A851" s="10"/>
      <c r="B851" s="11"/>
      <c r="C851" s="10"/>
      <c r="D851" s="11"/>
      <c r="E851" s="10"/>
      <c r="F851" s="1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0"/>
      <c r="V851" s="11"/>
      <c r="W851" s="10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2.75" customHeight="1">
      <c r="A852" s="10"/>
      <c r="B852" s="11"/>
      <c r="C852" s="10"/>
      <c r="D852" s="11"/>
      <c r="E852" s="10"/>
      <c r="F852" s="1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0"/>
      <c r="V852" s="11"/>
      <c r="W852" s="10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2.75" customHeight="1">
      <c r="A853" s="10"/>
      <c r="B853" s="11"/>
      <c r="C853" s="10"/>
      <c r="D853" s="11"/>
      <c r="E853" s="10"/>
      <c r="F853" s="1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0"/>
      <c r="V853" s="11"/>
      <c r="W853" s="10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2.75" customHeight="1">
      <c r="A854" s="10"/>
      <c r="B854" s="11"/>
      <c r="C854" s="10"/>
      <c r="D854" s="11"/>
      <c r="E854" s="10"/>
      <c r="F854" s="1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0"/>
      <c r="V854" s="11"/>
      <c r="W854" s="10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2.75" customHeight="1">
      <c r="A855" s="10"/>
      <c r="B855" s="11"/>
      <c r="C855" s="10"/>
      <c r="D855" s="11"/>
      <c r="E855" s="10"/>
      <c r="F855" s="1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0"/>
      <c r="V855" s="11"/>
      <c r="W855" s="10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2.75" customHeight="1">
      <c r="A856" s="10"/>
      <c r="B856" s="11"/>
      <c r="C856" s="10"/>
      <c r="D856" s="11"/>
      <c r="E856" s="10"/>
      <c r="F856" s="1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0"/>
      <c r="V856" s="11"/>
      <c r="W856" s="10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2.75" customHeight="1">
      <c r="A857" s="10"/>
      <c r="B857" s="11"/>
      <c r="C857" s="10"/>
      <c r="D857" s="11"/>
      <c r="E857" s="10"/>
      <c r="F857" s="1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0"/>
      <c r="V857" s="11"/>
      <c r="W857" s="10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2.75" customHeight="1">
      <c r="A858" s="10"/>
      <c r="B858" s="11"/>
      <c r="C858" s="10"/>
      <c r="D858" s="11"/>
      <c r="E858" s="10"/>
      <c r="F858" s="1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0"/>
      <c r="V858" s="11"/>
      <c r="W858" s="10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2.75" customHeight="1">
      <c r="A859" s="10"/>
      <c r="B859" s="11"/>
      <c r="C859" s="10"/>
      <c r="D859" s="11"/>
      <c r="E859" s="10"/>
      <c r="F859" s="1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0"/>
      <c r="V859" s="11"/>
      <c r="W859" s="10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2.75" customHeight="1">
      <c r="A860" s="10"/>
      <c r="B860" s="11"/>
      <c r="C860" s="10"/>
      <c r="D860" s="11"/>
      <c r="E860" s="10"/>
      <c r="F860" s="1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0"/>
      <c r="V860" s="11"/>
      <c r="W860" s="10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2.75" customHeight="1">
      <c r="A861" s="10"/>
      <c r="B861" s="11"/>
      <c r="C861" s="10"/>
      <c r="D861" s="11"/>
      <c r="E861" s="10"/>
      <c r="F861" s="1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0"/>
      <c r="V861" s="11"/>
      <c r="W861" s="10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2.75" customHeight="1">
      <c r="A862" s="10"/>
      <c r="B862" s="11"/>
      <c r="C862" s="10"/>
      <c r="D862" s="11"/>
      <c r="E862" s="10"/>
      <c r="F862" s="1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0"/>
      <c r="V862" s="11"/>
      <c r="W862" s="10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2.75" customHeight="1">
      <c r="A863" s="10"/>
      <c r="B863" s="11"/>
      <c r="C863" s="10"/>
      <c r="D863" s="11"/>
      <c r="E863" s="10"/>
      <c r="F863" s="1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0"/>
      <c r="V863" s="11"/>
      <c r="W863" s="10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2.75" customHeight="1">
      <c r="A864" s="10"/>
      <c r="B864" s="11"/>
      <c r="C864" s="10"/>
      <c r="D864" s="11"/>
      <c r="E864" s="10"/>
      <c r="F864" s="1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0"/>
      <c r="V864" s="11"/>
      <c r="W864" s="10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2.75" customHeight="1">
      <c r="A865" s="10"/>
      <c r="B865" s="11"/>
      <c r="C865" s="10"/>
      <c r="D865" s="11"/>
      <c r="E865" s="10"/>
      <c r="F865" s="1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0"/>
      <c r="V865" s="11"/>
      <c r="W865" s="10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2.75" customHeight="1">
      <c r="A866" s="10"/>
      <c r="B866" s="11"/>
      <c r="C866" s="10"/>
      <c r="D866" s="11"/>
      <c r="E866" s="10"/>
      <c r="F866" s="1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0"/>
      <c r="V866" s="11"/>
      <c r="W866" s="10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2.75" customHeight="1">
      <c r="A867" s="10"/>
      <c r="B867" s="11"/>
      <c r="C867" s="10"/>
      <c r="D867" s="11"/>
      <c r="E867" s="10"/>
      <c r="F867" s="1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0"/>
      <c r="V867" s="11"/>
      <c r="W867" s="10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2.75" customHeight="1">
      <c r="A868" s="10"/>
      <c r="B868" s="11"/>
      <c r="C868" s="10"/>
      <c r="D868" s="11"/>
      <c r="E868" s="10"/>
      <c r="F868" s="1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0"/>
      <c r="V868" s="11"/>
      <c r="W868" s="10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2.75" customHeight="1">
      <c r="A869" s="10"/>
      <c r="B869" s="11"/>
      <c r="C869" s="10"/>
      <c r="D869" s="11"/>
      <c r="E869" s="10"/>
      <c r="F869" s="1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0"/>
      <c r="V869" s="11"/>
      <c r="W869" s="10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2.75" customHeight="1">
      <c r="A870" s="10"/>
      <c r="B870" s="11"/>
      <c r="C870" s="10"/>
      <c r="D870" s="11"/>
      <c r="E870" s="10"/>
      <c r="F870" s="1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0"/>
      <c r="V870" s="11"/>
      <c r="W870" s="10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2.75" customHeight="1">
      <c r="A871" s="10"/>
      <c r="B871" s="11"/>
      <c r="C871" s="10"/>
      <c r="D871" s="11"/>
      <c r="E871" s="10"/>
      <c r="F871" s="1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0"/>
      <c r="V871" s="11"/>
      <c r="W871" s="10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2.75" customHeight="1">
      <c r="A872" s="10"/>
      <c r="B872" s="11"/>
      <c r="C872" s="10"/>
      <c r="D872" s="11"/>
      <c r="E872" s="10"/>
      <c r="F872" s="1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0"/>
      <c r="V872" s="11"/>
      <c r="W872" s="10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2.75" customHeight="1">
      <c r="A873" s="10"/>
      <c r="B873" s="11"/>
      <c r="C873" s="10"/>
      <c r="D873" s="11"/>
      <c r="E873" s="10"/>
      <c r="F873" s="1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0"/>
      <c r="V873" s="11"/>
      <c r="W873" s="10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2.75" customHeight="1">
      <c r="A874" s="10"/>
      <c r="B874" s="11"/>
      <c r="C874" s="10"/>
      <c r="D874" s="11"/>
      <c r="E874" s="10"/>
      <c r="F874" s="1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0"/>
      <c r="V874" s="11"/>
      <c r="W874" s="10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2.75" customHeight="1">
      <c r="A875" s="10"/>
      <c r="B875" s="11"/>
      <c r="C875" s="10"/>
      <c r="D875" s="11"/>
      <c r="E875" s="10"/>
      <c r="F875" s="1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0"/>
      <c r="V875" s="11"/>
      <c r="W875" s="10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2.75" customHeight="1">
      <c r="A876" s="10"/>
      <c r="B876" s="11"/>
      <c r="C876" s="10"/>
      <c r="D876" s="11"/>
      <c r="E876" s="10"/>
      <c r="F876" s="1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0"/>
      <c r="V876" s="11"/>
      <c r="W876" s="10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2.75" customHeight="1">
      <c r="A877" s="10"/>
      <c r="B877" s="11"/>
      <c r="C877" s="10"/>
      <c r="D877" s="11"/>
      <c r="E877" s="10"/>
      <c r="F877" s="1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0"/>
      <c r="V877" s="11"/>
      <c r="W877" s="10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2.75" customHeight="1">
      <c r="A878" s="10"/>
      <c r="B878" s="11"/>
      <c r="C878" s="10"/>
      <c r="D878" s="11"/>
      <c r="E878" s="10"/>
      <c r="F878" s="1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0"/>
      <c r="V878" s="11"/>
      <c r="W878" s="10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2.75" customHeight="1">
      <c r="A879" s="10"/>
      <c r="B879" s="11"/>
      <c r="C879" s="10"/>
      <c r="D879" s="11"/>
      <c r="E879" s="10"/>
      <c r="F879" s="1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0"/>
      <c r="V879" s="11"/>
      <c r="W879" s="10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2.75" customHeight="1">
      <c r="A880" s="10"/>
      <c r="B880" s="11"/>
      <c r="C880" s="10"/>
      <c r="D880" s="11"/>
      <c r="E880" s="10"/>
      <c r="F880" s="1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0"/>
      <c r="V880" s="11"/>
      <c r="W880" s="10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2.75" customHeight="1">
      <c r="A881" s="10"/>
      <c r="B881" s="11"/>
      <c r="C881" s="10"/>
      <c r="D881" s="11"/>
      <c r="E881" s="10"/>
      <c r="F881" s="1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0"/>
      <c r="V881" s="11"/>
      <c r="W881" s="10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2.75" customHeight="1">
      <c r="A882" s="10"/>
      <c r="B882" s="11"/>
      <c r="C882" s="10"/>
      <c r="D882" s="11"/>
      <c r="E882" s="10"/>
      <c r="F882" s="1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0"/>
      <c r="V882" s="11"/>
      <c r="W882" s="10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2.75" customHeight="1">
      <c r="A883" s="10"/>
      <c r="B883" s="11"/>
      <c r="C883" s="10"/>
      <c r="D883" s="11"/>
      <c r="E883" s="10"/>
      <c r="F883" s="1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0"/>
      <c r="V883" s="11"/>
      <c r="W883" s="10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2.75" customHeight="1">
      <c r="A884" s="10"/>
      <c r="B884" s="11"/>
      <c r="C884" s="10"/>
      <c r="D884" s="11"/>
      <c r="E884" s="10"/>
      <c r="F884" s="1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0"/>
      <c r="V884" s="11"/>
      <c r="W884" s="10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2.75" customHeight="1">
      <c r="A885" s="10"/>
      <c r="B885" s="11"/>
      <c r="C885" s="10"/>
      <c r="D885" s="11"/>
      <c r="E885" s="10"/>
      <c r="F885" s="1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0"/>
      <c r="V885" s="11"/>
      <c r="W885" s="10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2.75" customHeight="1">
      <c r="A886" s="10"/>
      <c r="B886" s="11"/>
      <c r="C886" s="10"/>
      <c r="D886" s="11"/>
      <c r="E886" s="10"/>
      <c r="F886" s="1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0"/>
      <c r="V886" s="11"/>
      <c r="W886" s="10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2.75" customHeight="1">
      <c r="A887" s="10"/>
      <c r="B887" s="11"/>
      <c r="C887" s="10"/>
      <c r="D887" s="11"/>
      <c r="E887" s="10"/>
      <c r="F887" s="1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0"/>
      <c r="V887" s="11"/>
      <c r="W887" s="10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2.75" customHeight="1">
      <c r="A888" s="10"/>
      <c r="B888" s="11"/>
      <c r="C888" s="10"/>
      <c r="D888" s="11"/>
      <c r="E888" s="10"/>
      <c r="F888" s="1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0"/>
      <c r="V888" s="11"/>
      <c r="W888" s="10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2.75" customHeight="1">
      <c r="A889" s="10"/>
      <c r="B889" s="11"/>
      <c r="C889" s="10"/>
      <c r="D889" s="11"/>
      <c r="E889" s="10"/>
      <c r="F889" s="1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0"/>
      <c r="V889" s="11"/>
      <c r="W889" s="10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2.75" customHeight="1">
      <c r="A890" s="10"/>
      <c r="B890" s="11"/>
      <c r="C890" s="10"/>
      <c r="D890" s="11"/>
      <c r="E890" s="10"/>
      <c r="F890" s="1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0"/>
      <c r="V890" s="11"/>
      <c r="W890" s="10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2.75" customHeight="1">
      <c r="A891" s="10"/>
      <c r="B891" s="11"/>
      <c r="C891" s="10"/>
      <c r="D891" s="11"/>
      <c r="E891" s="10"/>
      <c r="F891" s="1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0"/>
      <c r="V891" s="11"/>
      <c r="W891" s="10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2.75" customHeight="1">
      <c r="A892" s="10"/>
      <c r="B892" s="11"/>
      <c r="C892" s="10"/>
      <c r="D892" s="11"/>
      <c r="E892" s="10"/>
      <c r="F892" s="1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0"/>
      <c r="V892" s="11"/>
      <c r="W892" s="10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2.75" customHeight="1">
      <c r="A893" s="10"/>
      <c r="B893" s="11"/>
      <c r="C893" s="10"/>
      <c r="D893" s="11"/>
      <c r="E893" s="10"/>
      <c r="F893" s="1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0"/>
      <c r="V893" s="11"/>
      <c r="W893" s="10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2.75" customHeight="1">
      <c r="A894" s="10"/>
      <c r="B894" s="11"/>
      <c r="C894" s="10"/>
      <c r="D894" s="11"/>
      <c r="E894" s="10"/>
      <c r="F894" s="1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0"/>
      <c r="V894" s="11"/>
      <c r="W894" s="10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2.75" customHeight="1">
      <c r="A895" s="10"/>
      <c r="B895" s="11"/>
      <c r="C895" s="10"/>
      <c r="D895" s="11"/>
      <c r="E895" s="10"/>
      <c r="F895" s="1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0"/>
      <c r="V895" s="11"/>
      <c r="W895" s="10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2.75" customHeight="1">
      <c r="A896" s="10"/>
      <c r="B896" s="11"/>
      <c r="C896" s="10"/>
      <c r="D896" s="11"/>
      <c r="E896" s="10"/>
      <c r="F896" s="1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0"/>
      <c r="V896" s="11"/>
      <c r="W896" s="10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2.75" customHeight="1">
      <c r="A897" s="10"/>
      <c r="B897" s="11"/>
      <c r="C897" s="10"/>
      <c r="D897" s="11"/>
      <c r="E897" s="10"/>
      <c r="F897" s="1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0"/>
      <c r="V897" s="11"/>
      <c r="W897" s="10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2.75" customHeight="1">
      <c r="A898" s="10"/>
      <c r="B898" s="11"/>
      <c r="C898" s="10"/>
      <c r="D898" s="11"/>
      <c r="E898" s="10"/>
      <c r="F898" s="1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0"/>
      <c r="V898" s="11"/>
      <c r="W898" s="10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2.75" customHeight="1">
      <c r="A899" s="10"/>
      <c r="B899" s="11"/>
      <c r="C899" s="10"/>
      <c r="D899" s="11"/>
      <c r="E899" s="10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0"/>
      <c r="V899" s="11"/>
      <c r="W899" s="10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2.75" customHeight="1">
      <c r="A900" s="10"/>
      <c r="B900" s="11"/>
      <c r="C900" s="10"/>
      <c r="D900" s="11"/>
      <c r="E900" s="10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0"/>
      <c r="V900" s="11"/>
      <c r="W900" s="10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2.75" customHeight="1">
      <c r="A901" s="10"/>
      <c r="B901" s="11"/>
      <c r="C901" s="10"/>
      <c r="D901" s="11"/>
      <c r="E901" s="10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0"/>
      <c r="V901" s="11"/>
      <c r="W901" s="10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2.75" customHeight="1">
      <c r="A902" s="10"/>
      <c r="B902" s="11"/>
      <c r="C902" s="10"/>
      <c r="D902" s="11"/>
      <c r="E902" s="10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0"/>
      <c r="V902" s="11"/>
      <c r="W902" s="10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2.75" customHeight="1">
      <c r="A903" s="10"/>
      <c r="B903" s="11"/>
      <c r="C903" s="10"/>
      <c r="D903" s="11"/>
      <c r="E903" s="10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0"/>
      <c r="V903" s="11"/>
      <c r="W903" s="10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2.75" customHeight="1">
      <c r="A904" s="10"/>
      <c r="B904" s="11"/>
      <c r="C904" s="10"/>
      <c r="D904" s="11"/>
      <c r="E904" s="10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0"/>
      <c r="V904" s="11"/>
      <c r="W904" s="10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2.75" customHeight="1">
      <c r="A905" s="10"/>
      <c r="B905" s="11"/>
      <c r="C905" s="10"/>
      <c r="D905" s="11"/>
      <c r="E905" s="10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0"/>
      <c r="V905" s="11"/>
      <c r="W905" s="10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2.75" customHeight="1">
      <c r="A906" s="10"/>
      <c r="B906" s="11"/>
      <c r="C906" s="10"/>
      <c r="D906" s="11"/>
      <c r="E906" s="10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0"/>
      <c r="V906" s="11"/>
      <c r="W906" s="10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2.75" customHeight="1">
      <c r="A907" s="10"/>
      <c r="B907" s="11"/>
      <c r="C907" s="10"/>
      <c r="D907" s="11"/>
      <c r="E907" s="10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0"/>
      <c r="V907" s="11"/>
      <c r="W907" s="10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2.75" customHeight="1">
      <c r="A908" s="10"/>
      <c r="B908" s="11"/>
      <c r="C908" s="10"/>
      <c r="D908" s="11"/>
      <c r="E908" s="10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0"/>
      <c r="V908" s="11"/>
      <c r="W908" s="10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2.75" customHeight="1">
      <c r="A909" s="10"/>
      <c r="B909" s="11"/>
      <c r="C909" s="10"/>
      <c r="D909" s="11"/>
      <c r="E909" s="10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0"/>
      <c r="V909" s="11"/>
      <c r="W909" s="10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2.75" customHeight="1">
      <c r="A910" s="10"/>
      <c r="B910" s="11"/>
      <c r="C910" s="10"/>
      <c r="D910" s="11"/>
      <c r="E910" s="10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0"/>
      <c r="V910" s="11"/>
      <c r="W910" s="10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2.75" customHeight="1">
      <c r="A911" s="10"/>
      <c r="B911" s="11"/>
      <c r="C911" s="10"/>
      <c r="D911" s="11"/>
      <c r="E911" s="10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0"/>
      <c r="V911" s="11"/>
      <c r="W911" s="10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2.75" customHeight="1">
      <c r="A912" s="10"/>
      <c r="B912" s="11"/>
      <c r="C912" s="10"/>
      <c r="D912" s="11"/>
      <c r="E912" s="10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0"/>
      <c r="V912" s="11"/>
      <c r="W912" s="10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2.75" customHeight="1">
      <c r="A913" s="10"/>
      <c r="B913" s="11"/>
      <c r="C913" s="10"/>
      <c r="D913" s="11"/>
      <c r="E913" s="10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0"/>
      <c r="V913" s="11"/>
      <c r="W913" s="10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2.75" customHeight="1">
      <c r="A914" s="10"/>
      <c r="B914" s="11"/>
      <c r="C914" s="10"/>
      <c r="D914" s="11"/>
      <c r="E914" s="10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0"/>
      <c r="V914" s="11"/>
      <c r="W914" s="10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2.75" customHeight="1">
      <c r="A915" s="10"/>
      <c r="B915" s="11"/>
      <c r="C915" s="10"/>
      <c r="D915" s="11"/>
      <c r="E915" s="10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0"/>
      <c r="V915" s="11"/>
      <c r="W915" s="10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2.75" customHeight="1">
      <c r="A916" s="10"/>
      <c r="B916" s="11"/>
      <c r="C916" s="10"/>
      <c r="D916" s="11"/>
      <c r="E916" s="10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0"/>
      <c r="V916" s="11"/>
      <c r="W916" s="10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2.75" customHeight="1">
      <c r="A917" s="10"/>
      <c r="B917" s="11"/>
      <c r="C917" s="10"/>
      <c r="D917" s="11"/>
      <c r="E917" s="10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0"/>
      <c r="V917" s="11"/>
      <c r="W917" s="10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2.75" customHeight="1">
      <c r="A918" s="10"/>
      <c r="B918" s="11"/>
      <c r="C918" s="10"/>
      <c r="D918" s="11"/>
      <c r="E918" s="10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0"/>
      <c r="V918" s="11"/>
      <c r="W918" s="10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2.75" customHeight="1">
      <c r="A919" s="10"/>
      <c r="B919" s="11"/>
      <c r="C919" s="10"/>
      <c r="D919" s="11"/>
      <c r="E919" s="10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0"/>
      <c r="V919" s="11"/>
      <c r="W919" s="10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2.75" customHeight="1">
      <c r="A920" s="10"/>
      <c r="B920" s="11"/>
      <c r="C920" s="10"/>
      <c r="D920" s="11"/>
      <c r="E920" s="10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0"/>
      <c r="V920" s="11"/>
      <c r="W920" s="10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2.75" customHeight="1">
      <c r="A921" s="10"/>
      <c r="B921" s="11"/>
      <c r="C921" s="10"/>
      <c r="D921" s="11"/>
      <c r="E921" s="10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0"/>
      <c r="V921" s="11"/>
      <c r="W921" s="10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2.75" customHeight="1">
      <c r="A922" s="10"/>
      <c r="B922" s="11"/>
      <c r="C922" s="10"/>
      <c r="D922" s="11"/>
      <c r="E922" s="10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0"/>
      <c r="V922" s="11"/>
      <c r="W922" s="10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2.75" customHeight="1">
      <c r="A923" s="10"/>
      <c r="B923" s="11"/>
      <c r="C923" s="10"/>
      <c r="D923" s="11"/>
      <c r="E923" s="10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0"/>
      <c r="V923" s="11"/>
      <c r="W923" s="10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2.75" customHeight="1">
      <c r="A924" s="10"/>
      <c r="B924" s="11"/>
      <c r="C924" s="10"/>
      <c r="D924" s="11"/>
      <c r="E924" s="10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0"/>
      <c r="V924" s="11"/>
      <c r="W924" s="10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2.75" customHeight="1">
      <c r="A925" s="10"/>
      <c r="B925" s="11"/>
      <c r="C925" s="10"/>
      <c r="D925" s="11"/>
      <c r="E925" s="10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0"/>
      <c r="V925" s="11"/>
      <c r="W925" s="10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2.75" customHeight="1">
      <c r="A926" s="10"/>
      <c r="B926" s="11"/>
      <c r="C926" s="10"/>
      <c r="D926" s="11"/>
      <c r="E926" s="10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0"/>
      <c r="V926" s="11"/>
      <c r="W926" s="10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2.75" customHeight="1">
      <c r="A927" s="10"/>
      <c r="B927" s="11"/>
      <c r="C927" s="10"/>
      <c r="D927" s="11"/>
      <c r="E927" s="10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0"/>
      <c r="V927" s="11"/>
      <c r="W927" s="10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2.75" customHeight="1">
      <c r="A928" s="10"/>
      <c r="B928" s="11"/>
      <c r="C928" s="10"/>
      <c r="D928" s="11"/>
      <c r="E928" s="10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0"/>
      <c r="V928" s="11"/>
      <c r="W928" s="10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2.75" customHeight="1">
      <c r="A929" s="10"/>
      <c r="B929" s="11"/>
      <c r="C929" s="10"/>
      <c r="D929" s="11"/>
      <c r="E929" s="10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0"/>
      <c r="V929" s="11"/>
      <c r="W929" s="10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2.75" customHeight="1">
      <c r="A930" s="10"/>
      <c r="B930" s="11"/>
      <c r="C930" s="10"/>
      <c r="D930" s="11"/>
      <c r="E930" s="10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0"/>
      <c r="V930" s="11"/>
      <c r="W930" s="10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2.75" customHeight="1">
      <c r="A931" s="10"/>
      <c r="B931" s="11"/>
      <c r="C931" s="10"/>
      <c r="D931" s="11"/>
      <c r="E931" s="10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0"/>
      <c r="V931" s="11"/>
      <c r="W931" s="10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2.75" customHeight="1">
      <c r="A932" s="10"/>
      <c r="B932" s="11"/>
      <c r="C932" s="10"/>
      <c r="D932" s="11"/>
      <c r="E932" s="10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0"/>
      <c r="V932" s="11"/>
      <c r="W932" s="10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2.75" customHeight="1">
      <c r="A933" s="10"/>
      <c r="B933" s="11"/>
      <c r="C933" s="10"/>
      <c r="D933" s="11"/>
      <c r="E933" s="10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0"/>
      <c r="V933" s="11"/>
      <c r="W933" s="10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2.75" customHeight="1">
      <c r="A934" s="10"/>
      <c r="B934" s="11"/>
      <c r="C934" s="10"/>
      <c r="D934" s="11"/>
      <c r="E934" s="10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0"/>
      <c r="V934" s="11"/>
      <c r="W934" s="10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2.75" customHeight="1">
      <c r="A935" s="10"/>
      <c r="B935" s="11"/>
      <c r="C935" s="10"/>
      <c r="D935" s="11"/>
      <c r="E935" s="10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0"/>
      <c r="V935" s="11"/>
      <c r="W935" s="10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2.75" customHeight="1">
      <c r="A936" s="10"/>
      <c r="B936" s="11"/>
      <c r="C936" s="10"/>
      <c r="D936" s="11"/>
      <c r="E936" s="10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0"/>
      <c r="V936" s="11"/>
      <c r="W936" s="10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2.75" customHeight="1">
      <c r="A937" s="10"/>
      <c r="B937" s="11"/>
      <c r="C937" s="10"/>
      <c r="D937" s="11"/>
      <c r="E937" s="10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0"/>
      <c r="V937" s="11"/>
      <c r="W937" s="10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2.75" customHeight="1">
      <c r="A938" s="10"/>
      <c r="B938" s="11"/>
      <c r="C938" s="10"/>
      <c r="D938" s="11"/>
      <c r="E938" s="10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0"/>
      <c r="V938" s="11"/>
      <c r="W938" s="10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2.75" customHeight="1">
      <c r="A939" s="10"/>
      <c r="B939" s="11"/>
      <c r="C939" s="10"/>
      <c r="D939" s="11"/>
      <c r="E939" s="10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0"/>
      <c r="V939" s="11"/>
      <c r="W939" s="10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2.75" customHeight="1">
      <c r="A940" s="10"/>
      <c r="B940" s="11"/>
      <c r="C940" s="10"/>
      <c r="D940" s="11"/>
      <c r="E940" s="10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0"/>
      <c r="V940" s="11"/>
      <c r="W940" s="10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2.75" customHeight="1">
      <c r="A941" s="10"/>
      <c r="B941" s="11"/>
      <c r="C941" s="10"/>
      <c r="D941" s="11"/>
      <c r="E941" s="10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0"/>
      <c r="V941" s="11"/>
      <c r="W941" s="10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2.75" customHeight="1">
      <c r="A942" s="10"/>
      <c r="B942" s="11"/>
      <c r="C942" s="10"/>
      <c r="D942" s="11"/>
      <c r="E942" s="10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0"/>
      <c r="V942" s="11"/>
      <c r="W942" s="10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2.75" customHeight="1">
      <c r="A943" s="10"/>
      <c r="B943" s="11"/>
      <c r="C943" s="10"/>
      <c r="D943" s="11"/>
      <c r="E943" s="10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0"/>
      <c r="V943" s="11"/>
      <c r="W943" s="10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2.75" customHeight="1">
      <c r="A944" s="10"/>
      <c r="B944" s="11"/>
      <c r="C944" s="10"/>
      <c r="D944" s="11"/>
      <c r="E944" s="10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0"/>
      <c r="V944" s="11"/>
      <c r="W944" s="10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2.75" customHeight="1">
      <c r="A945" s="10"/>
      <c r="B945" s="11"/>
      <c r="C945" s="10"/>
      <c r="D945" s="11"/>
      <c r="E945" s="10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0"/>
      <c r="V945" s="11"/>
      <c r="W945" s="10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2.75" customHeight="1">
      <c r="A946" s="10"/>
      <c r="B946" s="11"/>
      <c r="C946" s="10"/>
      <c r="D946" s="11"/>
      <c r="E946" s="10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0"/>
      <c r="V946" s="11"/>
      <c r="W946" s="10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2.75" customHeight="1">
      <c r="A947" s="10"/>
      <c r="B947" s="11"/>
      <c r="C947" s="10"/>
      <c r="D947" s="11"/>
      <c r="E947" s="10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0"/>
      <c r="V947" s="11"/>
      <c r="W947" s="10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2.75" customHeight="1">
      <c r="A948" s="10"/>
      <c r="B948" s="11"/>
      <c r="C948" s="10"/>
      <c r="D948" s="11"/>
      <c r="E948" s="10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0"/>
      <c r="V948" s="11"/>
      <c r="W948" s="10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2.75" customHeight="1">
      <c r="A949" s="10"/>
      <c r="B949" s="11"/>
      <c r="C949" s="10"/>
      <c r="D949" s="11"/>
      <c r="E949" s="10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0"/>
      <c r="V949" s="11"/>
      <c r="W949" s="10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2.75" customHeight="1">
      <c r="A950" s="10"/>
      <c r="B950" s="11"/>
      <c r="C950" s="10"/>
      <c r="D950" s="11"/>
      <c r="E950" s="10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0"/>
      <c r="V950" s="11"/>
      <c r="W950" s="10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2.75" customHeight="1">
      <c r="A951" s="10"/>
      <c r="B951" s="11"/>
      <c r="C951" s="10"/>
      <c r="D951" s="11"/>
      <c r="E951" s="10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0"/>
      <c r="V951" s="11"/>
      <c r="W951" s="10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2.75" customHeight="1">
      <c r="A952" s="10"/>
      <c r="B952" s="11"/>
      <c r="C952" s="10"/>
      <c r="D952" s="11"/>
      <c r="E952" s="10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0"/>
      <c r="V952" s="11"/>
      <c r="W952" s="10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2.75" customHeight="1">
      <c r="A953" s="10"/>
      <c r="B953" s="11"/>
      <c r="C953" s="10"/>
      <c r="D953" s="11"/>
      <c r="E953" s="10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0"/>
      <c r="V953" s="11"/>
      <c r="W953" s="10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2.75" customHeight="1">
      <c r="A954" s="10"/>
      <c r="B954" s="11"/>
      <c r="C954" s="10"/>
      <c r="D954" s="11"/>
      <c r="E954" s="10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0"/>
      <c r="V954" s="11"/>
      <c r="W954" s="10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2.75" customHeight="1">
      <c r="A955" s="10"/>
      <c r="B955" s="11"/>
      <c r="C955" s="10"/>
      <c r="D955" s="11"/>
      <c r="E955" s="10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0"/>
      <c r="V955" s="11"/>
      <c r="W955" s="10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2.75" customHeight="1">
      <c r="A956" s="10"/>
      <c r="B956" s="11"/>
      <c r="C956" s="10"/>
      <c r="D956" s="11"/>
      <c r="E956" s="10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0"/>
      <c r="V956" s="11"/>
      <c r="W956" s="10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2.75" customHeight="1">
      <c r="A957" s="10"/>
      <c r="B957" s="11"/>
      <c r="C957" s="10"/>
      <c r="D957" s="11"/>
      <c r="E957" s="10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0"/>
      <c r="V957" s="11"/>
      <c r="W957" s="10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2.75" customHeight="1">
      <c r="A958" s="10"/>
      <c r="B958" s="11"/>
      <c r="C958" s="10"/>
      <c r="D958" s="11"/>
      <c r="E958" s="10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0"/>
      <c r="V958" s="11"/>
      <c r="W958" s="10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2.75" customHeight="1">
      <c r="A959" s="10"/>
      <c r="B959" s="11"/>
      <c r="C959" s="10"/>
      <c r="D959" s="11"/>
      <c r="E959" s="10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0"/>
      <c r="V959" s="11"/>
      <c r="W959" s="10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2.75" customHeight="1">
      <c r="A960" s="10"/>
      <c r="B960" s="11"/>
      <c r="C960" s="10"/>
      <c r="D960" s="11"/>
      <c r="E960" s="10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0"/>
      <c r="V960" s="11"/>
      <c r="W960" s="10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2.75" customHeight="1">
      <c r="A961" s="10"/>
      <c r="B961" s="11"/>
      <c r="C961" s="10"/>
      <c r="D961" s="11"/>
      <c r="E961" s="10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0"/>
      <c r="V961" s="11"/>
      <c r="W961" s="10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2.75" customHeight="1">
      <c r="A962" s="10"/>
      <c r="B962" s="11"/>
      <c r="C962" s="10"/>
      <c r="D962" s="11"/>
      <c r="E962" s="10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0"/>
      <c r="V962" s="11"/>
      <c r="W962" s="10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2.75" customHeight="1">
      <c r="A963" s="10"/>
      <c r="B963" s="11"/>
      <c r="C963" s="10"/>
      <c r="D963" s="11"/>
      <c r="E963" s="10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0"/>
      <c r="V963" s="11"/>
      <c r="W963" s="10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2.75" customHeight="1">
      <c r="A964" s="10"/>
      <c r="B964" s="11"/>
      <c r="C964" s="10"/>
      <c r="D964" s="11"/>
      <c r="E964" s="10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0"/>
      <c r="V964" s="11"/>
      <c r="W964" s="10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2.75" customHeight="1">
      <c r="A965" s="10"/>
      <c r="B965" s="11"/>
      <c r="C965" s="10"/>
      <c r="D965" s="11"/>
      <c r="E965" s="10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0"/>
      <c r="V965" s="11"/>
      <c r="W965" s="10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2.75" customHeight="1">
      <c r="A966" s="10"/>
      <c r="B966" s="11"/>
      <c r="C966" s="10"/>
      <c r="D966" s="11"/>
      <c r="E966" s="10"/>
      <c r="F966" s="1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0"/>
      <c r="V966" s="11"/>
      <c r="W966" s="10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2.75" customHeight="1">
      <c r="A967" s="10"/>
      <c r="B967" s="11"/>
      <c r="C967" s="10"/>
      <c r="D967" s="11"/>
      <c r="E967" s="10"/>
      <c r="F967" s="1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0"/>
      <c r="V967" s="11"/>
      <c r="W967" s="10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2.75" customHeight="1">
      <c r="A968" s="10"/>
      <c r="B968" s="11"/>
      <c r="C968" s="10"/>
      <c r="D968" s="11"/>
      <c r="E968" s="10"/>
      <c r="F968" s="1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0"/>
      <c r="V968" s="11"/>
      <c r="W968" s="10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2.75" customHeight="1">
      <c r="A969" s="10"/>
      <c r="B969" s="11"/>
      <c r="C969" s="10"/>
      <c r="D969" s="11"/>
      <c r="E969" s="10"/>
      <c r="F969" s="1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0"/>
      <c r="V969" s="11"/>
      <c r="W969" s="10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2.75" customHeight="1">
      <c r="A970" s="10"/>
      <c r="B970" s="11"/>
      <c r="C970" s="10"/>
      <c r="D970" s="11"/>
      <c r="E970" s="10"/>
      <c r="F970" s="1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0"/>
      <c r="V970" s="11"/>
      <c r="W970" s="10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2.75" customHeight="1">
      <c r="A971" s="10"/>
      <c r="B971" s="11"/>
      <c r="C971" s="10"/>
      <c r="D971" s="11"/>
      <c r="E971" s="10"/>
      <c r="F971" s="1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0"/>
      <c r="V971" s="11"/>
      <c r="W971" s="10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2.75" customHeight="1">
      <c r="A972" s="10"/>
      <c r="B972" s="11"/>
      <c r="C972" s="10"/>
      <c r="D972" s="11"/>
      <c r="E972" s="10"/>
      <c r="F972" s="1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0"/>
      <c r="V972" s="11"/>
      <c r="W972" s="10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2.75" customHeight="1">
      <c r="A973" s="10"/>
      <c r="B973" s="11"/>
      <c r="C973" s="10"/>
      <c r="D973" s="11"/>
      <c r="E973" s="10"/>
      <c r="F973" s="1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0"/>
      <c r="V973" s="11"/>
      <c r="W973" s="10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2.75" customHeight="1">
      <c r="A974" s="10"/>
      <c r="B974" s="11"/>
      <c r="C974" s="10"/>
      <c r="D974" s="11"/>
      <c r="E974" s="10"/>
      <c r="F974" s="1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0"/>
      <c r="V974" s="11"/>
      <c r="W974" s="10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2.75" customHeight="1">
      <c r="A975" s="10"/>
      <c r="B975" s="11"/>
      <c r="C975" s="10"/>
      <c r="D975" s="11"/>
      <c r="E975" s="10"/>
      <c r="F975" s="1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0"/>
      <c r="V975" s="11"/>
      <c r="W975" s="10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2.75" customHeight="1">
      <c r="A976" s="10"/>
      <c r="B976" s="11"/>
      <c r="C976" s="10"/>
      <c r="D976" s="11"/>
      <c r="E976" s="10"/>
      <c r="F976" s="1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0"/>
      <c r="V976" s="11"/>
      <c r="W976" s="10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2.75" customHeight="1">
      <c r="A977" s="10"/>
      <c r="B977" s="11"/>
      <c r="C977" s="10"/>
      <c r="D977" s="11"/>
      <c r="E977" s="10"/>
      <c r="F977" s="1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0"/>
      <c r="V977" s="11"/>
      <c r="W977" s="10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2.75" customHeight="1">
      <c r="A978" s="10"/>
      <c r="B978" s="11"/>
      <c r="C978" s="10"/>
      <c r="D978" s="11"/>
      <c r="E978" s="10"/>
      <c r="F978" s="1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0"/>
      <c r="V978" s="11"/>
      <c r="W978" s="10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2.75" customHeight="1">
      <c r="A979" s="10"/>
      <c r="B979" s="11"/>
      <c r="C979" s="10"/>
      <c r="D979" s="11"/>
      <c r="E979" s="10"/>
      <c r="F979" s="1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0"/>
      <c r="V979" s="11"/>
      <c r="W979" s="10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2.75" customHeight="1">
      <c r="A980" s="10"/>
      <c r="B980" s="11"/>
      <c r="C980" s="10"/>
      <c r="D980" s="11"/>
      <c r="E980" s="10"/>
      <c r="F980" s="1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0"/>
      <c r="V980" s="11"/>
      <c r="W980" s="10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2.75" customHeight="1">
      <c r="A981" s="10"/>
      <c r="B981" s="11"/>
      <c r="C981" s="10"/>
      <c r="D981" s="11"/>
      <c r="E981" s="10"/>
      <c r="F981" s="1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0"/>
      <c r="V981" s="11"/>
      <c r="W981" s="10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2.75" customHeight="1">
      <c r="A982" s="10"/>
      <c r="B982" s="11"/>
      <c r="C982" s="10"/>
      <c r="D982" s="11"/>
      <c r="E982" s="10"/>
      <c r="F982" s="1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0"/>
      <c r="V982" s="11"/>
      <c r="W982" s="10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2.75" customHeight="1">
      <c r="A983" s="10"/>
      <c r="B983" s="11"/>
      <c r="C983" s="10"/>
      <c r="D983" s="11"/>
      <c r="E983" s="10"/>
      <c r="F983" s="1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0"/>
      <c r="V983" s="11"/>
      <c r="W983" s="10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2.75" customHeight="1">
      <c r="A984" s="10"/>
      <c r="B984" s="11"/>
      <c r="C984" s="10"/>
      <c r="D984" s="11"/>
      <c r="E984" s="10"/>
      <c r="F984" s="1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0"/>
      <c r="V984" s="11"/>
      <c r="W984" s="10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2.75" customHeight="1">
      <c r="A985" s="10"/>
      <c r="B985" s="11"/>
      <c r="C985" s="10"/>
      <c r="D985" s="11"/>
      <c r="E985" s="10"/>
      <c r="F985" s="1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0"/>
      <c r="V985" s="11"/>
      <c r="W985" s="10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2.75" customHeight="1">
      <c r="A986" s="10"/>
      <c r="B986" s="11"/>
      <c r="C986" s="10"/>
      <c r="D986" s="11"/>
      <c r="E986" s="10"/>
      <c r="F986" s="1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0"/>
      <c r="V986" s="11"/>
      <c r="W986" s="10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2.75" customHeight="1">
      <c r="A987" s="10"/>
      <c r="B987" s="11"/>
      <c r="C987" s="10"/>
      <c r="D987" s="11"/>
      <c r="E987" s="10"/>
      <c r="F987" s="1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0"/>
      <c r="V987" s="11"/>
      <c r="W987" s="10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2.75" customHeight="1">
      <c r="A988" s="10"/>
      <c r="B988" s="11"/>
      <c r="C988" s="10"/>
      <c r="D988" s="11"/>
      <c r="E988" s="10"/>
      <c r="F988" s="1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0"/>
      <c r="V988" s="11"/>
      <c r="W988" s="10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2.75" customHeight="1">
      <c r="A989" s="10"/>
      <c r="B989" s="11"/>
      <c r="C989" s="10"/>
      <c r="D989" s="11"/>
      <c r="E989" s="10"/>
      <c r="F989" s="1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0"/>
      <c r="V989" s="11"/>
      <c r="W989" s="10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2.75" customHeight="1">
      <c r="A990" s="10"/>
      <c r="B990" s="11"/>
      <c r="C990" s="10"/>
      <c r="D990" s="11"/>
      <c r="E990" s="10"/>
      <c r="F990" s="1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0"/>
      <c r="V990" s="11"/>
      <c r="W990" s="10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2.75" customHeight="1">
      <c r="A991" s="10"/>
      <c r="B991" s="11"/>
      <c r="C991" s="10"/>
      <c r="D991" s="11"/>
      <c r="E991" s="10"/>
      <c r="F991" s="1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0"/>
      <c r="V991" s="11"/>
      <c r="W991" s="10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2.75" customHeight="1">
      <c r="A992" s="10"/>
      <c r="B992" s="11"/>
      <c r="C992" s="10"/>
      <c r="D992" s="11"/>
      <c r="E992" s="10"/>
      <c r="F992" s="1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0"/>
      <c r="V992" s="11"/>
      <c r="W992" s="10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2.75" customHeight="1">
      <c r="A993" s="10"/>
      <c r="B993" s="11"/>
      <c r="C993" s="10"/>
      <c r="D993" s="11"/>
      <c r="E993" s="10"/>
      <c r="F993" s="1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0"/>
      <c r="V993" s="11"/>
      <c r="W993" s="10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2.75" customHeight="1">
      <c r="A994" s="10"/>
      <c r="B994" s="11"/>
      <c r="C994" s="10"/>
      <c r="D994" s="11"/>
      <c r="E994" s="10"/>
      <c r="F994" s="1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0"/>
      <c r="V994" s="11"/>
      <c r="W994" s="10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2.75" customHeight="1">
      <c r="A995" s="10"/>
      <c r="B995" s="11"/>
      <c r="C995" s="10"/>
      <c r="D995" s="11"/>
      <c r="E995" s="10"/>
      <c r="F995" s="1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0"/>
      <c r="V995" s="11"/>
      <c r="W995" s="10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2.75" customHeight="1">
      <c r="A996" s="10"/>
      <c r="B996" s="11"/>
      <c r="C996" s="10"/>
      <c r="D996" s="11"/>
      <c r="E996" s="10"/>
      <c r="F996" s="1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0"/>
      <c r="V996" s="11"/>
      <c r="W996" s="10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2.75" customHeight="1">
      <c r="A997" s="10"/>
      <c r="B997" s="11"/>
      <c r="C997" s="10"/>
      <c r="D997" s="11"/>
      <c r="E997" s="10"/>
      <c r="F997" s="1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0"/>
      <c r="V997" s="11"/>
      <c r="W997" s="10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2.75" customHeight="1">
      <c r="A998" s="10"/>
      <c r="B998" s="11"/>
      <c r="C998" s="10"/>
      <c r="D998" s="11"/>
      <c r="E998" s="10"/>
      <c r="F998" s="1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0"/>
      <c r="V998" s="11"/>
      <c r="W998" s="10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2.75" customHeight="1">
      <c r="A999" s="10"/>
      <c r="B999" s="11"/>
      <c r="C999" s="10"/>
      <c r="D999" s="11"/>
      <c r="E999" s="10"/>
      <c r="F999" s="1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0"/>
      <c r="V999" s="11"/>
      <c r="W999" s="10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2.75" customHeight="1">
      <c r="A1000" s="10"/>
      <c r="B1000" s="11"/>
      <c r="C1000" s="10"/>
      <c r="D1000" s="11"/>
      <c r="E1000" s="10"/>
      <c r="F1000" s="1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0"/>
      <c r="V1000" s="11"/>
      <c r="W1000" s="10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26" width="7.0"/>
  </cols>
  <sheetData>
    <row r="1" ht="12.75" customHeight="1">
      <c r="A1" s="15" t="s">
        <v>216</v>
      </c>
      <c r="B1" s="15" t="s">
        <v>217</v>
      </c>
      <c r="C1" s="15" t="s">
        <v>218</v>
      </c>
      <c r="D1" s="15" t="s">
        <v>219</v>
      </c>
      <c r="E1" s="15" t="s">
        <v>220</v>
      </c>
      <c r="F1" s="15" t="s">
        <v>221</v>
      </c>
    </row>
    <row r="2" ht="12.75" customHeight="1">
      <c r="A2" s="15">
        <v>1.0</v>
      </c>
      <c r="B2" s="15">
        <f t="shared" ref="B2:B60" si="1">INT((A2+4)/2)</f>
        <v>2</v>
      </c>
      <c r="C2" s="15">
        <f t="shared" ref="C2:C60" si="2">INT((A2)/3)</f>
        <v>0</v>
      </c>
      <c r="D2" s="15">
        <f t="shared" ref="D2:D60" si="3">A2</f>
        <v>1</v>
      </c>
      <c r="E2" s="15">
        <f t="shared" ref="E2:E60" si="4">INT((A2*3)/4)</f>
        <v>0</v>
      </c>
      <c r="F2" s="15">
        <f t="shared" ref="F2:F60" si="5">INT((A2/2))</f>
        <v>0</v>
      </c>
    </row>
    <row r="3" ht="12.75" customHeight="1">
      <c r="A3" s="15">
        <f t="shared" ref="A3:A60" si="6">A2+1</f>
        <v>2</v>
      </c>
      <c r="B3" s="15">
        <f t="shared" si="1"/>
        <v>3</v>
      </c>
      <c r="C3" s="15">
        <f t="shared" si="2"/>
        <v>0</v>
      </c>
      <c r="D3" s="15">
        <f t="shared" si="3"/>
        <v>2</v>
      </c>
      <c r="E3" s="15">
        <f t="shared" si="4"/>
        <v>1</v>
      </c>
      <c r="F3" s="15">
        <f t="shared" si="5"/>
        <v>1</v>
      </c>
    </row>
    <row r="4" ht="12.75" customHeight="1">
      <c r="A4" s="15">
        <f t="shared" si="6"/>
        <v>3</v>
      </c>
      <c r="B4" s="15">
        <f t="shared" si="1"/>
        <v>3</v>
      </c>
      <c r="C4" s="15">
        <f t="shared" si="2"/>
        <v>1</v>
      </c>
      <c r="D4" s="15">
        <f t="shared" si="3"/>
        <v>3</v>
      </c>
      <c r="E4" s="15">
        <f t="shared" si="4"/>
        <v>2</v>
      </c>
      <c r="F4" s="15">
        <f t="shared" si="5"/>
        <v>1</v>
      </c>
    </row>
    <row r="5" ht="12.75" customHeight="1">
      <c r="A5" s="15">
        <f t="shared" si="6"/>
        <v>4</v>
      </c>
      <c r="B5" s="15">
        <f t="shared" si="1"/>
        <v>4</v>
      </c>
      <c r="C5" s="15">
        <f t="shared" si="2"/>
        <v>1</v>
      </c>
      <c r="D5" s="15">
        <f t="shared" si="3"/>
        <v>4</v>
      </c>
      <c r="E5" s="15">
        <f t="shared" si="4"/>
        <v>3</v>
      </c>
      <c r="F5" s="15">
        <f t="shared" si="5"/>
        <v>2</v>
      </c>
    </row>
    <row r="6" ht="12.75" customHeight="1">
      <c r="A6" s="15">
        <f t="shared" si="6"/>
        <v>5</v>
      </c>
      <c r="B6" s="15">
        <f t="shared" si="1"/>
        <v>4</v>
      </c>
      <c r="C6" s="15">
        <f t="shared" si="2"/>
        <v>1</v>
      </c>
      <c r="D6" s="15">
        <f t="shared" si="3"/>
        <v>5</v>
      </c>
      <c r="E6" s="15">
        <f t="shared" si="4"/>
        <v>3</v>
      </c>
      <c r="F6" s="15">
        <f t="shared" si="5"/>
        <v>2</v>
      </c>
    </row>
    <row r="7" ht="12.75" customHeight="1">
      <c r="A7" s="15">
        <f t="shared" si="6"/>
        <v>6</v>
      </c>
      <c r="B7" s="15">
        <f t="shared" si="1"/>
        <v>5</v>
      </c>
      <c r="C7" s="15">
        <f t="shared" si="2"/>
        <v>2</v>
      </c>
      <c r="D7" s="15">
        <f t="shared" si="3"/>
        <v>6</v>
      </c>
      <c r="E7" s="15">
        <f t="shared" si="4"/>
        <v>4</v>
      </c>
      <c r="F7" s="15">
        <f t="shared" si="5"/>
        <v>3</v>
      </c>
    </row>
    <row r="8" ht="12.75" customHeight="1">
      <c r="A8" s="15">
        <f t="shared" si="6"/>
        <v>7</v>
      </c>
      <c r="B8" s="15">
        <f t="shared" si="1"/>
        <v>5</v>
      </c>
      <c r="C8" s="15">
        <f t="shared" si="2"/>
        <v>2</v>
      </c>
      <c r="D8" s="15">
        <f t="shared" si="3"/>
        <v>7</v>
      </c>
      <c r="E8" s="15">
        <f t="shared" si="4"/>
        <v>5</v>
      </c>
      <c r="F8" s="15">
        <f t="shared" si="5"/>
        <v>3</v>
      </c>
    </row>
    <row r="9" ht="12.75" customHeight="1">
      <c r="A9" s="15">
        <f t="shared" si="6"/>
        <v>8</v>
      </c>
      <c r="B9" s="15">
        <f t="shared" si="1"/>
        <v>6</v>
      </c>
      <c r="C9" s="15">
        <f t="shared" si="2"/>
        <v>2</v>
      </c>
      <c r="D9" s="15">
        <f t="shared" si="3"/>
        <v>8</v>
      </c>
      <c r="E9" s="15">
        <f t="shared" si="4"/>
        <v>6</v>
      </c>
      <c r="F9" s="15">
        <f t="shared" si="5"/>
        <v>4</v>
      </c>
    </row>
    <row r="10" ht="12.75" customHeight="1">
      <c r="A10" s="15">
        <f t="shared" si="6"/>
        <v>9</v>
      </c>
      <c r="B10" s="15">
        <f t="shared" si="1"/>
        <v>6</v>
      </c>
      <c r="C10" s="15">
        <f t="shared" si="2"/>
        <v>3</v>
      </c>
      <c r="D10" s="15">
        <f t="shared" si="3"/>
        <v>9</v>
      </c>
      <c r="E10" s="15">
        <f t="shared" si="4"/>
        <v>6</v>
      </c>
      <c r="F10" s="15">
        <f t="shared" si="5"/>
        <v>4</v>
      </c>
    </row>
    <row r="11" ht="12.75" customHeight="1">
      <c r="A11" s="15">
        <f t="shared" si="6"/>
        <v>10</v>
      </c>
      <c r="B11" s="15">
        <f t="shared" si="1"/>
        <v>7</v>
      </c>
      <c r="C11" s="15">
        <f t="shared" si="2"/>
        <v>3</v>
      </c>
      <c r="D11" s="15">
        <f t="shared" si="3"/>
        <v>10</v>
      </c>
      <c r="E11" s="15">
        <f t="shared" si="4"/>
        <v>7</v>
      </c>
      <c r="F11" s="15">
        <f t="shared" si="5"/>
        <v>5</v>
      </c>
    </row>
    <row r="12" ht="12.75" customHeight="1">
      <c r="A12" s="15">
        <f t="shared" si="6"/>
        <v>11</v>
      </c>
      <c r="B12" s="15">
        <f t="shared" si="1"/>
        <v>7</v>
      </c>
      <c r="C12" s="15">
        <f t="shared" si="2"/>
        <v>3</v>
      </c>
      <c r="D12" s="15">
        <f t="shared" si="3"/>
        <v>11</v>
      </c>
      <c r="E12" s="15">
        <f t="shared" si="4"/>
        <v>8</v>
      </c>
      <c r="F12" s="15">
        <f t="shared" si="5"/>
        <v>5</v>
      </c>
    </row>
    <row r="13" ht="12.75" customHeight="1">
      <c r="A13" s="15">
        <f t="shared" si="6"/>
        <v>12</v>
      </c>
      <c r="B13" s="15">
        <f t="shared" si="1"/>
        <v>8</v>
      </c>
      <c r="C13" s="15">
        <f t="shared" si="2"/>
        <v>4</v>
      </c>
      <c r="D13" s="15">
        <f t="shared" si="3"/>
        <v>12</v>
      </c>
      <c r="E13" s="15">
        <f t="shared" si="4"/>
        <v>9</v>
      </c>
      <c r="F13" s="15">
        <f t="shared" si="5"/>
        <v>6</v>
      </c>
    </row>
    <row r="14" ht="12.75" customHeight="1">
      <c r="A14" s="15">
        <f t="shared" si="6"/>
        <v>13</v>
      </c>
      <c r="B14" s="15">
        <f t="shared" si="1"/>
        <v>8</v>
      </c>
      <c r="C14" s="15">
        <f t="shared" si="2"/>
        <v>4</v>
      </c>
      <c r="D14" s="15">
        <f t="shared" si="3"/>
        <v>13</v>
      </c>
      <c r="E14" s="15">
        <f t="shared" si="4"/>
        <v>9</v>
      </c>
      <c r="F14" s="15">
        <f t="shared" si="5"/>
        <v>6</v>
      </c>
    </row>
    <row r="15" ht="12.75" customHeight="1">
      <c r="A15" s="15">
        <f t="shared" si="6"/>
        <v>14</v>
      </c>
      <c r="B15" s="15">
        <f t="shared" si="1"/>
        <v>9</v>
      </c>
      <c r="C15" s="15">
        <f t="shared" si="2"/>
        <v>4</v>
      </c>
      <c r="D15" s="15">
        <f t="shared" si="3"/>
        <v>14</v>
      </c>
      <c r="E15" s="15">
        <f t="shared" si="4"/>
        <v>10</v>
      </c>
      <c r="F15" s="15">
        <f t="shared" si="5"/>
        <v>7</v>
      </c>
    </row>
    <row r="16" ht="12.75" customHeight="1">
      <c r="A16" s="15">
        <f t="shared" si="6"/>
        <v>15</v>
      </c>
      <c r="B16" s="15">
        <f t="shared" si="1"/>
        <v>9</v>
      </c>
      <c r="C16" s="15">
        <f t="shared" si="2"/>
        <v>5</v>
      </c>
      <c r="D16" s="15">
        <f t="shared" si="3"/>
        <v>15</v>
      </c>
      <c r="E16" s="15">
        <f t="shared" si="4"/>
        <v>11</v>
      </c>
      <c r="F16" s="15">
        <f t="shared" si="5"/>
        <v>7</v>
      </c>
    </row>
    <row r="17" ht="12.75" customHeight="1">
      <c r="A17" s="15">
        <f t="shared" si="6"/>
        <v>16</v>
      </c>
      <c r="B17" s="15">
        <f t="shared" si="1"/>
        <v>10</v>
      </c>
      <c r="C17" s="15">
        <f t="shared" si="2"/>
        <v>5</v>
      </c>
      <c r="D17" s="15">
        <f t="shared" si="3"/>
        <v>16</v>
      </c>
      <c r="E17" s="15">
        <f t="shared" si="4"/>
        <v>12</v>
      </c>
      <c r="F17" s="15">
        <f t="shared" si="5"/>
        <v>8</v>
      </c>
    </row>
    <row r="18" ht="12.75" customHeight="1">
      <c r="A18" s="15">
        <f t="shared" si="6"/>
        <v>17</v>
      </c>
      <c r="B18" s="15">
        <f t="shared" si="1"/>
        <v>10</v>
      </c>
      <c r="C18" s="15">
        <f t="shared" si="2"/>
        <v>5</v>
      </c>
      <c r="D18" s="15">
        <f t="shared" si="3"/>
        <v>17</v>
      </c>
      <c r="E18" s="15">
        <f t="shared" si="4"/>
        <v>12</v>
      </c>
      <c r="F18" s="15">
        <f t="shared" si="5"/>
        <v>8</v>
      </c>
    </row>
    <row r="19" ht="12.75" customHeight="1">
      <c r="A19" s="15">
        <f t="shared" si="6"/>
        <v>18</v>
      </c>
      <c r="B19" s="15">
        <f t="shared" si="1"/>
        <v>11</v>
      </c>
      <c r="C19" s="15">
        <f t="shared" si="2"/>
        <v>6</v>
      </c>
      <c r="D19" s="15">
        <f t="shared" si="3"/>
        <v>18</v>
      </c>
      <c r="E19" s="15">
        <f t="shared" si="4"/>
        <v>13</v>
      </c>
      <c r="F19" s="15">
        <f t="shared" si="5"/>
        <v>9</v>
      </c>
    </row>
    <row r="20" ht="12.75" customHeight="1">
      <c r="A20" s="15">
        <f t="shared" si="6"/>
        <v>19</v>
      </c>
      <c r="B20" s="15">
        <f t="shared" si="1"/>
        <v>11</v>
      </c>
      <c r="C20" s="15">
        <f t="shared" si="2"/>
        <v>6</v>
      </c>
      <c r="D20" s="15">
        <f t="shared" si="3"/>
        <v>19</v>
      </c>
      <c r="E20" s="15">
        <f t="shared" si="4"/>
        <v>14</v>
      </c>
      <c r="F20" s="15">
        <f t="shared" si="5"/>
        <v>9</v>
      </c>
    </row>
    <row r="21" ht="12.75" customHeight="1">
      <c r="A21" s="15">
        <f t="shared" si="6"/>
        <v>20</v>
      </c>
      <c r="B21" s="15">
        <f t="shared" si="1"/>
        <v>12</v>
      </c>
      <c r="C21" s="15">
        <f t="shared" si="2"/>
        <v>6</v>
      </c>
      <c r="D21" s="15">
        <f t="shared" si="3"/>
        <v>20</v>
      </c>
      <c r="E21" s="15">
        <f t="shared" si="4"/>
        <v>15</v>
      </c>
      <c r="F21" s="15">
        <f t="shared" si="5"/>
        <v>10</v>
      </c>
    </row>
    <row r="22" ht="12.75" customHeight="1">
      <c r="A22" s="15">
        <f t="shared" si="6"/>
        <v>21</v>
      </c>
      <c r="B22" s="15">
        <f t="shared" si="1"/>
        <v>12</v>
      </c>
      <c r="C22" s="15">
        <f t="shared" si="2"/>
        <v>7</v>
      </c>
      <c r="D22" s="15">
        <f t="shared" si="3"/>
        <v>21</v>
      </c>
      <c r="E22" s="15">
        <f t="shared" si="4"/>
        <v>15</v>
      </c>
      <c r="F22" s="15">
        <f t="shared" si="5"/>
        <v>10</v>
      </c>
    </row>
    <row r="23" ht="12.75" customHeight="1">
      <c r="A23" s="15">
        <f t="shared" si="6"/>
        <v>22</v>
      </c>
      <c r="B23" s="15">
        <f t="shared" si="1"/>
        <v>13</v>
      </c>
      <c r="C23" s="15">
        <f t="shared" si="2"/>
        <v>7</v>
      </c>
      <c r="D23" s="15">
        <f t="shared" si="3"/>
        <v>22</v>
      </c>
      <c r="E23" s="15">
        <f t="shared" si="4"/>
        <v>16</v>
      </c>
      <c r="F23" s="15">
        <f t="shared" si="5"/>
        <v>11</v>
      </c>
    </row>
    <row r="24" ht="12.75" customHeight="1">
      <c r="A24" s="15">
        <f t="shared" si="6"/>
        <v>23</v>
      </c>
      <c r="B24" s="15">
        <f t="shared" si="1"/>
        <v>13</v>
      </c>
      <c r="C24" s="15">
        <f t="shared" si="2"/>
        <v>7</v>
      </c>
      <c r="D24" s="15">
        <f t="shared" si="3"/>
        <v>23</v>
      </c>
      <c r="E24" s="15">
        <f t="shared" si="4"/>
        <v>17</v>
      </c>
      <c r="F24" s="15">
        <f t="shared" si="5"/>
        <v>11</v>
      </c>
    </row>
    <row r="25" ht="12.75" customHeight="1">
      <c r="A25" s="15">
        <f t="shared" si="6"/>
        <v>24</v>
      </c>
      <c r="B25" s="15">
        <f t="shared" si="1"/>
        <v>14</v>
      </c>
      <c r="C25" s="15">
        <f t="shared" si="2"/>
        <v>8</v>
      </c>
      <c r="D25" s="15">
        <f t="shared" si="3"/>
        <v>24</v>
      </c>
      <c r="E25" s="15">
        <f t="shared" si="4"/>
        <v>18</v>
      </c>
      <c r="F25" s="15">
        <f t="shared" si="5"/>
        <v>12</v>
      </c>
    </row>
    <row r="26" ht="12.75" customHeight="1">
      <c r="A26" s="15">
        <f t="shared" si="6"/>
        <v>25</v>
      </c>
      <c r="B26" s="15">
        <f t="shared" si="1"/>
        <v>14</v>
      </c>
      <c r="C26" s="15">
        <f t="shared" si="2"/>
        <v>8</v>
      </c>
      <c r="D26" s="15">
        <f t="shared" si="3"/>
        <v>25</v>
      </c>
      <c r="E26" s="15">
        <f t="shared" si="4"/>
        <v>18</v>
      </c>
      <c r="F26" s="15">
        <f t="shared" si="5"/>
        <v>12</v>
      </c>
    </row>
    <row r="27" ht="12.75" customHeight="1">
      <c r="A27" s="15">
        <f t="shared" si="6"/>
        <v>26</v>
      </c>
      <c r="B27" s="15">
        <f t="shared" si="1"/>
        <v>15</v>
      </c>
      <c r="C27" s="15">
        <f t="shared" si="2"/>
        <v>8</v>
      </c>
      <c r="D27" s="15">
        <f t="shared" si="3"/>
        <v>26</v>
      </c>
      <c r="E27" s="15">
        <f t="shared" si="4"/>
        <v>19</v>
      </c>
      <c r="F27" s="15">
        <f t="shared" si="5"/>
        <v>13</v>
      </c>
    </row>
    <row r="28" ht="12.75" customHeight="1">
      <c r="A28" s="15">
        <f t="shared" si="6"/>
        <v>27</v>
      </c>
      <c r="B28" s="15">
        <f t="shared" si="1"/>
        <v>15</v>
      </c>
      <c r="C28" s="15">
        <f t="shared" si="2"/>
        <v>9</v>
      </c>
      <c r="D28" s="15">
        <f t="shared" si="3"/>
        <v>27</v>
      </c>
      <c r="E28" s="15">
        <f t="shared" si="4"/>
        <v>20</v>
      </c>
      <c r="F28" s="15">
        <f t="shared" si="5"/>
        <v>13</v>
      </c>
    </row>
    <row r="29" ht="12.75" customHeight="1">
      <c r="A29" s="15">
        <f t="shared" si="6"/>
        <v>28</v>
      </c>
      <c r="B29" s="15">
        <f t="shared" si="1"/>
        <v>16</v>
      </c>
      <c r="C29" s="15">
        <f t="shared" si="2"/>
        <v>9</v>
      </c>
      <c r="D29" s="15">
        <f t="shared" si="3"/>
        <v>28</v>
      </c>
      <c r="E29" s="15">
        <f t="shared" si="4"/>
        <v>21</v>
      </c>
      <c r="F29" s="15">
        <f t="shared" si="5"/>
        <v>14</v>
      </c>
    </row>
    <row r="30" ht="12.75" customHeight="1">
      <c r="A30" s="15">
        <f t="shared" si="6"/>
        <v>29</v>
      </c>
      <c r="B30" s="15">
        <f t="shared" si="1"/>
        <v>16</v>
      </c>
      <c r="C30" s="15">
        <f t="shared" si="2"/>
        <v>9</v>
      </c>
      <c r="D30" s="15">
        <f t="shared" si="3"/>
        <v>29</v>
      </c>
      <c r="E30" s="15">
        <f t="shared" si="4"/>
        <v>21</v>
      </c>
      <c r="F30" s="15">
        <f t="shared" si="5"/>
        <v>14</v>
      </c>
    </row>
    <row r="31" ht="12.75" customHeight="1">
      <c r="A31" s="15">
        <f t="shared" si="6"/>
        <v>30</v>
      </c>
      <c r="B31" s="15">
        <f t="shared" si="1"/>
        <v>17</v>
      </c>
      <c r="C31" s="15">
        <f t="shared" si="2"/>
        <v>10</v>
      </c>
      <c r="D31" s="15">
        <f t="shared" si="3"/>
        <v>30</v>
      </c>
      <c r="E31" s="15">
        <f t="shared" si="4"/>
        <v>22</v>
      </c>
      <c r="F31" s="15">
        <f t="shared" si="5"/>
        <v>15</v>
      </c>
    </row>
    <row r="32" ht="12.75" customHeight="1">
      <c r="A32" s="15">
        <f t="shared" si="6"/>
        <v>31</v>
      </c>
      <c r="B32" s="15">
        <f t="shared" si="1"/>
        <v>17</v>
      </c>
      <c r="C32" s="15">
        <f t="shared" si="2"/>
        <v>10</v>
      </c>
      <c r="D32" s="15">
        <f t="shared" si="3"/>
        <v>31</v>
      </c>
      <c r="E32" s="15">
        <f t="shared" si="4"/>
        <v>23</v>
      </c>
      <c r="F32" s="15">
        <f t="shared" si="5"/>
        <v>15</v>
      </c>
    </row>
    <row r="33" ht="12.75" customHeight="1">
      <c r="A33" s="15">
        <f t="shared" si="6"/>
        <v>32</v>
      </c>
      <c r="B33" s="15">
        <f t="shared" si="1"/>
        <v>18</v>
      </c>
      <c r="C33" s="15">
        <f t="shared" si="2"/>
        <v>10</v>
      </c>
      <c r="D33" s="15">
        <f t="shared" si="3"/>
        <v>32</v>
      </c>
      <c r="E33" s="15">
        <f t="shared" si="4"/>
        <v>24</v>
      </c>
      <c r="F33" s="15">
        <f t="shared" si="5"/>
        <v>16</v>
      </c>
    </row>
    <row r="34" ht="12.75" customHeight="1">
      <c r="A34" s="15">
        <f t="shared" si="6"/>
        <v>33</v>
      </c>
      <c r="B34" s="15">
        <f t="shared" si="1"/>
        <v>18</v>
      </c>
      <c r="C34" s="15">
        <f t="shared" si="2"/>
        <v>11</v>
      </c>
      <c r="D34" s="15">
        <f t="shared" si="3"/>
        <v>33</v>
      </c>
      <c r="E34" s="15">
        <f t="shared" si="4"/>
        <v>24</v>
      </c>
      <c r="F34" s="15">
        <f t="shared" si="5"/>
        <v>16</v>
      </c>
    </row>
    <row r="35" ht="12.75" customHeight="1">
      <c r="A35" s="15">
        <f t="shared" si="6"/>
        <v>34</v>
      </c>
      <c r="B35" s="15">
        <f t="shared" si="1"/>
        <v>19</v>
      </c>
      <c r="C35" s="15">
        <f t="shared" si="2"/>
        <v>11</v>
      </c>
      <c r="D35" s="15">
        <f t="shared" si="3"/>
        <v>34</v>
      </c>
      <c r="E35" s="15">
        <f t="shared" si="4"/>
        <v>25</v>
      </c>
      <c r="F35" s="15">
        <f t="shared" si="5"/>
        <v>17</v>
      </c>
    </row>
    <row r="36" ht="12.75" customHeight="1">
      <c r="A36" s="15">
        <f t="shared" si="6"/>
        <v>35</v>
      </c>
      <c r="B36" s="15">
        <f t="shared" si="1"/>
        <v>19</v>
      </c>
      <c r="C36" s="15">
        <f t="shared" si="2"/>
        <v>11</v>
      </c>
      <c r="D36" s="15">
        <f t="shared" si="3"/>
        <v>35</v>
      </c>
      <c r="E36" s="15">
        <f t="shared" si="4"/>
        <v>26</v>
      </c>
      <c r="F36" s="15">
        <f t="shared" si="5"/>
        <v>17</v>
      </c>
    </row>
    <row r="37" ht="12.75" customHeight="1">
      <c r="A37" s="15">
        <f t="shared" si="6"/>
        <v>36</v>
      </c>
      <c r="B37" s="15">
        <f t="shared" si="1"/>
        <v>20</v>
      </c>
      <c r="C37" s="15">
        <f t="shared" si="2"/>
        <v>12</v>
      </c>
      <c r="D37" s="15">
        <f t="shared" si="3"/>
        <v>36</v>
      </c>
      <c r="E37" s="15">
        <f t="shared" si="4"/>
        <v>27</v>
      </c>
      <c r="F37" s="15">
        <f t="shared" si="5"/>
        <v>18</v>
      </c>
    </row>
    <row r="38" ht="12.75" customHeight="1">
      <c r="A38" s="15">
        <f t="shared" si="6"/>
        <v>37</v>
      </c>
      <c r="B38" s="15">
        <f t="shared" si="1"/>
        <v>20</v>
      </c>
      <c r="C38" s="15">
        <f t="shared" si="2"/>
        <v>12</v>
      </c>
      <c r="D38" s="15">
        <f t="shared" si="3"/>
        <v>37</v>
      </c>
      <c r="E38" s="15">
        <f t="shared" si="4"/>
        <v>27</v>
      </c>
      <c r="F38" s="15">
        <f t="shared" si="5"/>
        <v>18</v>
      </c>
    </row>
    <row r="39" ht="12.75" customHeight="1">
      <c r="A39" s="15">
        <f t="shared" si="6"/>
        <v>38</v>
      </c>
      <c r="B39" s="15">
        <f t="shared" si="1"/>
        <v>21</v>
      </c>
      <c r="C39" s="15">
        <f t="shared" si="2"/>
        <v>12</v>
      </c>
      <c r="D39" s="15">
        <f t="shared" si="3"/>
        <v>38</v>
      </c>
      <c r="E39" s="15">
        <f t="shared" si="4"/>
        <v>28</v>
      </c>
      <c r="F39" s="15">
        <f t="shared" si="5"/>
        <v>19</v>
      </c>
    </row>
    <row r="40" ht="12.75" customHeight="1">
      <c r="A40" s="15">
        <f t="shared" si="6"/>
        <v>39</v>
      </c>
      <c r="B40" s="15">
        <f t="shared" si="1"/>
        <v>21</v>
      </c>
      <c r="C40" s="15">
        <f t="shared" si="2"/>
        <v>13</v>
      </c>
      <c r="D40" s="15">
        <f t="shared" si="3"/>
        <v>39</v>
      </c>
      <c r="E40" s="15">
        <f t="shared" si="4"/>
        <v>29</v>
      </c>
      <c r="F40" s="15">
        <f t="shared" si="5"/>
        <v>19</v>
      </c>
    </row>
    <row r="41" ht="12.75" customHeight="1">
      <c r="A41" s="15">
        <f t="shared" si="6"/>
        <v>40</v>
      </c>
      <c r="B41" s="15">
        <f t="shared" si="1"/>
        <v>22</v>
      </c>
      <c r="C41" s="15">
        <f t="shared" si="2"/>
        <v>13</v>
      </c>
      <c r="D41" s="15">
        <f t="shared" si="3"/>
        <v>40</v>
      </c>
      <c r="E41" s="15">
        <f t="shared" si="4"/>
        <v>30</v>
      </c>
      <c r="F41" s="15">
        <f t="shared" si="5"/>
        <v>20</v>
      </c>
    </row>
    <row r="42" ht="12.75" customHeight="1">
      <c r="A42" s="15">
        <f t="shared" si="6"/>
        <v>41</v>
      </c>
      <c r="B42" s="15">
        <f t="shared" si="1"/>
        <v>22</v>
      </c>
      <c r="C42" s="15">
        <f t="shared" si="2"/>
        <v>13</v>
      </c>
      <c r="D42" s="15">
        <f t="shared" si="3"/>
        <v>41</v>
      </c>
      <c r="E42" s="15">
        <f t="shared" si="4"/>
        <v>30</v>
      </c>
      <c r="F42" s="15">
        <f t="shared" si="5"/>
        <v>20</v>
      </c>
    </row>
    <row r="43" ht="12.75" customHeight="1">
      <c r="A43" s="15">
        <f t="shared" si="6"/>
        <v>42</v>
      </c>
      <c r="B43" s="15">
        <f t="shared" si="1"/>
        <v>23</v>
      </c>
      <c r="C43" s="15">
        <f t="shared" si="2"/>
        <v>14</v>
      </c>
      <c r="D43" s="15">
        <f t="shared" si="3"/>
        <v>42</v>
      </c>
      <c r="E43" s="15">
        <f t="shared" si="4"/>
        <v>31</v>
      </c>
      <c r="F43" s="15">
        <f t="shared" si="5"/>
        <v>21</v>
      </c>
    </row>
    <row r="44" ht="12.75" customHeight="1">
      <c r="A44" s="15">
        <f t="shared" si="6"/>
        <v>43</v>
      </c>
      <c r="B44" s="15">
        <f t="shared" si="1"/>
        <v>23</v>
      </c>
      <c r="C44" s="15">
        <f t="shared" si="2"/>
        <v>14</v>
      </c>
      <c r="D44" s="15">
        <f t="shared" si="3"/>
        <v>43</v>
      </c>
      <c r="E44" s="15">
        <f t="shared" si="4"/>
        <v>32</v>
      </c>
      <c r="F44" s="15">
        <f t="shared" si="5"/>
        <v>21</v>
      </c>
    </row>
    <row r="45" ht="12.75" customHeight="1">
      <c r="A45" s="15">
        <f t="shared" si="6"/>
        <v>44</v>
      </c>
      <c r="B45" s="15">
        <f t="shared" si="1"/>
        <v>24</v>
      </c>
      <c r="C45" s="15">
        <f t="shared" si="2"/>
        <v>14</v>
      </c>
      <c r="D45" s="15">
        <f t="shared" si="3"/>
        <v>44</v>
      </c>
      <c r="E45" s="15">
        <f t="shared" si="4"/>
        <v>33</v>
      </c>
      <c r="F45" s="15">
        <f t="shared" si="5"/>
        <v>22</v>
      </c>
    </row>
    <row r="46" ht="12.75" customHeight="1">
      <c r="A46" s="15">
        <f t="shared" si="6"/>
        <v>45</v>
      </c>
      <c r="B46" s="15">
        <f t="shared" si="1"/>
        <v>24</v>
      </c>
      <c r="C46" s="15">
        <f t="shared" si="2"/>
        <v>15</v>
      </c>
      <c r="D46" s="15">
        <f t="shared" si="3"/>
        <v>45</v>
      </c>
      <c r="E46" s="15">
        <f t="shared" si="4"/>
        <v>33</v>
      </c>
      <c r="F46" s="15">
        <f t="shared" si="5"/>
        <v>22</v>
      </c>
    </row>
    <row r="47" ht="12.75" customHeight="1">
      <c r="A47" s="15">
        <f t="shared" si="6"/>
        <v>46</v>
      </c>
      <c r="B47" s="15">
        <f t="shared" si="1"/>
        <v>25</v>
      </c>
      <c r="C47" s="15">
        <f t="shared" si="2"/>
        <v>15</v>
      </c>
      <c r="D47" s="15">
        <f t="shared" si="3"/>
        <v>46</v>
      </c>
      <c r="E47" s="15">
        <f t="shared" si="4"/>
        <v>34</v>
      </c>
      <c r="F47" s="15">
        <f t="shared" si="5"/>
        <v>23</v>
      </c>
    </row>
    <row r="48" ht="12.75" customHeight="1">
      <c r="A48" s="15">
        <f t="shared" si="6"/>
        <v>47</v>
      </c>
      <c r="B48" s="15">
        <f t="shared" si="1"/>
        <v>25</v>
      </c>
      <c r="C48" s="15">
        <f t="shared" si="2"/>
        <v>15</v>
      </c>
      <c r="D48" s="15">
        <f t="shared" si="3"/>
        <v>47</v>
      </c>
      <c r="E48" s="15">
        <f t="shared" si="4"/>
        <v>35</v>
      </c>
      <c r="F48" s="15">
        <f t="shared" si="5"/>
        <v>23</v>
      </c>
    </row>
    <row r="49" ht="12.75" customHeight="1">
      <c r="A49" s="15">
        <f t="shared" si="6"/>
        <v>48</v>
      </c>
      <c r="B49" s="15">
        <f t="shared" si="1"/>
        <v>26</v>
      </c>
      <c r="C49" s="15">
        <f t="shared" si="2"/>
        <v>16</v>
      </c>
      <c r="D49" s="15">
        <f t="shared" si="3"/>
        <v>48</v>
      </c>
      <c r="E49" s="15">
        <f t="shared" si="4"/>
        <v>36</v>
      </c>
      <c r="F49" s="15">
        <f t="shared" si="5"/>
        <v>24</v>
      </c>
    </row>
    <row r="50" ht="12.75" customHeight="1">
      <c r="A50" s="15">
        <f t="shared" si="6"/>
        <v>49</v>
      </c>
      <c r="B50" s="15">
        <f t="shared" si="1"/>
        <v>26</v>
      </c>
      <c r="C50" s="15">
        <f t="shared" si="2"/>
        <v>16</v>
      </c>
      <c r="D50" s="15">
        <f t="shared" si="3"/>
        <v>49</v>
      </c>
      <c r="E50" s="15">
        <f t="shared" si="4"/>
        <v>36</v>
      </c>
      <c r="F50" s="15">
        <f t="shared" si="5"/>
        <v>24</v>
      </c>
    </row>
    <row r="51" ht="12.75" customHeight="1">
      <c r="A51" s="15">
        <f t="shared" si="6"/>
        <v>50</v>
      </c>
      <c r="B51" s="15">
        <f t="shared" si="1"/>
        <v>27</v>
      </c>
      <c r="C51" s="15">
        <f t="shared" si="2"/>
        <v>16</v>
      </c>
      <c r="D51" s="15">
        <f t="shared" si="3"/>
        <v>50</v>
      </c>
      <c r="E51" s="15">
        <f t="shared" si="4"/>
        <v>37</v>
      </c>
      <c r="F51" s="15">
        <f t="shared" si="5"/>
        <v>25</v>
      </c>
    </row>
    <row r="52" ht="12.75" customHeight="1">
      <c r="A52" s="15">
        <f t="shared" si="6"/>
        <v>51</v>
      </c>
      <c r="B52" s="15">
        <f t="shared" si="1"/>
        <v>27</v>
      </c>
      <c r="C52" s="15">
        <f t="shared" si="2"/>
        <v>17</v>
      </c>
      <c r="D52" s="15">
        <f t="shared" si="3"/>
        <v>51</v>
      </c>
      <c r="E52" s="15">
        <f t="shared" si="4"/>
        <v>38</v>
      </c>
      <c r="F52" s="15">
        <f t="shared" si="5"/>
        <v>25</v>
      </c>
    </row>
    <row r="53" ht="12.75" customHeight="1">
      <c r="A53" s="15">
        <f t="shared" si="6"/>
        <v>52</v>
      </c>
      <c r="B53" s="15">
        <f t="shared" si="1"/>
        <v>28</v>
      </c>
      <c r="C53" s="15">
        <f t="shared" si="2"/>
        <v>17</v>
      </c>
      <c r="D53" s="15">
        <f t="shared" si="3"/>
        <v>52</v>
      </c>
      <c r="E53" s="15">
        <f t="shared" si="4"/>
        <v>39</v>
      </c>
      <c r="F53" s="15">
        <f t="shared" si="5"/>
        <v>26</v>
      </c>
    </row>
    <row r="54" ht="12.75" customHeight="1">
      <c r="A54" s="15">
        <f t="shared" si="6"/>
        <v>53</v>
      </c>
      <c r="B54" s="15">
        <f t="shared" si="1"/>
        <v>28</v>
      </c>
      <c r="C54" s="15">
        <f t="shared" si="2"/>
        <v>17</v>
      </c>
      <c r="D54" s="15">
        <f t="shared" si="3"/>
        <v>53</v>
      </c>
      <c r="E54" s="15">
        <f t="shared" si="4"/>
        <v>39</v>
      </c>
      <c r="F54" s="15">
        <f t="shared" si="5"/>
        <v>26</v>
      </c>
    </row>
    <row r="55" ht="12.75" customHeight="1">
      <c r="A55" s="15">
        <f t="shared" si="6"/>
        <v>54</v>
      </c>
      <c r="B55" s="15">
        <f t="shared" si="1"/>
        <v>29</v>
      </c>
      <c r="C55" s="15">
        <f t="shared" si="2"/>
        <v>18</v>
      </c>
      <c r="D55" s="15">
        <f t="shared" si="3"/>
        <v>54</v>
      </c>
      <c r="E55" s="15">
        <f t="shared" si="4"/>
        <v>40</v>
      </c>
      <c r="F55" s="15">
        <f t="shared" si="5"/>
        <v>27</v>
      </c>
    </row>
    <row r="56" ht="12.75" customHeight="1">
      <c r="A56" s="15">
        <f t="shared" si="6"/>
        <v>55</v>
      </c>
      <c r="B56" s="15">
        <f t="shared" si="1"/>
        <v>29</v>
      </c>
      <c r="C56" s="15">
        <f t="shared" si="2"/>
        <v>18</v>
      </c>
      <c r="D56" s="15">
        <f t="shared" si="3"/>
        <v>55</v>
      </c>
      <c r="E56" s="15">
        <f t="shared" si="4"/>
        <v>41</v>
      </c>
      <c r="F56" s="15">
        <f t="shared" si="5"/>
        <v>27</v>
      </c>
    </row>
    <row r="57" ht="12.75" customHeight="1">
      <c r="A57" s="15">
        <f t="shared" si="6"/>
        <v>56</v>
      </c>
      <c r="B57" s="15">
        <f t="shared" si="1"/>
        <v>30</v>
      </c>
      <c r="C57" s="15">
        <f t="shared" si="2"/>
        <v>18</v>
      </c>
      <c r="D57" s="15">
        <f t="shared" si="3"/>
        <v>56</v>
      </c>
      <c r="E57" s="15">
        <f t="shared" si="4"/>
        <v>42</v>
      </c>
      <c r="F57" s="15">
        <f t="shared" si="5"/>
        <v>28</v>
      </c>
    </row>
    <row r="58" ht="12.75" customHeight="1">
      <c r="A58" s="15">
        <f t="shared" si="6"/>
        <v>57</v>
      </c>
      <c r="B58" s="15">
        <f t="shared" si="1"/>
        <v>30</v>
      </c>
      <c r="C58" s="15">
        <f t="shared" si="2"/>
        <v>19</v>
      </c>
      <c r="D58" s="15">
        <f t="shared" si="3"/>
        <v>57</v>
      </c>
      <c r="E58" s="15">
        <f t="shared" si="4"/>
        <v>42</v>
      </c>
      <c r="F58" s="15">
        <f t="shared" si="5"/>
        <v>28</v>
      </c>
    </row>
    <row r="59" ht="12.75" customHeight="1">
      <c r="A59" s="15">
        <f t="shared" si="6"/>
        <v>58</v>
      </c>
      <c r="B59" s="15">
        <f t="shared" si="1"/>
        <v>31</v>
      </c>
      <c r="C59" s="15">
        <f t="shared" si="2"/>
        <v>19</v>
      </c>
      <c r="D59" s="15">
        <f t="shared" si="3"/>
        <v>58</v>
      </c>
      <c r="E59" s="15">
        <f t="shared" si="4"/>
        <v>43</v>
      </c>
      <c r="F59" s="15">
        <f t="shared" si="5"/>
        <v>29</v>
      </c>
    </row>
    <row r="60" ht="12.75" customHeight="1">
      <c r="A60" s="15">
        <f t="shared" si="6"/>
        <v>59</v>
      </c>
      <c r="B60" s="15">
        <f t="shared" si="1"/>
        <v>31</v>
      </c>
      <c r="C60" s="15">
        <f t="shared" si="2"/>
        <v>19</v>
      </c>
      <c r="D60" s="15">
        <f t="shared" si="3"/>
        <v>59</v>
      </c>
      <c r="E60" s="15">
        <f t="shared" si="4"/>
        <v>44</v>
      </c>
      <c r="F60" s="15">
        <f t="shared" si="5"/>
        <v>29</v>
      </c>
    </row>
    <row r="61" ht="12.75" customHeight="1"/>
    <row r="62" ht="12.75" customHeight="1"/>
    <row r="63" ht="12.75" customHeight="1">
      <c r="A63" s="15" t="s">
        <v>222</v>
      </c>
      <c r="B63" s="15" t="s">
        <v>223</v>
      </c>
      <c r="C63" s="15" t="s">
        <v>224</v>
      </c>
      <c r="D63" s="15" t="s">
        <v>22</v>
      </c>
    </row>
    <row r="64" ht="12.75" customHeight="1">
      <c r="A64" s="15" t="s">
        <v>225</v>
      </c>
      <c r="B64" s="15">
        <v>8.0</v>
      </c>
      <c r="C64" s="15">
        <v>8.0</v>
      </c>
      <c r="D64" s="15">
        <v>8.0</v>
      </c>
    </row>
    <row r="65" ht="12.75" customHeight="1">
      <c r="A65" s="15" t="s">
        <v>226</v>
      </c>
      <c r="B65" s="15">
        <v>4.0</v>
      </c>
      <c r="C65" s="15">
        <v>4.0</v>
      </c>
      <c r="D65" s="15">
        <v>4.0</v>
      </c>
    </row>
    <row r="66" ht="12.75" customHeight="1">
      <c r="A66" s="15" t="s">
        <v>227</v>
      </c>
      <c r="B66" s="15">
        <v>2.0</v>
      </c>
      <c r="C66" s="15">
        <v>2.0</v>
      </c>
      <c r="D66" s="15">
        <v>3.0</v>
      </c>
    </row>
    <row r="67" ht="12.75" customHeight="1">
      <c r="A67" s="15" t="s">
        <v>228</v>
      </c>
      <c r="B67" s="15">
        <v>1.0</v>
      </c>
      <c r="C67" s="15">
        <v>1.0</v>
      </c>
      <c r="D67" s="15">
        <v>2.0</v>
      </c>
    </row>
    <row r="68" ht="12.75" customHeight="1">
      <c r="A68" s="15" t="s">
        <v>229</v>
      </c>
      <c r="B68" s="15">
        <v>0.0</v>
      </c>
      <c r="C68" s="15">
        <v>0.0</v>
      </c>
      <c r="D68" s="15">
        <v>0.0</v>
      </c>
    </row>
    <row r="69" ht="12.75" customHeight="1">
      <c r="A69" s="15" t="s">
        <v>230</v>
      </c>
      <c r="B69" s="15">
        <v>-1.0</v>
      </c>
      <c r="C69" s="15">
        <v>-1.0</v>
      </c>
      <c r="D69" s="15">
        <v>-1.0</v>
      </c>
    </row>
    <row r="70" ht="12.75" customHeight="1">
      <c r="A70" s="15" t="s">
        <v>231</v>
      </c>
      <c r="B70" s="15">
        <v>-2.0</v>
      </c>
      <c r="C70" s="15">
        <v>-2.0</v>
      </c>
      <c r="D70" s="15">
        <v>-3.0</v>
      </c>
    </row>
    <row r="71" ht="12.75" customHeight="1">
      <c r="A71" s="15" t="s">
        <v>232</v>
      </c>
      <c r="B71" s="15">
        <v>-4.0</v>
      </c>
      <c r="C71" s="15">
        <v>-4.0</v>
      </c>
      <c r="D71" s="15">
        <v>-3.0</v>
      </c>
    </row>
    <row r="72" ht="12.75" customHeight="1">
      <c r="A72" s="15" t="s">
        <v>233</v>
      </c>
      <c r="B72" s="15">
        <v>-8.0</v>
      </c>
      <c r="C72" s="15">
        <v>-8.0</v>
      </c>
      <c r="D72" s="15">
        <v>-3.0</v>
      </c>
    </row>
    <row r="73" ht="12.75" customHeight="1"/>
    <row r="74" ht="12.75" customHeight="1">
      <c r="A74" s="15" t="s">
        <v>234</v>
      </c>
      <c r="B74" s="15" t="s">
        <v>235</v>
      </c>
    </row>
    <row r="75" ht="12.75" customHeight="1">
      <c r="A75" s="15" t="s">
        <v>26</v>
      </c>
      <c r="B75" s="15">
        <v>1.0</v>
      </c>
    </row>
    <row r="76" ht="12.75" customHeight="1">
      <c r="A76" s="15" t="s">
        <v>35</v>
      </c>
      <c r="B76" s="15">
        <f t="shared" ref="B76:B87" si="7">B75+1</f>
        <v>2</v>
      </c>
    </row>
    <row r="77" ht="12.75" customHeight="1">
      <c r="A77" s="15" t="s">
        <v>39</v>
      </c>
      <c r="B77" s="15">
        <f t="shared" si="7"/>
        <v>3</v>
      </c>
    </row>
    <row r="78" ht="12.75" customHeight="1">
      <c r="A78" s="15" t="s">
        <v>44</v>
      </c>
      <c r="B78" s="15">
        <f t="shared" si="7"/>
        <v>4</v>
      </c>
    </row>
    <row r="79" ht="12.75" customHeight="1">
      <c r="A79" s="15" t="s">
        <v>48</v>
      </c>
      <c r="B79" s="15">
        <f t="shared" si="7"/>
        <v>5</v>
      </c>
    </row>
    <row r="80" ht="12.75" customHeight="1">
      <c r="A80" s="15" t="s">
        <v>53</v>
      </c>
      <c r="B80" s="15">
        <f t="shared" si="7"/>
        <v>6</v>
      </c>
    </row>
    <row r="81" ht="12.75" customHeight="1">
      <c r="A81" s="15" t="s">
        <v>57</v>
      </c>
      <c r="B81" s="15">
        <f t="shared" si="7"/>
        <v>7</v>
      </c>
    </row>
    <row r="82" ht="12.75" customHeight="1">
      <c r="A82" s="15" t="s">
        <v>62</v>
      </c>
      <c r="B82" s="15">
        <f t="shared" si="7"/>
        <v>8</v>
      </c>
    </row>
    <row r="83" ht="12.75" customHeight="1">
      <c r="A83" s="15" t="s">
        <v>236</v>
      </c>
      <c r="B83" s="15">
        <f t="shared" si="7"/>
        <v>9</v>
      </c>
    </row>
    <row r="84" ht="12.75" customHeight="1">
      <c r="A84" s="15" t="s">
        <v>71</v>
      </c>
      <c r="B84" s="15">
        <f t="shared" si="7"/>
        <v>10</v>
      </c>
    </row>
    <row r="85" ht="12.75" customHeight="1">
      <c r="A85" s="15" t="s">
        <v>76</v>
      </c>
      <c r="B85" s="15">
        <f t="shared" si="7"/>
        <v>11</v>
      </c>
    </row>
    <row r="86" ht="12.75" customHeight="1">
      <c r="A86" s="15" t="s">
        <v>81</v>
      </c>
      <c r="B86" s="15">
        <f t="shared" si="7"/>
        <v>12</v>
      </c>
    </row>
    <row r="87" ht="12.75" customHeight="1">
      <c r="A87" s="15" t="s">
        <v>89</v>
      </c>
      <c r="B87" s="15">
        <f t="shared" si="7"/>
        <v>13</v>
      </c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5.13" defaultRowHeight="15.0"/>
  <cols>
    <col customWidth="1" min="1" max="1" width="4.0"/>
    <col customWidth="1" min="2" max="2" width="7.75"/>
    <col customWidth="1" min="3" max="3" width="10.88"/>
    <col customWidth="1" min="4" max="4" width="3.0"/>
    <col customWidth="1" min="5" max="5" width="2.63"/>
    <col customWidth="1" min="6" max="6" width="6.63"/>
    <col customWidth="1" min="7" max="7" width="2.75"/>
    <col customWidth="1" min="8" max="9" width="3.5"/>
    <col customWidth="1" min="10" max="10" width="2.63"/>
    <col customWidth="1" min="11" max="11" width="3.25"/>
    <col customWidth="1" min="12" max="12" width="3.13"/>
    <col customWidth="1" min="13" max="13" width="4.63"/>
    <col customWidth="1" min="14" max="19" width="4.5"/>
    <col customWidth="1" min="20" max="20" width="5.38"/>
    <col customWidth="1" min="21" max="21" width="3.13"/>
    <col customWidth="1" min="22" max="22" width="9.0"/>
    <col customWidth="1" min="23" max="23" width="3.13"/>
    <col customWidth="1" min="24" max="24" width="2.63"/>
    <col customWidth="1" min="25" max="25" width="7.25"/>
    <col customWidth="1" min="26" max="26" width="7.88"/>
    <col customWidth="1" min="27" max="3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3">
        <v>1.0</v>
      </c>
      <c r="B2" s="4" t="s">
        <v>26</v>
      </c>
      <c r="C2" s="3"/>
      <c r="D2" s="4"/>
      <c r="E2" s="3"/>
      <c r="F2" s="3">
        <f t="shared" ref="F2:F50" si="1">D2-E2</f>
        <v>0</v>
      </c>
      <c r="G2" s="4"/>
      <c r="H2" s="4"/>
      <c r="I2" s="4"/>
      <c r="J2" s="4"/>
      <c r="K2" s="4"/>
      <c r="L2" s="4"/>
      <c r="M2" s="4"/>
      <c r="N2" s="5" t="str">
        <f>(E2-1)+VLOOKUP(M2,Size,2,0)</f>
        <v>#N/A</v>
      </c>
      <c r="O2" s="5" t="str">
        <f>VLOOKUP(E2,LevelData,4)</f>
        <v>#N/A</v>
      </c>
      <c r="P2" s="5" t="str">
        <f>O2+VLOOKUP(M2,Size,3,0)</f>
        <v>#N/A</v>
      </c>
      <c r="Q2" s="5" t="str">
        <f t="shared" ref="Q2:Q50" si="2">R2</f>
        <v>#N/A</v>
      </c>
      <c r="R2" s="5" t="str">
        <f>VLOOKUP(E2,LevelData,2)</f>
        <v>#N/A</v>
      </c>
      <c r="S2" s="5" t="str">
        <f t="shared" ref="S2:S50" si="3">R2</f>
        <v>#N/A</v>
      </c>
      <c r="T2" s="4"/>
      <c r="U2" s="3"/>
      <c r="V2" s="6"/>
      <c r="W2" s="3"/>
      <c r="X2" s="4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3">
        <f t="shared" ref="A3:A50" si="4">A2+1</f>
        <v>2</v>
      </c>
      <c r="B3" s="4"/>
      <c r="C3" s="3"/>
      <c r="D3" s="4">
        <f t="shared" ref="D3:D50" si="5">D2+1</f>
        <v>1</v>
      </c>
      <c r="E3" s="3"/>
      <c r="F3" s="3">
        <f t="shared" si="1"/>
        <v>1</v>
      </c>
      <c r="G3" s="4"/>
      <c r="H3" s="4"/>
      <c r="I3" s="4"/>
      <c r="J3" s="4"/>
      <c r="K3" s="4"/>
      <c r="L3" s="4"/>
      <c r="M3" s="4"/>
      <c r="N3" s="5" t="str">
        <f>(E3-1)+VLOOKUP(M3,Size,2,0)</f>
        <v>#N/A</v>
      </c>
      <c r="O3" s="5" t="str">
        <f>VLOOKUP(E3,LevelData,4)</f>
        <v>#N/A</v>
      </c>
      <c r="P3" s="5" t="str">
        <f>O3+VLOOKUP(M3,Size,3,0)</f>
        <v>#N/A</v>
      </c>
      <c r="Q3" s="5" t="str">
        <f t="shared" si="2"/>
        <v>#N/A</v>
      </c>
      <c r="R3" s="5" t="str">
        <f>VLOOKUP(E3,LevelData,2)</f>
        <v>#N/A</v>
      </c>
      <c r="S3" s="5" t="str">
        <f t="shared" si="3"/>
        <v>#N/A</v>
      </c>
      <c r="T3" s="4"/>
      <c r="U3" s="3"/>
      <c r="V3" s="4"/>
      <c r="W3" s="3"/>
      <c r="X3" s="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3">
        <f t="shared" si="4"/>
        <v>3</v>
      </c>
      <c r="B4" s="4"/>
      <c r="C4" s="3"/>
      <c r="D4" s="4">
        <f t="shared" si="5"/>
        <v>2</v>
      </c>
      <c r="E4" s="3"/>
      <c r="F4" s="3">
        <f t="shared" si="1"/>
        <v>2</v>
      </c>
      <c r="G4" s="4"/>
      <c r="H4" s="4"/>
      <c r="I4" s="4"/>
      <c r="J4" s="4"/>
      <c r="K4" s="4"/>
      <c r="L4" s="4"/>
      <c r="M4" s="4"/>
      <c r="N4" s="5" t="str">
        <f>(E4-1)+VLOOKUP(M4,Size,2,0)</f>
        <v>#N/A</v>
      </c>
      <c r="O4" s="5" t="str">
        <f>VLOOKUP(E4,LevelData,4)</f>
        <v>#N/A</v>
      </c>
      <c r="P4" s="5" t="str">
        <f>O4+VLOOKUP(M4,Size,3,0)</f>
        <v>#N/A</v>
      </c>
      <c r="Q4" s="5" t="str">
        <f t="shared" si="2"/>
        <v>#N/A</v>
      </c>
      <c r="R4" s="5" t="str">
        <f>VLOOKUP(E4,LevelData,2)</f>
        <v>#N/A</v>
      </c>
      <c r="S4" s="5" t="str">
        <f t="shared" si="3"/>
        <v>#N/A</v>
      </c>
      <c r="T4" s="4"/>
      <c r="U4" s="3"/>
      <c r="V4" s="4"/>
      <c r="W4" s="3"/>
      <c r="X4" s="4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2.75" customHeight="1">
      <c r="A5" s="7">
        <f t="shared" si="4"/>
        <v>4</v>
      </c>
      <c r="B5" s="8"/>
      <c r="C5" s="7"/>
      <c r="D5" s="8">
        <f t="shared" si="5"/>
        <v>3</v>
      </c>
      <c r="E5" s="7"/>
      <c r="F5" s="7">
        <f t="shared" si="1"/>
        <v>3</v>
      </c>
      <c r="G5" s="8"/>
      <c r="H5" s="8"/>
      <c r="I5" s="8"/>
      <c r="J5" s="8"/>
      <c r="K5" s="8"/>
      <c r="L5" s="8"/>
      <c r="M5" s="8"/>
      <c r="N5" s="9" t="str">
        <f>(E5-1)+VLOOKUP(M5,Size,2,0)</f>
        <v>#N/A</v>
      </c>
      <c r="O5" s="9" t="str">
        <f>VLOOKUP(E5,LevelData,4)</f>
        <v>#N/A</v>
      </c>
      <c r="P5" s="9" t="str">
        <f>O5+VLOOKUP(M5,Size,3,0)</f>
        <v>#N/A</v>
      </c>
      <c r="Q5" s="9" t="str">
        <f t="shared" si="2"/>
        <v>#N/A</v>
      </c>
      <c r="R5" s="9" t="str">
        <f>VLOOKUP(E5,LevelData,2)</f>
        <v>#N/A</v>
      </c>
      <c r="S5" s="9" t="str">
        <f t="shared" si="3"/>
        <v>#N/A</v>
      </c>
      <c r="T5" s="8"/>
      <c r="U5" s="7"/>
      <c r="V5" s="8"/>
      <c r="W5" s="7"/>
      <c r="X5" s="8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t="12.75" customHeight="1">
      <c r="A6" s="10">
        <f t="shared" si="4"/>
        <v>5</v>
      </c>
      <c r="B6" s="11" t="s">
        <v>35</v>
      </c>
      <c r="C6" s="10"/>
      <c r="D6" s="11">
        <f t="shared" si="5"/>
        <v>4</v>
      </c>
      <c r="E6" s="10"/>
      <c r="F6" s="10">
        <f t="shared" si="1"/>
        <v>4</v>
      </c>
      <c r="G6" s="11"/>
      <c r="H6" s="11"/>
      <c r="I6" s="11"/>
      <c r="J6" s="11"/>
      <c r="K6" s="11"/>
      <c r="L6" s="11"/>
      <c r="M6" s="11"/>
      <c r="N6" s="12" t="str">
        <f>(E6-1)+VLOOKUP(M6,Size,2,0)</f>
        <v>#N/A</v>
      </c>
      <c r="O6" s="12" t="str">
        <f>VLOOKUP(E6,LevelData,4)</f>
        <v>#N/A</v>
      </c>
      <c r="P6" s="12" t="str">
        <f>O6+VLOOKUP(M6,Size,3,0)</f>
        <v>#N/A</v>
      </c>
      <c r="Q6" s="12" t="str">
        <f t="shared" si="2"/>
        <v>#N/A</v>
      </c>
      <c r="R6" s="12" t="str">
        <f>VLOOKUP(E6,LevelData,2)</f>
        <v>#N/A</v>
      </c>
      <c r="S6" s="12" t="str">
        <f t="shared" si="3"/>
        <v>#N/A</v>
      </c>
      <c r="T6" s="11"/>
      <c r="U6" s="10"/>
      <c r="V6" s="11"/>
      <c r="W6" s="10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2.75" customHeight="1">
      <c r="A7" s="10">
        <f t="shared" si="4"/>
        <v>6</v>
      </c>
      <c r="B7" s="11"/>
      <c r="C7" s="10"/>
      <c r="D7" s="11">
        <f t="shared" si="5"/>
        <v>5</v>
      </c>
      <c r="E7" s="10"/>
      <c r="F7" s="10">
        <f t="shared" si="1"/>
        <v>5</v>
      </c>
      <c r="G7" s="11"/>
      <c r="H7" s="11"/>
      <c r="I7" s="11"/>
      <c r="J7" s="11"/>
      <c r="K7" s="11"/>
      <c r="L7" s="11"/>
      <c r="M7" s="11"/>
      <c r="N7" s="12" t="str">
        <f>(E7-1)+VLOOKUP(M7,Size,2,0)</f>
        <v>#N/A</v>
      </c>
      <c r="O7" s="12" t="str">
        <f>VLOOKUP(E7,LevelData,4)</f>
        <v>#N/A</v>
      </c>
      <c r="P7" s="12" t="str">
        <f>O7+VLOOKUP(M7,Size,3,0)</f>
        <v>#N/A</v>
      </c>
      <c r="Q7" s="12" t="str">
        <f t="shared" si="2"/>
        <v>#N/A</v>
      </c>
      <c r="R7" s="12" t="str">
        <f>VLOOKUP(E7,LevelData,2)</f>
        <v>#N/A</v>
      </c>
      <c r="S7" s="12" t="str">
        <f t="shared" si="3"/>
        <v>#N/A</v>
      </c>
      <c r="T7" s="11"/>
      <c r="U7" s="10"/>
      <c r="V7" s="11"/>
      <c r="W7" s="10"/>
      <c r="X7" s="11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2.75" customHeight="1">
      <c r="A8" s="10">
        <f t="shared" si="4"/>
        <v>7</v>
      </c>
      <c r="B8" s="11"/>
      <c r="C8" s="10"/>
      <c r="D8" s="11">
        <f t="shared" si="5"/>
        <v>6</v>
      </c>
      <c r="E8" s="10"/>
      <c r="F8" s="10">
        <f t="shared" si="1"/>
        <v>6</v>
      </c>
      <c r="G8" s="11"/>
      <c r="H8" s="11"/>
      <c r="I8" s="11"/>
      <c r="J8" s="11"/>
      <c r="K8" s="11"/>
      <c r="L8" s="11"/>
      <c r="M8" s="11"/>
      <c r="N8" s="12" t="str">
        <f>(E8-1)+VLOOKUP(M8,Size,2,0)</f>
        <v>#N/A</v>
      </c>
      <c r="O8" s="12" t="str">
        <f>VLOOKUP(E8,LevelData,4)</f>
        <v>#N/A</v>
      </c>
      <c r="P8" s="12" t="str">
        <f>O8+VLOOKUP(M8,Size,3,0)</f>
        <v>#N/A</v>
      </c>
      <c r="Q8" s="12" t="str">
        <f t="shared" si="2"/>
        <v>#N/A</v>
      </c>
      <c r="R8" s="12" t="str">
        <f>VLOOKUP(E8,LevelData,2)</f>
        <v>#N/A</v>
      </c>
      <c r="S8" s="12" t="str">
        <f t="shared" si="3"/>
        <v>#N/A</v>
      </c>
      <c r="T8" s="11"/>
      <c r="U8" s="10"/>
      <c r="V8" s="11"/>
      <c r="W8" s="10"/>
      <c r="X8" s="11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12.75" customHeight="1">
      <c r="A9" s="1">
        <f t="shared" si="4"/>
        <v>8</v>
      </c>
      <c r="B9" s="2"/>
      <c r="C9" s="1"/>
      <c r="D9" s="2">
        <f t="shared" si="5"/>
        <v>7</v>
      </c>
      <c r="E9" s="1"/>
      <c r="F9" s="1">
        <f t="shared" si="1"/>
        <v>7</v>
      </c>
      <c r="G9" s="2"/>
      <c r="H9" s="2"/>
      <c r="I9" s="2"/>
      <c r="J9" s="2"/>
      <c r="K9" s="2"/>
      <c r="L9" s="2"/>
      <c r="M9" s="2"/>
      <c r="N9" s="13" t="str">
        <f>(E9-1)+VLOOKUP(M9,Size,2,0)</f>
        <v>#N/A</v>
      </c>
      <c r="O9" s="13" t="str">
        <f>VLOOKUP(E9,LevelData,4)</f>
        <v>#N/A</v>
      </c>
      <c r="P9" s="13" t="str">
        <f>O9+VLOOKUP(M9,Size,3,0)</f>
        <v>#N/A</v>
      </c>
      <c r="Q9" s="13" t="str">
        <f t="shared" si="2"/>
        <v>#N/A</v>
      </c>
      <c r="R9" s="13" t="str">
        <f>VLOOKUP(E9,LevelData,2)</f>
        <v>#N/A</v>
      </c>
      <c r="S9" s="13" t="str">
        <f t="shared" si="3"/>
        <v>#N/A</v>
      </c>
      <c r="T9" s="2"/>
      <c r="U9" s="1"/>
      <c r="V9" s="2"/>
      <c r="W9" s="1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2.75" customHeight="1">
      <c r="A10" s="3">
        <f t="shared" si="4"/>
        <v>9</v>
      </c>
      <c r="B10" s="4" t="s">
        <v>39</v>
      </c>
      <c r="C10" s="3"/>
      <c r="D10" s="4">
        <f t="shared" si="5"/>
        <v>8</v>
      </c>
      <c r="E10" s="3"/>
      <c r="F10" s="3">
        <f t="shared" si="1"/>
        <v>8</v>
      </c>
      <c r="G10" s="4"/>
      <c r="H10" s="4"/>
      <c r="I10" s="4"/>
      <c r="J10" s="4"/>
      <c r="K10" s="4"/>
      <c r="L10" s="4"/>
      <c r="M10" s="4"/>
      <c r="N10" s="5" t="str">
        <f>(E10-1)+VLOOKUP(M10,Size,2,0)</f>
        <v>#N/A</v>
      </c>
      <c r="O10" s="5" t="str">
        <f>VLOOKUP(E10,LevelData,4)</f>
        <v>#N/A</v>
      </c>
      <c r="P10" s="5" t="str">
        <f>O10+VLOOKUP(M10,Size,3,0)</f>
        <v>#N/A</v>
      </c>
      <c r="Q10" s="5" t="str">
        <f t="shared" si="2"/>
        <v>#N/A</v>
      </c>
      <c r="R10" s="5" t="str">
        <f>VLOOKUP(E10,LevelData,2)</f>
        <v>#N/A</v>
      </c>
      <c r="S10" s="5" t="str">
        <f t="shared" si="3"/>
        <v>#N/A</v>
      </c>
      <c r="T10" s="4"/>
      <c r="U10" s="3"/>
      <c r="V10" s="4"/>
      <c r="W10" s="3"/>
      <c r="X10" s="4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3">
        <f t="shared" si="4"/>
        <v>10</v>
      </c>
      <c r="B11" s="4"/>
      <c r="C11" s="3"/>
      <c r="D11" s="4">
        <f t="shared" si="5"/>
        <v>9</v>
      </c>
      <c r="E11" s="3"/>
      <c r="F11" s="3">
        <f t="shared" si="1"/>
        <v>9</v>
      </c>
      <c r="G11" s="4"/>
      <c r="H11" s="4"/>
      <c r="I11" s="4"/>
      <c r="J11" s="4"/>
      <c r="K11" s="4"/>
      <c r="L11" s="4"/>
      <c r="M11" s="4"/>
      <c r="N11" s="5" t="str">
        <f>(E11-1)+VLOOKUP(M11,Size,2,0)</f>
        <v>#N/A</v>
      </c>
      <c r="O11" s="5" t="str">
        <f>VLOOKUP(E11,LevelData,4)</f>
        <v>#N/A</v>
      </c>
      <c r="P11" s="5" t="str">
        <f>O11+VLOOKUP(M11,Size,3,0)</f>
        <v>#N/A</v>
      </c>
      <c r="Q11" s="5" t="str">
        <f t="shared" si="2"/>
        <v>#N/A</v>
      </c>
      <c r="R11" s="5" t="str">
        <f>VLOOKUP(E11,LevelData,2)</f>
        <v>#N/A</v>
      </c>
      <c r="S11" s="5" t="str">
        <f t="shared" si="3"/>
        <v>#N/A</v>
      </c>
      <c r="T11" s="4"/>
      <c r="U11" s="3"/>
      <c r="V11" s="4"/>
      <c r="W11" s="3"/>
      <c r="X11" s="4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2.75" customHeight="1">
      <c r="A12" s="3">
        <f t="shared" si="4"/>
        <v>11</v>
      </c>
      <c r="B12" s="4"/>
      <c r="C12" s="3"/>
      <c r="D12" s="4">
        <f t="shared" si="5"/>
        <v>10</v>
      </c>
      <c r="E12" s="3"/>
      <c r="F12" s="3">
        <f t="shared" si="1"/>
        <v>10</v>
      </c>
      <c r="G12" s="4"/>
      <c r="H12" s="4"/>
      <c r="I12" s="4"/>
      <c r="J12" s="4"/>
      <c r="K12" s="4"/>
      <c r="L12" s="4"/>
      <c r="M12" s="4"/>
      <c r="N12" s="5" t="str">
        <f>(E12-1)+VLOOKUP(M12,Size,2,0)</f>
        <v>#N/A</v>
      </c>
      <c r="O12" s="5" t="str">
        <f>VLOOKUP(E12,LevelData,4)</f>
        <v>#N/A</v>
      </c>
      <c r="P12" s="5" t="str">
        <f>O12+VLOOKUP(M12,Size,3,0)</f>
        <v>#N/A</v>
      </c>
      <c r="Q12" s="5" t="str">
        <f t="shared" si="2"/>
        <v>#N/A</v>
      </c>
      <c r="R12" s="5" t="str">
        <f>VLOOKUP(E12,LevelData,2)</f>
        <v>#N/A</v>
      </c>
      <c r="S12" s="5" t="str">
        <f t="shared" si="3"/>
        <v>#N/A</v>
      </c>
      <c r="T12" s="4"/>
      <c r="U12" s="3"/>
      <c r="V12" s="4"/>
      <c r="W12" s="3"/>
      <c r="X12" s="4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12.75" customHeight="1">
      <c r="A13" s="7">
        <f t="shared" si="4"/>
        <v>12</v>
      </c>
      <c r="B13" s="8"/>
      <c r="C13" s="7"/>
      <c r="D13" s="8">
        <f t="shared" si="5"/>
        <v>11</v>
      </c>
      <c r="E13" s="7"/>
      <c r="F13" s="7">
        <f t="shared" si="1"/>
        <v>11</v>
      </c>
      <c r="G13" s="8"/>
      <c r="H13" s="8"/>
      <c r="I13" s="8"/>
      <c r="J13" s="8"/>
      <c r="K13" s="8"/>
      <c r="L13" s="8"/>
      <c r="M13" s="8"/>
      <c r="N13" s="9" t="str">
        <f>(E13-1)+VLOOKUP(M13,Size,2,0)</f>
        <v>#N/A</v>
      </c>
      <c r="O13" s="9" t="str">
        <f>VLOOKUP(E13,LevelData,4)</f>
        <v>#N/A</v>
      </c>
      <c r="P13" s="9" t="str">
        <f>O13+VLOOKUP(M13,Size,3,0)</f>
        <v>#N/A</v>
      </c>
      <c r="Q13" s="9" t="str">
        <f t="shared" si="2"/>
        <v>#N/A</v>
      </c>
      <c r="R13" s="9" t="str">
        <f>VLOOKUP(E13,LevelData,2)</f>
        <v>#N/A</v>
      </c>
      <c r="S13" s="9" t="str">
        <f t="shared" si="3"/>
        <v>#N/A</v>
      </c>
      <c r="T13" s="8"/>
      <c r="U13" s="7"/>
      <c r="V13" s="8"/>
      <c r="W13" s="7"/>
      <c r="X13" s="8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12.75" customHeight="1">
      <c r="A14" s="10">
        <f t="shared" si="4"/>
        <v>13</v>
      </c>
      <c r="B14" s="11" t="s">
        <v>44</v>
      </c>
      <c r="C14" s="10">
        <v>26.0</v>
      </c>
      <c r="D14" s="11">
        <f t="shared" si="5"/>
        <v>12</v>
      </c>
      <c r="E14" s="10"/>
      <c r="F14" s="10">
        <f t="shared" si="1"/>
        <v>12</v>
      </c>
      <c r="G14" s="11"/>
      <c r="H14" s="11"/>
      <c r="I14" s="11"/>
      <c r="J14" s="11"/>
      <c r="K14" s="11"/>
      <c r="L14" s="11"/>
      <c r="M14" s="11"/>
      <c r="N14" s="12" t="str">
        <f>(E14-1)+VLOOKUP(M14,Size,2,0)</f>
        <v>#N/A</v>
      </c>
      <c r="O14" s="12" t="str">
        <f>VLOOKUP(E14,LevelData,4)</f>
        <v>#N/A</v>
      </c>
      <c r="P14" s="12" t="str">
        <f>O14+VLOOKUP(M14,Size,3,0)</f>
        <v>#N/A</v>
      </c>
      <c r="Q14" s="12" t="str">
        <f t="shared" si="2"/>
        <v>#N/A</v>
      </c>
      <c r="R14" s="12" t="str">
        <f>VLOOKUP(E14,LevelData,2)</f>
        <v>#N/A</v>
      </c>
      <c r="S14" s="12" t="str">
        <f t="shared" si="3"/>
        <v>#N/A</v>
      </c>
      <c r="T14" s="11"/>
      <c r="U14" s="10"/>
      <c r="V14" s="11"/>
      <c r="W14" s="10"/>
      <c r="X14" s="11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2.75" customHeight="1">
      <c r="A15" s="10">
        <f t="shared" si="4"/>
        <v>14</v>
      </c>
      <c r="B15" s="11"/>
      <c r="C15" s="10">
        <v>32.0</v>
      </c>
      <c r="D15" s="11">
        <f t="shared" si="5"/>
        <v>13</v>
      </c>
      <c r="E15" s="10"/>
      <c r="F15" s="10">
        <f t="shared" si="1"/>
        <v>13</v>
      </c>
      <c r="G15" s="11"/>
      <c r="H15" s="11"/>
      <c r="I15" s="11"/>
      <c r="J15" s="11"/>
      <c r="K15" s="11"/>
      <c r="L15" s="11"/>
      <c r="M15" s="11"/>
      <c r="N15" s="12" t="str">
        <f>(E15-1)+VLOOKUP(M15,Size,2,0)</f>
        <v>#N/A</v>
      </c>
      <c r="O15" s="12" t="str">
        <f>VLOOKUP(E15,LevelData,4)</f>
        <v>#N/A</v>
      </c>
      <c r="P15" s="12" t="str">
        <f>O15+VLOOKUP(M15,Size,3,0)</f>
        <v>#N/A</v>
      </c>
      <c r="Q15" s="12" t="str">
        <f t="shared" si="2"/>
        <v>#N/A</v>
      </c>
      <c r="R15" s="12" t="str">
        <f>VLOOKUP(E15,LevelData,2)</f>
        <v>#N/A</v>
      </c>
      <c r="S15" s="12" t="str">
        <f t="shared" si="3"/>
        <v>#N/A</v>
      </c>
      <c r="T15" s="11"/>
      <c r="U15" s="10"/>
      <c r="V15" s="11"/>
      <c r="W15" s="10"/>
      <c r="X15" s="11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2.75" customHeight="1">
      <c r="A16" s="10">
        <f t="shared" si="4"/>
        <v>15</v>
      </c>
      <c r="B16" s="11"/>
      <c r="C16" s="10">
        <v>39.0</v>
      </c>
      <c r="D16" s="11">
        <f t="shared" si="5"/>
        <v>14</v>
      </c>
      <c r="E16" s="10"/>
      <c r="F16" s="10">
        <f t="shared" si="1"/>
        <v>14</v>
      </c>
      <c r="G16" s="11"/>
      <c r="H16" s="11"/>
      <c r="I16" s="11"/>
      <c r="J16" s="11"/>
      <c r="K16" s="11"/>
      <c r="L16" s="11"/>
      <c r="M16" s="11"/>
      <c r="N16" s="12" t="str">
        <f>(E16-1)+VLOOKUP(M16,Size,2,0)</f>
        <v>#N/A</v>
      </c>
      <c r="O16" s="12" t="str">
        <f>VLOOKUP(E16,LevelData,4)</f>
        <v>#N/A</v>
      </c>
      <c r="P16" s="12" t="str">
        <f>O16+VLOOKUP(M16,Size,3,0)</f>
        <v>#N/A</v>
      </c>
      <c r="Q16" s="12" t="str">
        <f t="shared" si="2"/>
        <v>#N/A</v>
      </c>
      <c r="R16" s="12" t="str">
        <f>VLOOKUP(E16,LevelData,2)</f>
        <v>#N/A</v>
      </c>
      <c r="S16" s="12" t="str">
        <f t="shared" si="3"/>
        <v>#N/A</v>
      </c>
      <c r="T16" s="11"/>
      <c r="U16" s="10"/>
      <c r="V16" s="11"/>
      <c r="W16" s="10"/>
      <c r="X16" s="11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12.75" customHeight="1">
      <c r="A17" s="1">
        <f t="shared" si="4"/>
        <v>16</v>
      </c>
      <c r="B17" s="2"/>
      <c r="C17" s="1">
        <v>45.0</v>
      </c>
      <c r="D17" s="2">
        <f t="shared" si="5"/>
        <v>15</v>
      </c>
      <c r="E17" s="1"/>
      <c r="F17" s="1">
        <f t="shared" si="1"/>
        <v>15</v>
      </c>
      <c r="G17" s="2"/>
      <c r="H17" s="2"/>
      <c r="I17" s="2"/>
      <c r="J17" s="2"/>
      <c r="K17" s="2"/>
      <c r="L17" s="2"/>
      <c r="M17" s="2"/>
      <c r="N17" s="13" t="str">
        <f>(E17-1)+VLOOKUP(M17,Size,2,0)</f>
        <v>#N/A</v>
      </c>
      <c r="O17" s="13" t="str">
        <f>VLOOKUP(E17,LevelData,4)</f>
        <v>#N/A</v>
      </c>
      <c r="P17" s="13" t="str">
        <f>O17+VLOOKUP(M17,Size,3,0)</f>
        <v>#N/A</v>
      </c>
      <c r="Q17" s="13" t="str">
        <f t="shared" si="2"/>
        <v>#N/A</v>
      </c>
      <c r="R17" s="13" t="str">
        <f>VLOOKUP(E17,LevelData,2)</f>
        <v>#N/A</v>
      </c>
      <c r="S17" s="13" t="str">
        <f t="shared" si="3"/>
        <v>#N/A</v>
      </c>
      <c r="T17" s="2"/>
      <c r="U17" s="1"/>
      <c r="V17" s="2"/>
      <c r="W17" s="1"/>
      <c r="X17" s="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12.75" customHeight="1">
      <c r="A18" s="3">
        <f t="shared" si="4"/>
        <v>17</v>
      </c>
      <c r="B18" s="4" t="s">
        <v>48</v>
      </c>
      <c r="C18" s="3">
        <v>51.0</v>
      </c>
      <c r="D18" s="4">
        <f t="shared" si="5"/>
        <v>16</v>
      </c>
      <c r="E18" s="3"/>
      <c r="F18" s="3">
        <f t="shared" si="1"/>
        <v>16</v>
      </c>
      <c r="G18" s="4"/>
      <c r="H18" s="4"/>
      <c r="I18" s="4"/>
      <c r="J18" s="4"/>
      <c r="K18" s="4"/>
      <c r="L18" s="4"/>
      <c r="M18" s="4"/>
      <c r="N18" s="5" t="str">
        <f>(E18-1)+VLOOKUP(M18,Size,2,0)</f>
        <v>#N/A</v>
      </c>
      <c r="O18" s="5" t="str">
        <f>VLOOKUP(E18,LevelData,4)</f>
        <v>#N/A</v>
      </c>
      <c r="P18" s="5" t="str">
        <f>O18+VLOOKUP(M18,Size,3,0)</f>
        <v>#N/A</v>
      </c>
      <c r="Q18" s="5" t="str">
        <f t="shared" si="2"/>
        <v>#N/A</v>
      </c>
      <c r="R18" s="5" t="str">
        <f>VLOOKUP(E18,LevelData,2)</f>
        <v>#N/A</v>
      </c>
      <c r="S18" s="5" t="str">
        <f t="shared" si="3"/>
        <v>#N/A</v>
      </c>
      <c r="T18" s="4"/>
      <c r="U18" s="3"/>
      <c r="V18" s="4">
        <f t="shared" ref="V18:V50" si="6">INT(10+(E18/2))</f>
        <v>10</v>
      </c>
      <c r="W18" s="3">
        <f t="shared" ref="W18:W50" si="7">INT((E18/2)+10+Z2)</f>
        <v>10</v>
      </c>
      <c r="X18" s="4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3">
        <f t="shared" si="4"/>
        <v>18</v>
      </c>
      <c r="B19" s="4"/>
      <c r="C19" s="3">
        <v>63.0</v>
      </c>
      <c r="D19" s="4">
        <f t="shared" si="5"/>
        <v>17</v>
      </c>
      <c r="E19" s="3"/>
      <c r="F19" s="3">
        <f t="shared" si="1"/>
        <v>17</v>
      </c>
      <c r="G19" s="4"/>
      <c r="H19" s="4"/>
      <c r="I19" s="4"/>
      <c r="J19" s="4"/>
      <c r="K19" s="4"/>
      <c r="L19" s="4"/>
      <c r="M19" s="4"/>
      <c r="N19" s="5" t="str">
        <f>(E19-1)+VLOOKUP(M19,Size,2,0)</f>
        <v>#N/A</v>
      </c>
      <c r="O19" s="5" t="str">
        <f>VLOOKUP(E19,LevelData,4)</f>
        <v>#N/A</v>
      </c>
      <c r="P19" s="5" t="str">
        <f>O19+VLOOKUP(M19,Size,3,0)</f>
        <v>#N/A</v>
      </c>
      <c r="Q19" s="5" t="str">
        <f t="shared" si="2"/>
        <v>#N/A</v>
      </c>
      <c r="R19" s="5" t="str">
        <f>VLOOKUP(E19,LevelData,2)</f>
        <v>#N/A</v>
      </c>
      <c r="S19" s="5" t="str">
        <f t="shared" si="3"/>
        <v>#N/A</v>
      </c>
      <c r="T19" s="4"/>
      <c r="U19" s="3"/>
      <c r="V19" s="4">
        <f t="shared" si="6"/>
        <v>10</v>
      </c>
      <c r="W19" s="3">
        <f t="shared" si="7"/>
        <v>10</v>
      </c>
      <c r="X19" s="4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3">
        <f t="shared" si="4"/>
        <v>19</v>
      </c>
      <c r="B20" s="4"/>
      <c r="C20" s="3">
        <v>75.0</v>
      </c>
      <c r="D20" s="4">
        <f t="shared" si="5"/>
        <v>18</v>
      </c>
      <c r="E20" s="3"/>
      <c r="F20" s="3">
        <f t="shared" si="1"/>
        <v>18</v>
      </c>
      <c r="G20" s="4"/>
      <c r="H20" s="4"/>
      <c r="I20" s="4"/>
      <c r="J20" s="4"/>
      <c r="K20" s="4"/>
      <c r="L20" s="4"/>
      <c r="M20" s="4"/>
      <c r="N20" s="5" t="str">
        <f>(E20-1)+VLOOKUP(M20,Size,2,0)</f>
        <v>#N/A</v>
      </c>
      <c r="O20" s="5" t="str">
        <f>VLOOKUP(E20,LevelData,4)</f>
        <v>#N/A</v>
      </c>
      <c r="P20" s="5" t="str">
        <f>O20+VLOOKUP(M20,Size,3,0)</f>
        <v>#N/A</v>
      </c>
      <c r="Q20" s="5" t="str">
        <f t="shared" si="2"/>
        <v>#N/A</v>
      </c>
      <c r="R20" s="5" t="str">
        <f>VLOOKUP(E20,LevelData,2)</f>
        <v>#N/A</v>
      </c>
      <c r="S20" s="5" t="str">
        <f t="shared" si="3"/>
        <v>#N/A</v>
      </c>
      <c r="T20" s="4"/>
      <c r="U20" s="3"/>
      <c r="V20" s="4">
        <f t="shared" si="6"/>
        <v>10</v>
      </c>
      <c r="W20" s="3">
        <f t="shared" si="7"/>
        <v>10</v>
      </c>
      <c r="X20" s="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12.75" customHeight="1">
      <c r="A21" s="7">
        <f t="shared" si="4"/>
        <v>20</v>
      </c>
      <c r="B21" s="8"/>
      <c r="C21" s="7">
        <v>87.0</v>
      </c>
      <c r="D21" s="8">
        <f t="shared" si="5"/>
        <v>19</v>
      </c>
      <c r="E21" s="7"/>
      <c r="F21" s="7">
        <f t="shared" si="1"/>
        <v>19</v>
      </c>
      <c r="G21" s="8"/>
      <c r="H21" s="8"/>
      <c r="I21" s="8"/>
      <c r="J21" s="8"/>
      <c r="K21" s="8"/>
      <c r="L21" s="8"/>
      <c r="M21" s="8"/>
      <c r="N21" s="9" t="str">
        <f>(E21-1)+VLOOKUP(M21,Size,2,0)</f>
        <v>#N/A</v>
      </c>
      <c r="O21" s="9" t="str">
        <f>VLOOKUP(E21,LevelData,4)</f>
        <v>#N/A</v>
      </c>
      <c r="P21" s="9" t="str">
        <f>O21+VLOOKUP(M21,Size,3,0)</f>
        <v>#N/A</v>
      </c>
      <c r="Q21" s="9" t="str">
        <f t="shared" si="2"/>
        <v>#N/A</v>
      </c>
      <c r="R21" s="9" t="str">
        <f>VLOOKUP(E21,LevelData,2)</f>
        <v>#N/A</v>
      </c>
      <c r="S21" s="9" t="str">
        <f t="shared" si="3"/>
        <v>#N/A</v>
      </c>
      <c r="T21" s="8"/>
      <c r="U21" s="7"/>
      <c r="V21" s="8">
        <f t="shared" si="6"/>
        <v>10</v>
      </c>
      <c r="W21" s="7">
        <f t="shared" si="7"/>
        <v>10</v>
      </c>
      <c r="X21" s="8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ht="12.75" customHeight="1">
      <c r="A22" s="10">
        <f t="shared" si="4"/>
        <v>21</v>
      </c>
      <c r="B22" s="11" t="s">
        <v>53</v>
      </c>
      <c r="C22" s="10">
        <v>101.0</v>
      </c>
      <c r="D22" s="11">
        <f t="shared" si="5"/>
        <v>20</v>
      </c>
      <c r="E22" s="10"/>
      <c r="F22" s="10">
        <f t="shared" si="1"/>
        <v>20</v>
      </c>
      <c r="G22" s="11"/>
      <c r="H22" s="11"/>
      <c r="I22" s="11"/>
      <c r="J22" s="11"/>
      <c r="K22" s="11"/>
      <c r="L22" s="11"/>
      <c r="M22" s="11"/>
      <c r="N22" s="12" t="str">
        <f>(E22-1)+VLOOKUP(M22,Size,2,0)</f>
        <v>#N/A</v>
      </c>
      <c r="O22" s="12" t="str">
        <f>VLOOKUP(E22,LevelData,4)</f>
        <v>#N/A</v>
      </c>
      <c r="P22" s="12" t="str">
        <f>O22+VLOOKUP(M22,Size,3,0)</f>
        <v>#N/A</v>
      </c>
      <c r="Q22" s="12" t="str">
        <f t="shared" si="2"/>
        <v>#N/A</v>
      </c>
      <c r="R22" s="12" t="str">
        <f>VLOOKUP(E22,LevelData,2)</f>
        <v>#N/A</v>
      </c>
      <c r="S22" s="12" t="str">
        <f t="shared" si="3"/>
        <v>#N/A</v>
      </c>
      <c r="T22" s="11"/>
      <c r="U22" s="10"/>
      <c r="V22" s="11">
        <f t="shared" si="6"/>
        <v>10</v>
      </c>
      <c r="W22" s="10">
        <f t="shared" si="7"/>
        <v>10</v>
      </c>
      <c r="X22" s="11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2.75" customHeight="1">
      <c r="A23" s="10">
        <f t="shared" si="4"/>
        <v>22</v>
      </c>
      <c r="B23" s="11"/>
      <c r="C23" s="10">
        <v>126.0</v>
      </c>
      <c r="D23" s="11">
        <f t="shared" si="5"/>
        <v>21</v>
      </c>
      <c r="E23" s="10"/>
      <c r="F23" s="10">
        <f t="shared" si="1"/>
        <v>21</v>
      </c>
      <c r="G23" s="11"/>
      <c r="H23" s="11"/>
      <c r="I23" s="11"/>
      <c r="J23" s="11"/>
      <c r="K23" s="11"/>
      <c r="L23" s="11"/>
      <c r="M23" s="11"/>
      <c r="N23" s="12" t="str">
        <f>(E23-1)+VLOOKUP(M23,Size,2,0)</f>
        <v>#N/A</v>
      </c>
      <c r="O23" s="12" t="str">
        <f>VLOOKUP(E23,LevelData,4)</f>
        <v>#N/A</v>
      </c>
      <c r="P23" s="12" t="str">
        <f>O23+VLOOKUP(M23,Size,3,0)</f>
        <v>#N/A</v>
      </c>
      <c r="Q23" s="12" t="str">
        <f t="shared" si="2"/>
        <v>#N/A</v>
      </c>
      <c r="R23" s="12" t="str">
        <f>VLOOKUP(E23,LevelData,2)</f>
        <v>#N/A</v>
      </c>
      <c r="S23" s="12" t="str">
        <f t="shared" si="3"/>
        <v>#N/A</v>
      </c>
      <c r="T23" s="11"/>
      <c r="U23" s="10"/>
      <c r="V23" s="11">
        <f t="shared" si="6"/>
        <v>10</v>
      </c>
      <c r="W23" s="10">
        <f t="shared" si="7"/>
        <v>10</v>
      </c>
      <c r="X23" s="11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12.75" customHeight="1">
      <c r="A24" s="10">
        <f t="shared" si="4"/>
        <v>23</v>
      </c>
      <c r="B24" s="11"/>
      <c r="C24" s="10">
        <v>151.0</v>
      </c>
      <c r="D24" s="11">
        <f t="shared" si="5"/>
        <v>22</v>
      </c>
      <c r="E24" s="10"/>
      <c r="F24" s="10">
        <f t="shared" si="1"/>
        <v>22</v>
      </c>
      <c r="G24" s="11"/>
      <c r="H24" s="11"/>
      <c r="I24" s="11"/>
      <c r="J24" s="11"/>
      <c r="K24" s="11"/>
      <c r="L24" s="11"/>
      <c r="M24" s="11"/>
      <c r="N24" s="12" t="str">
        <f>(E24-1)+VLOOKUP(M24,Size,2,0)</f>
        <v>#N/A</v>
      </c>
      <c r="O24" s="12" t="str">
        <f>VLOOKUP(E24,LevelData,4)</f>
        <v>#N/A</v>
      </c>
      <c r="P24" s="12" t="str">
        <f>O24+VLOOKUP(M24,Size,3,0)</f>
        <v>#N/A</v>
      </c>
      <c r="Q24" s="12" t="str">
        <f t="shared" si="2"/>
        <v>#N/A</v>
      </c>
      <c r="R24" s="12" t="str">
        <f>VLOOKUP(E24,LevelData,2)</f>
        <v>#N/A</v>
      </c>
      <c r="S24" s="12" t="str">
        <f t="shared" si="3"/>
        <v>#N/A</v>
      </c>
      <c r="T24" s="11"/>
      <c r="U24" s="10"/>
      <c r="V24" s="11">
        <f t="shared" si="6"/>
        <v>10</v>
      </c>
      <c r="W24" s="10">
        <f t="shared" si="7"/>
        <v>10</v>
      </c>
      <c r="X24" s="11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12.75" customHeight="1">
      <c r="A25" s="1">
        <f t="shared" si="4"/>
        <v>24</v>
      </c>
      <c r="B25" s="2"/>
      <c r="C25" s="1">
        <v>176.0</v>
      </c>
      <c r="D25" s="2">
        <f t="shared" si="5"/>
        <v>23</v>
      </c>
      <c r="E25" s="1"/>
      <c r="F25" s="1">
        <f t="shared" si="1"/>
        <v>23</v>
      </c>
      <c r="G25" s="2"/>
      <c r="H25" s="2"/>
      <c r="I25" s="2"/>
      <c r="J25" s="2"/>
      <c r="K25" s="2"/>
      <c r="L25" s="2"/>
      <c r="M25" s="2"/>
      <c r="N25" s="13" t="str">
        <f>(E25-1)+VLOOKUP(M25,Size,2,0)</f>
        <v>#N/A</v>
      </c>
      <c r="O25" s="13" t="str">
        <f>VLOOKUP(E25,LevelData,4)</f>
        <v>#N/A</v>
      </c>
      <c r="P25" s="13" t="str">
        <f>O25+VLOOKUP(M25,Size,3,0)</f>
        <v>#N/A</v>
      </c>
      <c r="Q25" s="13" t="str">
        <f t="shared" si="2"/>
        <v>#N/A</v>
      </c>
      <c r="R25" s="13" t="str">
        <f>VLOOKUP(E25,LevelData,2)</f>
        <v>#N/A</v>
      </c>
      <c r="S25" s="13" t="str">
        <f t="shared" si="3"/>
        <v>#N/A</v>
      </c>
      <c r="T25" s="2"/>
      <c r="U25" s="1"/>
      <c r="V25" s="2">
        <f t="shared" si="6"/>
        <v>10</v>
      </c>
      <c r="W25" s="1">
        <f t="shared" si="7"/>
        <v>10</v>
      </c>
      <c r="X25" s="2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2.75" customHeight="1">
      <c r="A26" s="3">
        <f t="shared" si="4"/>
        <v>25</v>
      </c>
      <c r="B26" s="4" t="s">
        <v>57</v>
      </c>
      <c r="C26" s="3">
        <v>201.0</v>
      </c>
      <c r="D26" s="4">
        <f t="shared" si="5"/>
        <v>24</v>
      </c>
      <c r="E26" s="3"/>
      <c r="F26" s="3">
        <f t="shared" si="1"/>
        <v>24</v>
      </c>
      <c r="G26" s="4"/>
      <c r="H26" s="4"/>
      <c r="I26" s="4"/>
      <c r="J26" s="4"/>
      <c r="K26" s="4"/>
      <c r="L26" s="4"/>
      <c r="M26" s="4"/>
      <c r="N26" s="5" t="str">
        <f>(E26-1)+VLOOKUP(M26,Size,2,0)</f>
        <v>#N/A</v>
      </c>
      <c r="O26" s="5" t="str">
        <f>VLOOKUP(E26,LevelData,4)</f>
        <v>#N/A</v>
      </c>
      <c r="P26" s="5" t="str">
        <f>O26+VLOOKUP(M26,Size,3,0)</f>
        <v>#N/A</v>
      </c>
      <c r="Q26" s="5" t="str">
        <f t="shared" si="2"/>
        <v>#N/A</v>
      </c>
      <c r="R26" s="5" t="str">
        <f>VLOOKUP(E26,LevelData,2)</f>
        <v>#N/A</v>
      </c>
      <c r="S26" s="5" t="str">
        <f t="shared" si="3"/>
        <v>#N/A</v>
      </c>
      <c r="T26" s="4"/>
      <c r="U26" s="3"/>
      <c r="V26" s="4">
        <f t="shared" si="6"/>
        <v>10</v>
      </c>
      <c r="W26" s="3">
        <f t="shared" si="7"/>
        <v>10</v>
      </c>
      <c r="X26" s="4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3">
        <f t="shared" si="4"/>
        <v>26</v>
      </c>
      <c r="B27" s="4"/>
      <c r="C27" s="3">
        <v>251.0</v>
      </c>
      <c r="D27" s="4">
        <f t="shared" si="5"/>
        <v>25</v>
      </c>
      <c r="E27" s="3"/>
      <c r="F27" s="3">
        <f t="shared" si="1"/>
        <v>25</v>
      </c>
      <c r="G27" s="4"/>
      <c r="H27" s="4"/>
      <c r="I27" s="4"/>
      <c r="J27" s="4"/>
      <c r="K27" s="4"/>
      <c r="L27" s="4"/>
      <c r="M27" s="4"/>
      <c r="N27" s="5" t="str">
        <f>(E27-1)+VLOOKUP(M27,Size,2,0)</f>
        <v>#N/A</v>
      </c>
      <c r="O27" s="5" t="str">
        <f>VLOOKUP(E27,LevelData,4)</f>
        <v>#N/A</v>
      </c>
      <c r="P27" s="5" t="str">
        <f>O27+VLOOKUP(M27,Size,3,0)</f>
        <v>#N/A</v>
      </c>
      <c r="Q27" s="5" t="str">
        <f t="shared" si="2"/>
        <v>#N/A</v>
      </c>
      <c r="R27" s="5" t="str">
        <f>VLOOKUP(E27,LevelData,2)</f>
        <v>#N/A</v>
      </c>
      <c r="S27" s="5" t="str">
        <f t="shared" si="3"/>
        <v>#N/A</v>
      </c>
      <c r="T27" s="4"/>
      <c r="U27" s="3"/>
      <c r="V27" s="4">
        <f t="shared" si="6"/>
        <v>10</v>
      </c>
      <c r="W27" s="3">
        <f t="shared" si="7"/>
        <v>10</v>
      </c>
      <c r="X27" s="4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3">
        <f t="shared" si="4"/>
        <v>27</v>
      </c>
      <c r="B28" s="4"/>
      <c r="C28" s="3">
        <v>301.0</v>
      </c>
      <c r="D28" s="4">
        <f t="shared" si="5"/>
        <v>26</v>
      </c>
      <c r="E28" s="3"/>
      <c r="F28" s="3">
        <f t="shared" si="1"/>
        <v>26</v>
      </c>
      <c r="G28" s="4"/>
      <c r="H28" s="4"/>
      <c r="I28" s="4"/>
      <c r="J28" s="4"/>
      <c r="K28" s="4"/>
      <c r="L28" s="4"/>
      <c r="M28" s="4"/>
      <c r="N28" s="5" t="str">
        <f>(E28-1)+VLOOKUP(M28,Size,2,0)</f>
        <v>#N/A</v>
      </c>
      <c r="O28" s="5" t="str">
        <f>VLOOKUP(E28,LevelData,4)</f>
        <v>#N/A</v>
      </c>
      <c r="P28" s="5" t="str">
        <f>O28+VLOOKUP(M28,Size,3,0)</f>
        <v>#N/A</v>
      </c>
      <c r="Q28" s="5" t="str">
        <f t="shared" si="2"/>
        <v>#N/A</v>
      </c>
      <c r="R28" s="5" t="str">
        <f>VLOOKUP(E28,LevelData,2)</f>
        <v>#N/A</v>
      </c>
      <c r="S28" s="5" t="str">
        <f t="shared" si="3"/>
        <v>#N/A</v>
      </c>
      <c r="T28" s="4"/>
      <c r="U28" s="3"/>
      <c r="V28" s="4">
        <f t="shared" si="6"/>
        <v>10</v>
      </c>
      <c r="W28" s="3">
        <f t="shared" si="7"/>
        <v>10</v>
      </c>
      <c r="X28" s="4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12.75" customHeight="1">
      <c r="A29" s="7">
        <f t="shared" si="4"/>
        <v>28</v>
      </c>
      <c r="B29" s="8"/>
      <c r="C29" s="7">
        <v>351.0</v>
      </c>
      <c r="D29" s="8">
        <f t="shared" si="5"/>
        <v>27</v>
      </c>
      <c r="E29" s="7"/>
      <c r="F29" s="7">
        <f t="shared" si="1"/>
        <v>27</v>
      </c>
      <c r="G29" s="8"/>
      <c r="H29" s="8"/>
      <c r="I29" s="8"/>
      <c r="J29" s="8"/>
      <c r="K29" s="8"/>
      <c r="L29" s="8"/>
      <c r="M29" s="8"/>
      <c r="N29" s="9" t="str">
        <f>(E29-1)+VLOOKUP(M29,Size,2,0)</f>
        <v>#N/A</v>
      </c>
      <c r="O29" s="9" t="str">
        <f>VLOOKUP(E29,LevelData,4)</f>
        <v>#N/A</v>
      </c>
      <c r="P29" s="9" t="str">
        <f>O29+VLOOKUP(M29,Size,3,0)</f>
        <v>#N/A</v>
      </c>
      <c r="Q29" s="9" t="str">
        <f t="shared" si="2"/>
        <v>#N/A</v>
      </c>
      <c r="R29" s="9" t="str">
        <f>VLOOKUP(E29,LevelData,2)</f>
        <v>#N/A</v>
      </c>
      <c r="S29" s="9" t="str">
        <f t="shared" si="3"/>
        <v>#N/A</v>
      </c>
      <c r="T29" s="8"/>
      <c r="U29" s="7"/>
      <c r="V29" s="8">
        <f t="shared" si="6"/>
        <v>10</v>
      </c>
      <c r="W29" s="7">
        <f t="shared" si="7"/>
        <v>10</v>
      </c>
      <c r="X29" s="8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ht="12.75" customHeight="1">
      <c r="A30" s="10">
        <f t="shared" si="4"/>
        <v>29</v>
      </c>
      <c r="B30" s="11" t="s">
        <v>62</v>
      </c>
      <c r="C30" s="10">
        <v>401.0</v>
      </c>
      <c r="D30" s="11">
        <f t="shared" si="5"/>
        <v>28</v>
      </c>
      <c r="E30" s="10"/>
      <c r="F30" s="10">
        <f t="shared" si="1"/>
        <v>28</v>
      </c>
      <c r="G30" s="11"/>
      <c r="H30" s="11"/>
      <c r="I30" s="11"/>
      <c r="J30" s="11"/>
      <c r="K30" s="11"/>
      <c r="L30" s="11"/>
      <c r="M30" s="11"/>
      <c r="N30" s="12" t="str">
        <f>(E30-1)+VLOOKUP(M30,Size,2,0)</f>
        <v>#N/A</v>
      </c>
      <c r="O30" s="12" t="str">
        <f>VLOOKUP(E30,LevelData,4)</f>
        <v>#N/A</v>
      </c>
      <c r="P30" s="12" t="str">
        <f>O30+VLOOKUP(M30,Size,3,0)</f>
        <v>#N/A</v>
      </c>
      <c r="Q30" s="12" t="str">
        <f t="shared" si="2"/>
        <v>#N/A</v>
      </c>
      <c r="R30" s="12" t="str">
        <f>VLOOKUP(E30,LevelData,2)</f>
        <v>#N/A</v>
      </c>
      <c r="S30" s="12" t="str">
        <f t="shared" si="3"/>
        <v>#N/A</v>
      </c>
      <c r="T30" s="11"/>
      <c r="U30" s="10"/>
      <c r="V30" s="11">
        <f t="shared" si="6"/>
        <v>10</v>
      </c>
      <c r="W30" s="10">
        <f t="shared" si="7"/>
        <v>10</v>
      </c>
      <c r="X30" s="11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2.75" customHeight="1">
      <c r="A31" s="10">
        <f t="shared" si="4"/>
        <v>30</v>
      </c>
      <c r="B31" s="11"/>
      <c r="C31" s="10">
        <v>451.0</v>
      </c>
      <c r="D31" s="11">
        <f t="shared" si="5"/>
        <v>29</v>
      </c>
      <c r="E31" s="10"/>
      <c r="F31" s="10">
        <f t="shared" si="1"/>
        <v>29</v>
      </c>
      <c r="G31" s="11"/>
      <c r="H31" s="11"/>
      <c r="I31" s="11"/>
      <c r="J31" s="11"/>
      <c r="K31" s="11"/>
      <c r="L31" s="11"/>
      <c r="M31" s="11"/>
      <c r="N31" s="12" t="str">
        <f>(E31-1)+VLOOKUP(M31,Size,2,0)</f>
        <v>#N/A</v>
      </c>
      <c r="O31" s="12" t="str">
        <f>VLOOKUP(E31,LevelData,4)</f>
        <v>#N/A</v>
      </c>
      <c r="P31" s="12" t="str">
        <f>O31+VLOOKUP(M31,Size,3,0)</f>
        <v>#N/A</v>
      </c>
      <c r="Q31" s="12" t="str">
        <f t="shared" si="2"/>
        <v>#N/A</v>
      </c>
      <c r="R31" s="12" t="str">
        <f>VLOOKUP(E31,LevelData,2)</f>
        <v>#N/A</v>
      </c>
      <c r="S31" s="12" t="str">
        <f t="shared" si="3"/>
        <v>#N/A</v>
      </c>
      <c r="T31" s="11"/>
      <c r="U31" s="10"/>
      <c r="V31" s="11">
        <f t="shared" si="6"/>
        <v>10</v>
      </c>
      <c r="W31" s="10">
        <f t="shared" si="7"/>
        <v>10</v>
      </c>
      <c r="X31" s="11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12.75" customHeight="1">
      <c r="A32" s="10">
        <f t="shared" si="4"/>
        <v>31</v>
      </c>
      <c r="B32" s="11"/>
      <c r="C32" s="10">
        <v>501.0</v>
      </c>
      <c r="D32" s="11">
        <f t="shared" si="5"/>
        <v>30</v>
      </c>
      <c r="E32" s="10"/>
      <c r="F32" s="10">
        <f t="shared" si="1"/>
        <v>30</v>
      </c>
      <c r="G32" s="11"/>
      <c r="H32" s="11"/>
      <c r="I32" s="11"/>
      <c r="J32" s="11"/>
      <c r="K32" s="11"/>
      <c r="L32" s="11"/>
      <c r="M32" s="11"/>
      <c r="N32" s="12" t="str">
        <f>(E32-1)+VLOOKUP(M32,Size,2,0)</f>
        <v>#N/A</v>
      </c>
      <c r="O32" s="12" t="str">
        <f>VLOOKUP(E32,LevelData,4)</f>
        <v>#N/A</v>
      </c>
      <c r="P32" s="12" t="str">
        <f>O32+VLOOKUP(M32,Size,3,0)</f>
        <v>#N/A</v>
      </c>
      <c r="Q32" s="12" t="str">
        <f t="shared" si="2"/>
        <v>#N/A</v>
      </c>
      <c r="R32" s="12" t="str">
        <f>VLOOKUP(E32,LevelData,2)</f>
        <v>#N/A</v>
      </c>
      <c r="S32" s="12" t="str">
        <f t="shared" si="3"/>
        <v>#N/A</v>
      </c>
      <c r="T32" s="11"/>
      <c r="U32" s="10"/>
      <c r="V32" s="11">
        <f t="shared" si="6"/>
        <v>10</v>
      </c>
      <c r="W32" s="10">
        <f t="shared" si="7"/>
        <v>10</v>
      </c>
      <c r="X32" s="11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12.75" customHeight="1">
      <c r="A33" s="1">
        <f t="shared" si="4"/>
        <v>32</v>
      </c>
      <c r="B33" s="2"/>
      <c r="C33" s="1">
        <v>551.0</v>
      </c>
      <c r="D33" s="2">
        <f t="shared" si="5"/>
        <v>31</v>
      </c>
      <c r="E33" s="1"/>
      <c r="F33" s="1">
        <f t="shared" si="1"/>
        <v>31</v>
      </c>
      <c r="G33" s="2"/>
      <c r="H33" s="2"/>
      <c r="I33" s="2"/>
      <c r="J33" s="2"/>
      <c r="K33" s="2"/>
      <c r="L33" s="2"/>
      <c r="M33" s="2"/>
      <c r="N33" s="13" t="str">
        <f>(E33-1)+VLOOKUP(M33,Size,2,0)</f>
        <v>#N/A</v>
      </c>
      <c r="O33" s="13" t="str">
        <f>VLOOKUP(E33,LevelData,4)</f>
        <v>#N/A</v>
      </c>
      <c r="P33" s="13" t="str">
        <f>O33+VLOOKUP(M33,Size,3,0)</f>
        <v>#N/A</v>
      </c>
      <c r="Q33" s="13" t="str">
        <f t="shared" si="2"/>
        <v>#N/A</v>
      </c>
      <c r="R33" s="13" t="str">
        <f>VLOOKUP(E33,LevelData,2)</f>
        <v>#N/A</v>
      </c>
      <c r="S33" s="13" t="str">
        <f t="shared" si="3"/>
        <v>#N/A</v>
      </c>
      <c r="T33" s="2"/>
      <c r="U33" s="1"/>
      <c r="V33" s="2">
        <f t="shared" si="6"/>
        <v>10</v>
      </c>
      <c r="W33" s="1">
        <f t="shared" si="7"/>
        <v>10</v>
      </c>
      <c r="X33" s="2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2.75" customHeight="1">
      <c r="A34" s="3">
        <f t="shared" si="4"/>
        <v>33</v>
      </c>
      <c r="B34" s="4" t="s">
        <v>67</v>
      </c>
      <c r="C34" s="3">
        <v>601.0</v>
      </c>
      <c r="D34" s="4">
        <f t="shared" si="5"/>
        <v>32</v>
      </c>
      <c r="E34" s="3"/>
      <c r="F34" s="3">
        <f t="shared" si="1"/>
        <v>32</v>
      </c>
      <c r="G34" s="4"/>
      <c r="H34" s="4"/>
      <c r="I34" s="4"/>
      <c r="J34" s="4"/>
      <c r="K34" s="4"/>
      <c r="L34" s="4"/>
      <c r="M34" s="4"/>
      <c r="N34" s="5" t="str">
        <f>(E34-1)+VLOOKUP(M34,Size,2,0)</f>
        <v>#N/A</v>
      </c>
      <c r="O34" s="5" t="str">
        <f>VLOOKUP(E34,LevelData,4)</f>
        <v>#N/A</v>
      </c>
      <c r="P34" s="5" t="str">
        <f>O34+VLOOKUP(M34,Size,3,0)</f>
        <v>#N/A</v>
      </c>
      <c r="Q34" s="5" t="str">
        <f t="shared" si="2"/>
        <v>#N/A</v>
      </c>
      <c r="R34" s="5" t="str">
        <f>VLOOKUP(E34,LevelData,2)</f>
        <v>#N/A</v>
      </c>
      <c r="S34" s="5" t="str">
        <f t="shared" si="3"/>
        <v>#N/A</v>
      </c>
      <c r="T34" s="4"/>
      <c r="U34" s="3"/>
      <c r="V34" s="4">
        <f t="shared" si="6"/>
        <v>10</v>
      </c>
      <c r="W34" s="3">
        <f t="shared" si="7"/>
        <v>10</v>
      </c>
      <c r="X34" s="4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3">
        <f t="shared" si="4"/>
        <v>34</v>
      </c>
      <c r="B35" s="4"/>
      <c r="C35" s="3">
        <v>651.0</v>
      </c>
      <c r="D35" s="4">
        <f t="shared" si="5"/>
        <v>33</v>
      </c>
      <c r="E35" s="3"/>
      <c r="F35" s="3">
        <f t="shared" si="1"/>
        <v>33</v>
      </c>
      <c r="G35" s="4"/>
      <c r="H35" s="4"/>
      <c r="I35" s="4"/>
      <c r="J35" s="4"/>
      <c r="K35" s="4"/>
      <c r="L35" s="4"/>
      <c r="M35" s="4"/>
      <c r="N35" s="5" t="str">
        <f>(E35-1)+VLOOKUP(M35,Size,2,0)</f>
        <v>#N/A</v>
      </c>
      <c r="O35" s="5" t="str">
        <f>VLOOKUP(E35,LevelData,4)</f>
        <v>#N/A</v>
      </c>
      <c r="P35" s="5" t="str">
        <f>O35+VLOOKUP(M35,Size,3,0)</f>
        <v>#N/A</v>
      </c>
      <c r="Q35" s="5" t="str">
        <f t="shared" si="2"/>
        <v>#N/A</v>
      </c>
      <c r="R35" s="5" t="str">
        <f>VLOOKUP(E35,LevelData,2)</f>
        <v>#N/A</v>
      </c>
      <c r="S35" s="5" t="str">
        <f t="shared" si="3"/>
        <v>#N/A</v>
      </c>
      <c r="T35" s="4"/>
      <c r="U35" s="3"/>
      <c r="V35" s="4">
        <f t="shared" si="6"/>
        <v>10</v>
      </c>
      <c r="W35" s="3">
        <f t="shared" si="7"/>
        <v>10</v>
      </c>
      <c r="X35" s="4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3">
        <f t="shared" si="4"/>
        <v>35</v>
      </c>
      <c r="B36" s="4"/>
      <c r="C36" s="3">
        <v>701.0</v>
      </c>
      <c r="D36" s="4">
        <f t="shared" si="5"/>
        <v>34</v>
      </c>
      <c r="E36" s="3"/>
      <c r="F36" s="3">
        <f t="shared" si="1"/>
        <v>34</v>
      </c>
      <c r="G36" s="4"/>
      <c r="H36" s="4"/>
      <c r="I36" s="4"/>
      <c r="J36" s="4"/>
      <c r="K36" s="4"/>
      <c r="L36" s="4"/>
      <c r="M36" s="4"/>
      <c r="N36" s="5" t="str">
        <f>(E36-1)+VLOOKUP(M36,Size,2,0)</f>
        <v>#N/A</v>
      </c>
      <c r="O36" s="5" t="str">
        <f>VLOOKUP(E36,LevelData,4)</f>
        <v>#N/A</v>
      </c>
      <c r="P36" s="5" t="str">
        <f>O36+VLOOKUP(M36,Size,3,0)</f>
        <v>#N/A</v>
      </c>
      <c r="Q36" s="5" t="str">
        <f t="shared" si="2"/>
        <v>#N/A</v>
      </c>
      <c r="R36" s="5" t="str">
        <f>VLOOKUP(E36,LevelData,2)</f>
        <v>#N/A</v>
      </c>
      <c r="S36" s="5" t="str">
        <f t="shared" si="3"/>
        <v>#N/A</v>
      </c>
      <c r="T36" s="4"/>
      <c r="U36" s="3"/>
      <c r="V36" s="4">
        <f t="shared" si="6"/>
        <v>10</v>
      </c>
      <c r="W36" s="3">
        <f t="shared" si="7"/>
        <v>10</v>
      </c>
      <c r="X36" s="4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2.75" customHeight="1">
      <c r="A37" s="7">
        <f t="shared" si="4"/>
        <v>36</v>
      </c>
      <c r="B37" s="8"/>
      <c r="C37" s="7">
        <v>751.0</v>
      </c>
      <c r="D37" s="8">
        <f t="shared" si="5"/>
        <v>35</v>
      </c>
      <c r="E37" s="7"/>
      <c r="F37" s="7">
        <f t="shared" si="1"/>
        <v>35</v>
      </c>
      <c r="G37" s="8"/>
      <c r="H37" s="8"/>
      <c r="I37" s="8"/>
      <c r="J37" s="8"/>
      <c r="K37" s="8"/>
      <c r="L37" s="8"/>
      <c r="M37" s="8"/>
      <c r="N37" s="9" t="str">
        <f>(E37-1)+VLOOKUP(M37,Size,2,0)</f>
        <v>#N/A</v>
      </c>
      <c r="O37" s="9" t="str">
        <f>VLOOKUP(E37,LevelData,4)</f>
        <v>#N/A</v>
      </c>
      <c r="P37" s="9" t="str">
        <f>O37+VLOOKUP(M37,Size,3,0)</f>
        <v>#N/A</v>
      </c>
      <c r="Q37" s="9" t="str">
        <f t="shared" si="2"/>
        <v>#N/A</v>
      </c>
      <c r="R37" s="9" t="str">
        <f>VLOOKUP(E37,LevelData,2)</f>
        <v>#N/A</v>
      </c>
      <c r="S37" s="9" t="str">
        <f t="shared" si="3"/>
        <v>#N/A</v>
      </c>
      <c r="T37" s="8"/>
      <c r="U37" s="7"/>
      <c r="V37" s="8">
        <f t="shared" si="6"/>
        <v>10</v>
      </c>
      <c r="W37" s="7">
        <f t="shared" si="7"/>
        <v>10</v>
      </c>
      <c r="X37" s="8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ht="12.75" customHeight="1">
      <c r="A38" s="10">
        <f t="shared" si="4"/>
        <v>37</v>
      </c>
      <c r="B38" s="11" t="s">
        <v>71</v>
      </c>
      <c r="C38" s="10">
        <v>801.0</v>
      </c>
      <c r="D38" s="11">
        <f t="shared" si="5"/>
        <v>36</v>
      </c>
      <c r="E38" s="10"/>
      <c r="F38" s="10">
        <f t="shared" si="1"/>
        <v>36</v>
      </c>
      <c r="G38" s="11"/>
      <c r="H38" s="11"/>
      <c r="I38" s="11"/>
      <c r="J38" s="11"/>
      <c r="K38" s="11"/>
      <c r="L38" s="11"/>
      <c r="M38" s="11"/>
      <c r="N38" s="12" t="str">
        <f>(E38-1)+VLOOKUP(M38,Size,2,0)</f>
        <v>#N/A</v>
      </c>
      <c r="O38" s="12" t="str">
        <f>VLOOKUP(E38,LevelData,4)</f>
        <v>#N/A</v>
      </c>
      <c r="P38" s="12" t="str">
        <f>O38+VLOOKUP(M38,Size,3,0)</f>
        <v>#N/A</v>
      </c>
      <c r="Q38" s="12" t="str">
        <f t="shared" si="2"/>
        <v>#N/A</v>
      </c>
      <c r="R38" s="12" t="str">
        <f>VLOOKUP(E38,LevelData,2)</f>
        <v>#N/A</v>
      </c>
      <c r="S38" s="12" t="str">
        <f t="shared" si="3"/>
        <v>#N/A</v>
      </c>
      <c r="T38" s="11"/>
      <c r="U38" s="10"/>
      <c r="V38" s="11">
        <f t="shared" si="6"/>
        <v>10</v>
      </c>
      <c r="W38" s="10">
        <f t="shared" si="7"/>
        <v>10</v>
      </c>
      <c r="X38" s="11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2.75" customHeight="1">
      <c r="A39" s="10">
        <f t="shared" si="4"/>
        <v>38</v>
      </c>
      <c r="B39" s="11"/>
      <c r="C39" s="10">
        <v>851.0</v>
      </c>
      <c r="D39" s="11">
        <f t="shared" si="5"/>
        <v>37</v>
      </c>
      <c r="E39" s="10"/>
      <c r="F39" s="10">
        <f t="shared" si="1"/>
        <v>37</v>
      </c>
      <c r="G39" s="11"/>
      <c r="H39" s="11"/>
      <c r="I39" s="11"/>
      <c r="J39" s="11"/>
      <c r="K39" s="11"/>
      <c r="L39" s="11"/>
      <c r="M39" s="11"/>
      <c r="N39" s="12" t="str">
        <f>(E39-1)+VLOOKUP(M39,Size,2,0)</f>
        <v>#N/A</v>
      </c>
      <c r="O39" s="12" t="str">
        <f>VLOOKUP(E39,LevelData,4)</f>
        <v>#N/A</v>
      </c>
      <c r="P39" s="12" t="str">
        <f>O39+VLOOKUP(M39,Size,3,0)</f>
        <v>#N/A</v>
      </c>
      <c r="Q39" s="12" t="str">
        <f t="shared" si="2"/>
        <v>#N/A</v>
      </c>
      <c r="R39" s="12" t="str">
        <f>VLOOKUP(E39,LevelData,2)</f>
        <v>#N/A</v>
      </c>
      <c r="S39" s="12" t="str">
        <f t="shared" si="3"/>
        <v>#N/A</v>
      </c>
      <c r="T39" s="11"/>
      <c r="U39" s="10"/>
      <c r="V39" s="11">
        <f t="shared" si="6"/>
        <v>10</v>
      </c>
      <c r="W39" s="10">
        <f t="shared" si="7"/>
        <v>10</v>
      </c>
      <c r="X39" s="11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12.75" customHeight="1">
      <c r="A40" s="10">
        <f t="shared" si="4"/>
        <v>39</v>
      </c>
      <c r="B40" s="11"/>
      <c r="C40" s="10">
        <v>901.0</v>
      </c>
      <c r="D40" s="11">
        <f t="shared" si="5"/>
        <v>38</v>
      </c>
      <c r="E40" s="10"/>
      <c r="F40" s="10">
        <f t="shared" si="1"/>
        <v>38</v>
      </c>
      <c r="G40" s="11"/>
      <c r="H40" s="11"/>
      <c r="I40" s="11"/>
      <c r="J40" s="11"/>
      <c r="K40" s="11"/>
      <c r="L40" s="11"/>
      <c r="M40" s="11"/>
      <c r="N40" s="12" t="str">
        <f>(E40-1)+VLOOKUP(M40,Size,2,0)</f>
        <v>#N/A</v>
      </c>
      <c r="O40" s="12" t="str">
        <f>VLOOKUP(E40,LevelData,4)</f>
        <v>#N/A</v>
      </c>
      <c r="P40" s="12" t="str">
        <f>O40+VLOOKUP(M40,Size,3,0)</f>
        <v>#N/A</v>
      </c>
      <c r="Q40" s="12" t="str">
        <f t="shared" si="2"/>
        <v>#N/A</v>
      </c>
      <c r="R40" s="12" t="str">
        <f>VLOOKUP(E40,LevelData,2)</f>
        <v>#N/A</v>
      </c>
      <c r="S40" s="12" t="str">
        <f t="shared" si="3"/>
        <v>#N/A</v>
      </c>
      <c r="T40" s="11"/>
      <c r="U40" s="10"/>
      <c r="V40" s="11">
        <f t="shared" si="6"/>
        <v>10</v>
      </c>
      <c r="W40" s="10">
        <f t="shared" si="7"/>
        <v>10</v>
      </c>
      <c r="X40" s="11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12.75" customHeight="1">
      <c r="A41" s="1">
        <f t="shared" si="4"/>
        <v>40</v>
      </c>
      <c r="B41" s="2"/>
      <c r="C41" s="1">
        <v>851.0</v>
      </c>
      <c r="D41" s="2">
        <f t="shared" si="5"/>
        <v>39</v>
      </c>
      <c r="E41" s="1"/>
      <c r="F41" s="1">
        <f t="shared" si="1"/>
        <v>39</v>
      </c>
      <c r="G41" s="2"/>
      <c r="H41" s="2"/>
      <c r="I41" s="2"/>
      <c r="J41" s="2"/>
      <c r="K41" s="2"/>
      <c r="L41" s="2"/>
      <c r="M41" s="2"/>
      <c r="N41" s="13" t="str">
        <f>(E41-1)+VLOOKUP(M41,Size,2,0)</f>
        <v>#N/A</v>
      </c>
      <c r="O41" s="13" t="str">
        <f>VLOOKUP(E41,LevelData,4)</f>
        <v>#N/A</v>
      </c>
      <c r="P41" s="13" t="str">
        <f>O41+VLOOKUP(M41,Size,3,0)</f>
        <v>#N/A</v>
      </c>
      <c r="Q41" s="13" t="str">
        <f t="shared" si="2"/>
        <v>#N/A</v>
      </c>
      <c r="R41" s="13" t="str">
        <f>VLOOKUP(E41,LevelData,2)</f>
        <v>#N/A</v>
      </c>
      <c r="S41" s="13" t="str">
        <f t="shared" si="3"/>
        <v>#N/A</v>
      </c>
      <c r="T41" s="2"/>
      <c r="U41" s="1"/>
      <c r="V41" s="2">
        <f t="shared" si="6"/>
        <v>10</v>
      </c>
      <c r="W41" s="1">
        <f t="shared" si="7"/>
        <v>10</v>
      </c>
      <c r="X41" s="2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2.75" customHeight="1">
      <c r="A42" s="3">
        <f t="shared" si="4"/>
        <v>41</v>
      </c>
      <c r="B42" s="4" t="s">
        <v>76</v>
      </c>
      <c r="C42" s="3">
        <v>1001.0</v>
      </c>
      <c r="D42" s="4">
        <f t="shared" si="5"/>
        <v>40</v>
      </c>
      <c r="E42" s="3"/>
      <c r="F42" s="3">
        <f t="shared" si="1"/>
        <v>40</v>
      </c>
      <c r="G42" s="4"/>
      <c r="H42" s="4"/>
      <c r="I42" s="4"/>
      <c r="J42" s="4"/>
      <c r="K42" s="4"/>
      <c r="L42" s="4"/>
      <c r="M42" s="4"/>
      <c r="N42" s="5" t="str">
        <f>(E42-1)+VLOOKUP(M42,Size,2,0)</f>
        <v>#N/A</v>
      </c>
      <c r="O42" s="5" t="str">
        <f>VLOOKUP(E42,LevelData,4)</f>
        <v>#N/A</v>
      </c>
      <c r="P42" s="5" t="str">
        <f>O42+VLOOKUP(M42,Size,3,0)</f>
        <v>#N/A</v>
      </c>
      <c r="Q42" s="5" t="str">
        <f t="shared" si="2"/>
        <v>#N/A</v>
      </c>
      <c r="R42" s="5" t="str">
        <f>VLOOKUP(E42,LevelData,2)</f>
        <v>#N/A</v>
      </c>
      <c r="S42" s="5" t="str">
        <f t="shared" si="3"/>
        <v>#N/A</v>
      </c>
      <c r="T42" s="4"/>
      <c r="U42" s="3"/>
      <c r="V42" s="4">
        <f t="shared" si="6"/>
        <v>10</v>
      </c>
      <c r="W42" s="3">
        <f t="shared" si="7"/>
        <v>10</v>
      </c>
      <c r="X42" s="4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3">
        <f t="shared" si="4"/>
        <v>42</v>
      </c>
      <c r="B43" s="4"/>
      <c r="C43" s="3">
        <v>1051.0</v>
      </c>
      <c r="D43" s="4">
        <f t="shared" si="5"/>
        <v>41</v>
      </c>
      <c r="E43" s="3"/>
      <c r="F43" s="3">
        <f t="shared" si="1"/>
        <v>41</v>
      </c>
      <c r="G43" s="4"/>
      <c r="H43" s="4"/>
      <c r="I43" s="4"/>
      <c r="J43" s="4"/>
      <c r="K43" s="4"/>
      <c r="L43" s="4"/>
      <c r="M43" s="4"/>
      <c r="N43" s="5" t="str">
        <f>(E43-1)+VLOOKUP(M43,Size,2,0)</f>
        <v>#N/A</v>
      </c>
      <c r="O43" s="5" t="str">
        <f>VLOOKUP(E43,LevelData,4)</f>
        <v>#N/A</v>
      </c>
      <c r="P43" s="5" t="str">
        <f>O43+VLOOKUP(M43,Size,3,0)</f>
        <v>#N/A</v>
      </c>
      <c r="Q43" s="5" t="str">
        <f t="shared" si="2"/>
        <v>#N/A</v>
      </c>
      <c r="R43" s="5" t="str">
        <f>VLOOKUP(E43,LevelData,2)</f>
        <v>#N/A</v>
      </c>
      <c r="S43" s="5" t="str">
        <f t="shared" si="3"/>
        <v>#N/A</v>
      </c>
      <c r="T43" s="4"/>
      <c r="U43" s="3"/>
      <c r="V43" s="4">
        <f t="shared" si="6"/>
        <v>10</v>
      </c>
      <c r="W43" s="3">
        <f t="shared" si="7"/>
        <v>10</v>
      </c>
      <c r="X43" s="4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3">
        <f t="shared" si="4"/>
        <v>43</v>
      </c>
      <c r="B44" s="4"/>
      <c r="C44" s="3">
        <v>1101.0</v>
      </c>
      <c r="D44" s="4">
        <f t="shared" si="5"/>
        <v>42</v>
      </c>
      <c r="E44" s="3"/>
      <c r="F44" s="3">
        <f t="shared" si="1"/>
        <v>42</v>
      </c>
      <c r="G44" s="4"/>
      <c r="H44" s="4"/>
      <c r="I44" s="4"/>
      <c r="J44" s="4"/>
      <c r="K44" s="4"/>
      <c r="L44" s="4"/>
      <c r="M44" s="4"/>
      <c r="N44" s="5" t="str">
        <f>(E44-1)+VLOOKUP(M44,Size,2,0)</f>
        <v>#N/A</v>
      </c>
      <c r="O44" s="5" t="str">
        <f>VLOOKUP(E44,LevelData,4)</f>
        <v>#N/A</v>
      </c>
      <c r="P44" s="5" t="str">
        <f>O44+VLOOKUP(M44,Size,3,0)</f>
        <v>#N/A</v>
      </c>
      <c r="Q44" s="5" t="str">
        <f t="shared" si="2"/>
        <v>#N/A</v>
      </c>
      <c r="R44" s="5" t="str">
        <f>VLOOKUP(E44,LevelData,2)</f>
        <v>#N/A</v>
      </c>
      <c r="S44" s="5" t="str">
        <f t="shared" si="3"/>
        <v>#N/A</v>
      </c>
      <c r="T44" s="4"/>
      <c r="U44" s="3"/>
      <c r="V44" s="4">
        <f t="shared" si="6"/>
        <v>10</v>
      </c>
      <c r="W44" s="3">
        <f t="shared" si="7"/>
        <v>10</v>
      </c>
      <c r="X44" s="4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12.75" customHeight="1">
      <c r="A45" s="7">
        <f t="shared" si="4"/>
        <v>44</v>
      </c>
      <c r="B45" s="8"/>
      <c r="C45" s="7">
        <v>1151.0</v>
      </c>
      <c r="D45" s="8">
        <f t="shared" si="5"/>
        <v>43</v>
      </c>
      <c r="E45" s="7"/>
      <c r="F45" s="7">
        <f t="shared" si="1"/>
        <v>43</v>
      </c>
      <c r="G45" s="8"/>
      <c r="H45" s="8"/>
      <c r="I45" s="8"/>
      <c r="J45" s="8"/>
      <c r="K45" s="8"/>
      <c r="L45" s="8"/>
      <c r="M45" s="8"/>
      <c r="N45" s="9" t="str">
        <f>(E45-1)+VLOOKUP(M45,Size,2,0)</f>
        <v>#N/A</v>
      </c>
      <c r="O45" s="9" t="str">
        <f>VLOOKUP(E45,LevelData,4)</f>
        <v>#N/A</v>
      </c>
      <c r="P45" s="9" t="str">
        <f>O45+VLOOKUP(M45,Size,3,0)</f>
        <v>#N/A</v>
      </c>
      <c r="Q45" s="9" t="str">
        <f t="shared" si="2"/>
        <v>#N/A</v>
      </c>
      <c r="R45" s="9" t="str">
        <f>VLOOKUP(E45,LevelData,2)</f>
        <v>#N/A</v>
      </c>
      <c r="S45" s="9" t="str">
        <f t="shared" si="3"/>
        <v>#N/A</v>
      </c>
      <c r="T45" s="8"/>
      <c r="U45" s="7"/>
      <c r="V45" s="8">
        <f t="shared" si="6"/>
        <v>10</v>
      </c>
      <c r="W45" s="7">
        <f t="shared" si="7"/>
        <v>10</v>
      </c>
      <c r="X45" s="8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12.75" customHeight="1">
      <c r="A46" s="10">
        <f t="shared" si="4"/>
        <v>45</v>
      </c>
      <c r="B46" s="11" t="s">
        <v>81</v>
      </c>
      <c r="C46" s="10">
        <v>1201.0</v>
      </c>
      <c r="D46" s="11">
        <f t="shared" si="5"/>
        <v>44</v>
      </c>
      <c r="E46" s="10"/>
      <c r="F46" s="10">
        <f t="shared" si="1"/>
        <v>44</v>
      </c>
      <c r="G46" s="11"/>
      <c r="H46" s="11"/>
      <c r="I46" s="11"/>
      <c r="J46" s="11"/>
      <c r="K46" s="11"/>
      <c r="L46" s="11"/>
      <c r="M46" s="11"/>
      <c r="N46" s="12" t="str">
        <f>(E46-1)+VLOOKUP(M46,Size,2,0)</f>
        <v>#N/A</v>
      </c>
      <c r="O46" s="12" t="str">
        <f>VLOOKUP(E46,LevelData,4)</f>
        <v>#N/A</v>
      </c>
      <c r="P46" s="12" t="str">
        <f>O46+VLOOKUP(M46,Size,3,0)</f>
        <v>#N/A</v>
      </c>
      <c r="Q46" s="12" t="str">
        <f t="shared" si="2"/>
        <v>#N/A</v>
      </c>
      <c r="R46" s="12" t="str">
        <f>VLOOKUP(E46,LevelData,2)</f>
        <v>#N/A</v>
      </c>
      <c r="S46" s="12" t="str">
        <f t="shared" si="3"/>
        <v>#N/A</v>
      </c>
      <c r="T46" s="11"/>
      <c r="U46" s="10"/>
      <c r="V46" s="11">
        <f t="shared" si="6"/>
        <v>10</v>
      </c>
      <c r="W46" s="10">
        <f t="shared" si="7"/>
        <v>10</v>
      </c>
      <c r="X46" s="11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2.75" customHeight="1">
      <c r="A47" s="10">
        <f t="shared" si="4"/>
        <v>46</v>
      </c>
      <c r="B47" s="11"/>
      <c r="C47" s="10" t="s">
        <v>84</v>
      </c>
      <c r="D47" s="11">
        <f t="shared" si="5"/>
        <v>45</v>
      </c>
      <c r="E47" s="10"/>
      <c r="F47" s="10">
        <f t="shared" si="1"/>
        <v>45</v>
      </c>
      <c r="G47" s="11"/>
      <c r="H47" s="11"/>
      <c r="I47" s="11"/>
      <c r="J47" s="11"/>
      <c r="K47" s="11"/>
      <c r="L47" s="11"/>
      <c r="M47" s="11"/>
      <c r="N47" s="12" t="str">
        <f>(E47-1)+VLOOKUP(M47,Size,2,0)</f>
        <v>#N/A</v>
      </c>
      <c r="O47" s="12" t="str">
        <f>VLOOKUP(E47,LevelData,4)</f>
        <v>#N/A</v>
      </c>
      <c r="P47" s="12" t="str">
        <f>O47+VLOOKUP(M47,Size,3,0)</f>
        <v>#N/A</v>
      </c>
      <c r="Q47" s="12" t="str">
        <f t="shared" si="2"/>
        <v>#N/A</v>
      </c>
      <c r="R47" s="12" t="str">
        <f>VLOOKUP(E47,LevelData,2)</f>
        <v>#N/A</v>
      </c>
      <c r="S47" s="12" t="str">
        <f t="shared" si="3"/>
        <v>#N/A</v>
      </c>
      <c r="T47" s="11"/>
      <c r="U47" s="10"/>
      <c r="V47" s="11">
        <f t="shared" si="6"/>
        <v>10</v>
      </c>
      <c r="W47" s="10">
        <f t="shared" si="7"/>
        <v>10</v>
      </c>
      <c r="X47" s="11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12.75" customHeight="1">
      <c r="A48" s="10">
        <f t="shared" si="4"/>
        <v>47</v>
      </c>
      <c r="B48" s="11"/>
      <c r="C48" s="10" t="s">
        <v>86</v>
      </c>
      <c r="D48" s="11">
        <f t="shared" si="5"/>
        <v>46</v>
      </c>
      <c r="E48" s="10"/>
      <c r="F48" s="10">
        <f t="shared" si="1"/>
        <v>46</v>
      </c>
      <c r="G48" s="11"/>
      <c r="H48" s="11"/>
      <c r="I48" s="11"/>
      <c r="J48" s="11"/>
      <c r="K48" s="11"/>
      <c r="L48" s="11"/>
      <c r="M48" s="11"/>
      <c r="N48" s="12" t="str">
        <f>(E48-1)+VLOOKUP(M48,Size,2,0)</f>
        <v>#N/A</v>
      </c>
      <c r="O48" s="12" t="str">
        <f>VLOOKUP(E48,LevelData,4)</f>
        <v>#N/A</v>
      </c>
      <c r="P48" s="12" t="str">
        <f>O48+VLOOKUP(M48,Size,3,0)</f>
        <v>#N/A</v>
      </c>
      <c r="Q48" s="12" t="str">
        <f t="shared" si="2"/>
        <v>#N/A</v>
      </c>
      <c r="R48" s="12" t="str">
        <f>VLOOKUP(E48,LevelData,2)</f>
        <v>#N/A</v>
      </c>
      <c r="S48" s="12" t="str">
        <f t="shared" si="3"/>
        <v>#N/A</v>
      </c>
      <c r="T48" s="11"/>
      <c r="U48" s="10"/>
      <c r="V48" s="11">
        <f t="shared" si="6"/>
        <v>10</v>
      </c>
      <c r="W48" s="10">
        <f t="shared" si="7"/>
        <v>10</v>
      </c>
      <c r="X48" s="11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12.75" customHeight="1">
      <c r="A49" s="1">
        <f t="shared" si="4"/>
        <v>48</v>
      </c>
      <c r="B49" s="2"/>
      <c r="C49" s="1" t="s">
        <v>88</v>
      </c>
      <c r="D49" s="2">
        <f t="shared" si="5"/>
        <v>47</v>
      </c>
      <c r="E49" s="1"/>
      <c r="F49" s="1">
        <f t="shared" si="1"/>
        <v>47</v>
      </c>
      <c r="G49" s="2"/>
      <c r="H49" s="2"/>
      <c r="I49" s="2"/>
      <c r="J49" s="2"/>
      <c r="K49" s="2"/>
      <c r="L49" s="2"/>
      <c r="M49" s="2"/>
      <c r="N49" s="13" t="str">
        <f>(E49-1)+VLOOKUP(M49,Size,2,0)</f>
        <v>#N/A</v>
      </c>
      <c r="O49" s="13" t="str">
        <f>VLOOKUP(E49,LevelData,4)</f>
        <v>#N/A</v>
      </c>
      <c r="P49" s="13" t="str">
        <f>O49+VLOOKUP(M49,Size,3,0)</f>
        <v>#N/A</v>
      </c>
      <c r="Q49" s="13" t="str">
        <f t="shared" si="2"/>
        <v>#N/A</v>
      </c>
      <c r="R49" s="13" t="str">
        <f>VLOOKUP(E49,LevelData,2)</f>
        <v>#N/A</v>
      </c>
      <c r="S49" s="13" t="str">
        <f t="shared" si="3"/>
        <v>#N/A</v>
      </c>
      <c r="T49" s="2"/>
      <c r="U49" s="1"/>
      <c r="V49" s="2">
        <f t="shared" si="6"/>
        <v>10</v>
      </c>
      <c r="W49" s="1">
        <f t="shared" si="7"/>
        <v>10</v>
      </c>
      <c r="X49" s="2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2.75" customHeight="1">
      <c r="A50" s="3">
        <f t="shared" si="4"/>
        <v>49</v>
      </c>
      <c r="B50" s="4" t="s">
        <v>89</v>
      </c>
      <c r="C50" s="3" t="s">
        <v>90</v>
      </c>
      <c r="D50" s="4">
        <f t="shared" si="5"/>
        <v>48</v>
      </c>
      <c r="E50" s="3"/>
      <c r="F50" s="3">
        <f t="shared" si="1"/>
        <v>48</v>
      </c>
      <c r="G50" s="4"/>
      <c r="H50" s="4"/>
      <c r="I50" s="4"/>
      <c r="J50" s="4"/>
      <c r="K50" s="4"/>
      <c r="L50" s="4"/>
      <c r="M50" s="4"/>
      <c r="N50" s="5" t="str">
        <f>(E50-1)+VLOOKUP(M50,Size,2,0)</f>
        <v>#N/A</v>
      </c>
      <c r="O50" s="5" t="str">
        <f>VLOOKUP(E50,LevelData,4)</f>
        <v>#N/A</v>
      </c>
      <c r="P50" s="5" t="str">
        <f>O50+VLOOKUP(M50,Size,3,0)</f>
        <v>#N/A</v>
      </c>
      <c r="Q50" s="5" t="str">
        <f t="shared" si="2"/>
        <v>#N/A</v>
      </c>
      <c r="R50" s="5" t="str">
        <f>VLOOKUP(E50,LevelData,2)</f>
        <v>#N/A</v>
      </c>
      <c r="S50" s="5" t="str">
        <f t="shared" si="3"/>
        <v>#N/A</v>
      </c>
      <c r="T50" s="4"/>
      <c r="U50" s="3"/>
      <c r="V50" s="4">
        <f t="shared" si="6"/>
        <v>10</v>
      </c>
      <c r="W50" s="3">
        <f t="shared" si="7"/>
        <v>10</v>
      </c>
      <c r="X50" s="4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12.75" customHeight="1">
      <c r="A51" s="10"/>
      <c r="B51" s="11"/>
      <c r="C51" s="10"/>
      <c r="D51" s="11"/>
      <c r="E51" s="10"/>
      <c r="F51" s="10"/>
      <c r="G51" s="11"/>
      <c r="H51" s="11"/>
      <c r="I51" s="11"/>
      <c r="J51" s="11"/>
      <c r="K51" s="11"/>
      <c r="L51" s="11"/>
      <c r="M51" s="14" t="str">
        <f>HYPERLINK("http://www.geocities.com/galliard6/dragons_sheet.html","Back")</f>
        <v>Back</v>
      </c>
      <c r="N51" s="11"/>
      <c r="O51" s="11"/>
      <c r="P51" s="11"/>
      <c r="Q51" s="11"/>
      <c r="R51" s="11"/>
      <c r="S51" s="11"/>
      <c r="T51" s="11"/>
      <c r="U51" s="10"/>
      <c r="V51" s="11"/>
      <c r="W51" s="10"/>
      <c r="X51" s="1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2.75" customHeight="1">
      <c r="A52" s="10"/>
      <c r="B52" s="11"/>
      <c r="C52" s="10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/>
      <c r="V52" s="11"/>
      <c r="W52" s="10"/>
      <c r="X52" s="1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2.75" customHeight="1">
      <c r="A53" s="10"/>
      <c r="B53" s="11"/>
      <c r="C53" s="10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/>
      <c r="V53" s="11"/>
      <c r="W53" s="10"/>
      <c r="X53" s="11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2.75" customHeight="1">
      <c r="A54" s="10"/>
      <c r="B54" s="11"/>
      <c r="C54" s="10"/>
      <c r="D54" s="11"/>
      <c r="E54" s="10"/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1"/>
      <c r="W54" s="10"/>
      <c r="X54" s="11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2.75" customHeight="1">
      <c r="A55" s="10"/>
      <c r="B55" s="11"/>
      <c r="C55" s="10"/>
      <c r="D55" s="11"/>
      <c r="E55" s="10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/>
      <c r="V55" s="11"/>
      <c r="W55" s="10"/>
      <c r="X55" s="11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2.75" customHeight="1">
      <c r="A56" s="10"/>
      <c r="B56" s="11"/>
      <c r="C56" s="10"/>
      <c r="D56" s="11"/>
      <c r="E56" s="10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/>
      <c r="V56" s="11"/>
      <c r="W56" s="10"/>
      <c r="X56" s="11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2.75" customHeight="1">
      <c r="A57" s="10"/>
      <c r="B57" s="11"/>
      <c r="C57" s="10"/>
      <c r="D57" s="11"/>
      <c r="E57" s="10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/>
      <c r="V57" s="11"/>
      <c r="W57" s="10"/>
      <c r="X57" s="11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2.75" customHeight="1">
      <c r="A58" s="10"/>
      <c r="B58" s="11"/>
      <c r="C58" s="10"/>
      <c r="D58" s="11"/>
      <c r="E58" s="10"/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/>
      <c r="V58" s="11"/>
      <c r="W58" s="10"/>
      <c r="X58" s="11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2.75" customHeight="1">
      <c r="A59" s="10"/>
      <c r="B59" s="11"/>
      <c r="C59" s="10"/>
      <c r="D59" s="11"/>
      <c r="E59" s="10"/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/>
      <c r="V59" s="11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2.75" customHeight="1">
      <c r="A60" s="10"/>
      <c r="B60" s="11"/>
      <c r="C60" s="10"/>
      <c r="D60" s="11"/>
      <c r="E60" s="10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/>
      <c r="V60" s="11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2.75" customHeight="1">
      <c r="A61" s="10"/>
      <c r="B61" s="11"/>
      <c r="C61" s="10"/>
      <c r="D61" s="11"/>
      <c r="E61" s="10"/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/>
      <c r="V61" s="11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2.75" customHeight="1">
      <c r="A62" s="10"/>
      <c r="B62" s="11"/>
      <c r="C62" s="10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/>
      <c r="V62" s="11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2.75" customHeight="1">
      <c r="A63" s="10"/>
      <c r="B63" s="11"/>
      <c r="C63" s="10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2.75" customHeight="1">
      <c r="A64" s="10"/>
      <c r="B64" s="11"/>
      <c r="C64" s="10"/>
      <c r="D64" s="11"/>
      <c r="E64" s="10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2.75" customHeight="1">
      <c r="A65" s="10"/>
      <c r="B65" s="11"/>
      <c r="C65" s="10"/>
      <c r="D65" s="11"/>
      <c r="E65" s="10"/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2.75" customHeight="1">
      <c r="A66" s="10"/>
      <c r="B66" s="11"/>
      <c r="C66" s="10"/>
      <c r="D66" s="11"/>
      <c r="E66" s="10"/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2.75" customHeight="1">
      <c r="A67" s="10"/>
      <c r="B67" s="11"/>
      <c r="C67" s="10"/>
      <c r="D67" s="11"/>
      <c r="E67" s="10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2.75" customHeight="1">
      <c r="A68" s="10"/>
      <c r="B68" s="11"/>
      <c r="C68" s="10"/>
      <c r="D68" s="11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2.75" customHeight="1">
      <c r="A69" s="10"/>
      <c r="B69" s="11"/>
      <c r="C69" s="10"/>
      <c r="D69" s="11"/>
      <c r="E69" s="10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2.75" customHeight="1">
      <c r="A70" s="10"/>
      <c r="B70" s="11"/>
      <c r="C70" s="10"/>
      <c r="D70" s="11"/>
      <c r="E70" s="10"/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2.75" customHeight="1">
      <c r="A71" s="10"/>
      <c r="B71" s="11"/>
      <c r="C71" s="10"/>
      <c r="D71" s="11"/>
      <c r="E71" s="10"/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2.75" customHeight="1">
      <c r="A72" s="10"/>
      <c r="B72" s="11"/>
      <c r="C72" s="10"/>
      <c r="D72" s="11"/>
      <c r="E72" s="10"/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2.75" customHeight="1">
      <c r="A73" s="10"/>
      <c r="B73" s="11"/>
      <c r="C73" s="10"/>
      <c r="D73" s="11"/>
      <c r="E73" s="10"/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2.75" customHeight="1">
      <c r="A74" s="10"/>
      <c r="B74" s="11"/>
      <c r="C74" s="10"/>
      <c r="D74" s="11"/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2.75" customHeight="1">
      <c r="A75" s="10"/>
      <c r="B75" s="11"/>
      <c r="C75" s="10"/>
      <c r="D75" s="11"/>
      <c r="E75" s="10"/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2.75" customHeight="1">
      <c r="A76" s="10"/>
      <c r="B76" s="11"/>
      <c r="C76" s="10"/>
      <c r="D76" s="11"/>
      <c r="E76" s="10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2.75" customHeight="1">
      <c r="A77" s="10"/>
      <c r="B77" s="11"/>
      <c r="C77" s="10"/>
      <c r="D77" s="11"/>
      <c r="E77" s="10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2.75" customHeight="1">
      <c r="A78" s="10"/>
      <c r="B78" s="11"/>
      <c r="C78" s="10"/>
      <c r="D78" s="11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2.75" customHeight="1">
      <c r="A79" s="10"/>
      <c r="B79" s="11"/>
      <c r="C79" s="10"/>
      <c r="D79" s="11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2.75" customHeight="1">
      <c r="A80" s="10"/>
      <c r="B80" s="11"/>
      <c r="C80" s="10"/>
      <c r="D80" s="11"/>
      <c r="E80" s="10"/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2.75" customHeight="1">
      <c r="A81" s="10"/>
      <c r="B81" s="11"/>
      <c r="C81" s="10"/>
      <c r="D81" s="11"/>
      <c r="E81" s="10"/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2.75" customHeight="1">
      <c r="A82" s="10"/>
      <c r="B82" s="11"/>
      <c r="C82" s="10"/>
      <c r="D82" s="11"/>
      <c r="E82" s="10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2.75" customHeight="1">
      <c r="A83" s="10"/>
      <c r="B83" s="11"/>
      <c r="C83" s="10"/>
      <c r="D83" s="11"/>
      <c r="E83" s="10"/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2.75" customHeight="1">
      <c r="A84" s="10"/>
      <c r="B84" s="11"/>
      <c r="C84" s="10"/>
      <c r="D84" s="11"/>
      <c r="E84" s="10"/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2.75" customHeight="1">
      <c r="A85" s="10"/>
      <c r="B85" s="11"/>
      <c r="C85" s="10"/>
      <c r="D85" s="11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2.75" customHeight="1">
      <c r="A86" s="10"/>
      <c r="B86" s="11"/>
      <c r="C86" s="10"/>
      <c r="D86" s="11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2.75" customHeight="1">
      <c r="A87" s="10"/>
      <c r="B87" s="11"/>
      <c r="C87" s="10"/>
      <c r="D87" s="11"/>
      <c r="E87" s="10"/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2.75" customHeight="1">
      <c r="A88" s="10"/>
      <c r="B88" s="11"/>
      <c r="C88" s="10"/>
      <c r="D88" s="11"/>
      <c r="E88" s="10"/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2.75" customHeight="1">
      <c r="A89" s="10"/>
      <c r="B89" s="11"/>
      <c r="C89" s="10"/>
      <c r="D89" s="11"/>
      <c r="E89" s="10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2.75" customHeight="1">
      <c r="A90" s="10"/>
      <c r="B90" s="11"/>
      <c r="C90" s="10"/>
      <c r="D90" s="11"/>
      <c r="E90" s="10"/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2.75" customHeight="1">
      <c r="A91" s="10"/>
      <c r="B91" s="11"/>
      <c r="C91" s="10"/>
      <c r="D91" s="11"/>
      <c r="E91" s="10"/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2.75" customHeight="1">
      <c r="A92" s="10"/>
      <c r="B92" s="11"/>
      <c r="C92" s="10"/>
      <c r="D92" s="11"/>
      <c r="E92" s="10"/>
      <c r="F92" s="1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2.75" customHeight="1">
      <c r="A93" s="10"/>
      <c r="B93" s="11"/>
      <c r="C93" s="10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2.75" customHeight="1">
      <c r="A94" s="10"/>
      <c r="B94" s="11"/>
      <c r="C94" s="10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2.75" customHeight="1">
      <c r="A95" s="10"/>
      <c r="B95" s="11"/>
      <c r="C95" s="10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2.75" customHeight="1">
      <c r="A96" s="10"/>
      <c r="B96" s="11"/>
      <c r="C96" s="10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2.75" customHeight="1">
      <c r="A97" s="10"/>
      <c r="B97" s="11"/>
      <c r="C97" s="10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2.75" customHeight="1">
      <c r="A98" s="10"/>
      <c r="B98" s="11"/>
      <c r="C98" s="10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2.75" customHeight="1">
      <c r="A99" s="10"/>
      <c r="B99" s="11"/>
      <c r="C99" s="10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2.75" customHeight="1">
      <c r="A100" s="10"/>
      <c r="B100" s="11"/>
      <c r="C100" s="10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2.75" customHeight="1">
      <c r="A101" s="10"/>
      <c r="B101" s="11"/>
      <c r="C101" s="10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2.75" customHeight="1">
      <c r="A102" s="10"/>
      <c r="B102" s="11"/>
      <c r="C102" s="10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2.75" customHeight="1">
      <c r="A103" s="10"/>
      <c r="B103" s="11"/>
      <c r="C103" s="10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2.75" customHeight="1">
      <c r="A104" s="10"/>
      <c r="B104" s="11"/>
      <c r="C104" s="10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2.75" customHeight="1">
      <c r="A105" s="10"/>
      <c r="B105" s="11"/>
      <c r="C105" s="10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2.75" customHeight="1">
      <c r="A106" s="10"/>
      <c r="B106" s="11"/>
      <c r="C106" s="10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2.75" customHeight="1">
      <c r="A107" s="10"/>
      <c r="B107" s="11"/>
      <c r="C107" s="10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2.75" customHeight="1">
      <c r="A108" s="10"/>
      <c r="B108" s="11"/>
      <c r="C108" s="10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2.75" customHeight="1">
      <c r="A109" s="10"/>
      <c r="B109" s="11"/>
      <c r="C109" s="10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2.75" customHeight="1">
      <c r="A110" s="10"/>
      <c r="B110" s="11"/>
      <c r="C110" s="10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2.75" customHeight="1">
      <c r="A111" s="10"/>
      <c r="B111" s="11"/>
      <c r="C111" s="10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2.75" customHeight="1">
      <c r="A112" s="10"/>
      <c r="B112" s="11"/>
      <c r="C112" s="10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2.75" customHeight="1">
      <c r="A113" s="10"/>
      <c r="B113" s="11"/>
      <c r="C113" s="10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2.75" customHeight="1">
      <c r="A114" s="10"/>
      <c r="B114" s="11"/>
      <c r="C114" s="10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2.75" customHeight="1">
      <c r="A115" s="10"/>
      <c r="B115" s="11"/>
      <c r="C115" s="10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2.75" customHeight="1">
      <c r="A116" s="10"/>
      <c r="B116" s="11"/>
      <c r="C116" s="10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2.75" customHeight="1">
      <c r="A117" s="10"/>
      <c r="B117" s="11"/>
      <c r="C117" s="10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2.75" customHeight="1">
      <c r="A118" s="10"/>
      <c r="B118" s="11"/>
      <c r="C118" s="10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2.75" customHeight="1">
      <c r="A119" s="10"/>
      <c r="B119" s="11"/>
      <c r="C119" s="10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2.75" customHeight="1">
      <c r="A120" s="10"/>
      <c r="B120" s="11"/>
      <c r="C120" s="10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2.75" customHeight="1">
      <c r="A121" s="10"/>
      <c r="B121" s="11"/>
      <c r="C121" s="10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2.75" customHeight="1">
      <c r="A122" s="10"/>
      <c r="B122" s="11"/>
      <c r="C122" s="10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2.75" customHeight="1">
      <c r="A123" s="10"/>
      <c r="B123" s="11"/>
      <c r="C123" s="10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2.75" customHeight="1">
      <c r="A124" s="10"/>
      <c r="B124" s="11"/>
      <c r="C124" s="10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2.75" customHeight="1">
      <c r="A125" s="10"/>
      <c r="B125" s="11"/>
      <c r="C125" s="10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2.75" customHeight="1">
      <c r="A126" s="10"/>
      <c r="B126" s="11"/>
      <c r="C126" s="10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2.75" customHeight="1">
      <c r="A127" s="10"/>
      <c r="B127" s="11"/>
      <c r="C127" s="10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2.75" customHeight="1">
      <c r="A128" s="10"/>
      <c r="B128" s="11"/>
      <c r="C128" s="10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2.75" customHeight="1">
      <c r="A129" s="10"/>
      <c r="B129" s="11"/>
      <c r="C129" s="10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2.75" customHeight="1">
      <c r="A130" s="10"/>
      <c r="B130" s="11"/>
      <c r="C130" s="10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2.75" customHeight="1">
      <c r="A131" s="10"/>
      <c r="B131" s="11"/>
      <c r="C131" s="10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2.75" customHeight="1">
      <c r="A132" s="10"/>
      <c r="B132" s="11"/>
      <c r="C132" s="10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2.75" customHeight="1">
      <c r="A133" s="10"/>
      <c r="B133" s="11"/>
      <c r="C133" s="10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2.75" customHeight="1">
      <c r="A134" s="10"/>
      <c r="B134" s="11"/>
      <c r="C134" s="10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2.75" customHeight="1">
      <c r="A135" s="10"/>
      <c r="B135" s="11"/>
      <c r="C135" s="10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2.75" customHeight="1">
      <c r="A136" s="10"/>
      <c r="B136" s="11"/>
      <c r="C136" s="10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2.75" customHeight="1">
      <c r="A137" s="10"/>
      <c r="B137" s="11"/>
      <c r="C137" s="10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2.75" customHeight="1">
      <c r="A138" s="10"/>
      <c r="B138" s="11"/>
      <c r="C138" s="10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2.75" customHeight="1">
      <c r="A139" s="10"/>
      <c r="B139" s="11"/>
      <c r="C139" s="10"/>
      <c r="D139" s="11"/>
      <c r="E139" s="10"/>
      <c r="F139" s="1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2.75" customHeight="1">
      <c r="A140" s="10"/>
      <c r="B140" s="11"/>
      <c r="C140" s="10"/>
      <c r="D140" s="11"/>
      <c r="E140" s="10"/>
      <c r="F140" s="1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2.75" customHeight="1">
      <c r="A141" s="10"/>
      <c r="B141" s="11"/>
      <c r="C141" s="10"/>
      <c r="D141" s="11"/>
      <c r="E141" s="10"/>
      <c r="F141" s="1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2.75" customHeight="1">
      <c r="A142" s="10"/>
      <c r="B142" s="11"/>
      <c r="C142" s="10"/>
      <c r="D142" s="11"/>
      <c r="E142" s="10"/>
      <c r="F142" s="1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2.75" customHeight="1">
      <c r="A143" s="10"/>
      <c r="B143" s="11"/>
      <c r="C143" s="10"/>
      <c r="D143" s="11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2.75" customHeight="1">
      <c r="A144" s="10"/>
      <c r="B144" s="11"/>
      <c r="C144" s="10"/>
      <c r="D144" s="11"/>
      <c r="E144" s="10"/>
      <c r="F144" s="1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2.75" customHeight="1">
      <c r="A145" s="10"/>
      <c r="B145" s="11"/>
      <c r="C145" s="10"/>
      <c r="D145" s="11"/>
      <c r="E145" s="10"/>
      <c r="F145" s="1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/>
      <c r="V145" s="11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2.75" customHeight="1">
      <c r="A146" s="10"/>
      <c r="B146" s="11"/>
      <c r="C146" s="10"/>
      <c r="D146" s="11"/>
      <c r="E146" s="10"/>
      <c r="F146" s="1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/>
      <c r="V146" s="11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2.75" customHeight="1">
      <c r="A147" s="10"/>
      <c r="B147" s="11"/>
      <c r="C147" s="10"/>
      <c r="D147" s="11"/>
      <c r="E147" s="10"/>
      <c r="F147" s="1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/>
      <c r="V147" s="11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2.75" customHeight="1">
      <c r="A148" s="10"/>
      <c r="B148" s="11"/>
      <c r="C148" s="10"/>
      <c r="D148" s="11"/>
      <c r="E148" s="10"/>
      <c r="F148" s="1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/>
      <c r="V148" s="11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2.75" customHeight="1">
      <c r="A149" s="10"/>
      <c r="B149" s="11"/>
      <c r="C149" s="10"/>
      <c r="D149" s="11"/>
      <c r="E149" s="10"/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2.75" customHeight="1">
      <c r="A150" s="10"/>
      <c r="B150" s="11"/>
      <c r="C150" s="10"/>
      <c r="D150" s="11"/>
      <c r="E150" s="10"/>
      <c r="F150" s="1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2.75" customHeight="1">
      <c r="A151" s="10"/>
      <c r="B151" s="11"/>
      <c r="C151" s="10"/>
      <c r="D151" s="11"/>
      <c r="E151" s="10"/>
      <c r="F151" s="1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2.75" customHeight="1">
      <c r="A152" s="10"/>
      <c r="B152" s="11"/>
      <c r="C152" s="10"/>
      <c r="D152" s="11"/>
      <c r="E152" s="10"/>
      <c r="F152" s="1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2.75" customHeight="1">
      <c r="A153" s="10"/>
      <c r="B153" s="11"/>
      <c r="C153" s="10"/>
      <c r="D153" s="11"/>
      <c r="E153" s="10"/>
      <c r="F153" s="1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2.75" customHeight="1">
      <c r="A154" s="10"/>
      <c r="B154" s="11"/>
      <c r="C154" s="10"/>
      <c r="D154" s="11"/>
      <c r="E154" s="10"/>
      <c r="F154" s="1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2.75" customHeight="1">
      <c r="A155" s="10"/>
      <c r="B155" s="11"/>
      <c r="C155" s="10"/>
      <c r="D155" s="11"/>
      <c r="E155" s="10"/>
      <c r="F155" s="1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  <c r="W155" s="10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2.75" customHeight="1">
      <c r="A156" s="10"/>
      <c r="B156" s="11"/>
      <c r="C156" s="10"/>
      <c r="D156" s="11"/>
      <c r="E156" s="10"/>
      <c r="F156" s="1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  <c r="W156" s="10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2.75" customHeight="1">
      <c r="A157" s="10"/>
      <c r="B157" s="11"/>
      <c r="C157" s="10"/>
      <c r="D157" s="11"/>
      <c r="E157" s="10"/>
      <c r="F157" s="1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  <c r="W157" s="10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2.75" customHeight="1">
      <c r="A158" s="10"/>
      <c r="B158" s="11"/>
      <c r="C158" s="10"/>
      <c r="D158" s="11"/>
      <c r="E158" s="10"/>
      <c r="F158" s="1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  <c r="W158" s="10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2.75" customHeight="1">
      <c r="A159" s="10"/>
      <c r="B159" s="11"/>
      <c r="C159" s="10"/>
      <c r="D159" s="11"/>
      <c r="E159" s="10"/>
      <c r="F159" s="1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2.75" customHeight="1">
      <c r="A160" s="10"/>
      <c r="B160" s="11"/>
      <c r="C160" s="10"/>
      <c r="D160" s="11"/>
      <c r="E160" s="10"/>
      <c r="F160" s="1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  <c r="W160" s="10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2.75" customHeight="1">
      <c r="A161" s="10"/>
      <c r="B161" s="11"/>
      <c r="C161" s="10"/>
      <c r="D161" s="11"/>
      <c r="E161" s="10"/>
      <c r="F161" s="1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/>
      <c r="V161" s="11"/>
      <c r="W161" s="10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2.75" customHeight="1">
      <c r="A162" s="10"/>
      <c r="B162" s="11"/>
      <c r="C162" s="10"/>
      <c r="D162" s="11"/>
      <c r="E162" s="10"/>
      <c r="F162" s="1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/>
      <c r="V162" s="11"/>
      <c r="W162" s="10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2.75" customHeight="1">
      <c r="A163" s="10"/>
      <c r="B163" s="11"/>
      <c r="C163" s="10"/>
      <c r="D163" s="11"/>
      <c r="E163" s="10"/>
      <c r="F163" s="1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/>
      <c r="V163" s="11"/>
      <c r="W163" s="10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2.75" customHeight="1">
      <c r="A164" s="10"/>
      <c r="B164" s="11"/>
      <c r="C164" s="10"/>
      <c r="D164" s="11"/>
      <c r="E164" s="10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  <c r="W164" s="10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2.75" customHeight="1">
      <c r="A165" s="10"/>
      <c r="B165" s="11"/>
      <c r="C165" s="10"/>
      <c r="D165" s="11"/>
      <c r="E165" s="10"/>
      <c r="F165" s="1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  <c r="W165" s="10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2.75" customHeight="1">
      <c r="A166" s="10"/>
      <c r="B166" s="11"/>
      <c r="C166" s="10"/>
      <c r="D166" s="11"/>
      <c r="E166" s="10"/>
      <c r="F166" s="1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/>
      <c r="V166" s="11"/>
      <c r="W166" s="10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2.75" customHeight="1">
      <c r="A167" s="10"/>
      <c r="B167" s="11"/>
      <c r="C167" s="10"/>
      <c r="D167" s="11"/>
      <c r="E167" s="10"/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/>
      <c r="V167" s="11"/>
      <c r="W167" s="10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2.75" customHeight="1">
      <c r="A168" s="10"/>
      <c r="B168" s="11"/>
      <c r="C168" s="10"/>
      <c r="D168" s="11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/>
      <c r="V168" s="11"/>
      <c r="W168" s="10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2.75" customHeight="1">
      <c r="A169" s="10"/>
      <c r="B169" s="11"/>
      <c r="C169" s="10"/>
      <c r="D169" s="11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/>
      <c r="V169" s="11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2.75" customHeight="1">
      <c r="A170" s="10"/>
      <c r="B170" s="11"/>
      <c r="C170" s="10"/>
      <c r="D170" s="11"/>
      <c r="E170" s="10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/>
      <c r="V170" s="11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2.75" customHeight="1">
      <c r="A171" s="10"/>
      <c r="B171" s="11"/>
      <c r="C171" s="10"/>
      <c r="D171" s="11"/>
      <c r="E171" s="10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/>
      <c r="V171" s="11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2.75" customHeight="1">
      <c r="A172" s="10"/>
      <c r="B172" s="11"/>
      <c r="C172" s="10"/>
      <c r="D172" s="11"/>
      <c r="E172" s="10"/>
      <c r="F172" s="1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/>
      <c r="V172" s="11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2.75" customHeight="1">
      <c r="A173" s="10"/>
      <c r="B173" s="11"/>
      <c r="C173" s="10"/>
      <c r="D173" s="11"/>
      <c r="E173" s="10"/>
      <c r="F173" s="1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/>
      <c r="V173" s="11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2.75" customHeight="1">
      <c r="A174" s="10"/>
      <c r="B174" s="11"/>
      <c r="C174" s="10"/>
      <c r="D174" s="11"/>
      <c r="E174" s="10"/>
      <c r="F174" s="1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/>
      <c r="V174" s="11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2.75" customHeight="1">
      <c r="A175" s="10"/>
      <c r="B175" s="11"/>
      <c r="C175" s="10"/>
      <c r="D175" s="11"/>
      <c r="E175" s="10"/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/>
      <c r="V175" s="11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2.75" customHeight="1">
      <c r="A176" s="10"/>
      <c r="B176" s="11"/>
      <c r="C176" s="10"/>
      <c r="D176" s="11"/>
      <c r="E176" s="10"/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/>
      <c r="V176" s="11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2.75" customHeight="1">
      <c r="A177" s="10"/>
      <c r="B177" s="11"/>
      <c r="C177" s="10"/>
      <c r="D177" s="11"/>
      <c r="E177" s="10"/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/>
      <c r="V177" s="11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2.75" customHeight="1">
      <c r="A178" s="10"/>
      <c r="B178" s="11"/>
      <c r="C178" s="10"/>
      <c r="D178" s="11"/>
      <c r="E178" s="10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/>
      <c r="V178" s="11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2.75" customHeight="1">
      <c r="A179" s="10"/>
      <c r="B179" s="11"/>
      <c r="C179" s="10"/>
      <c r="D179" s="11"/>
      <c r="E179" s="10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/>
      <c r="V179" s="11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2.75" customHeight="1">
      <c r="A180" s="10"/>
      <c r="B180" s="11"/>
      <c r="C180" s="10"/>
      <c r="D180" s="11"/>
      <c r="E180" s="10"/>
      <c r="F180" s="1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/>
      <c r="V180" s="11"/>
      <c r="W180" s="10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2.75" customHeight="1">
      <c r="A181" s="10"/>
      <c r="B181" s="11"/>
      <c r="C181" s="10"/>
      <c r="D181" s="11"/>
      <c r="E181" s="10"/>
      <c r="F181" s="1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/>
      <c r="V181" s="11"/>
      <c r="W181" s="10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2.75" customHeight="1">
      <c r="A182" s="10"/>
      <c r="B182" s="11"/>
      <c r="C182" s="10"/>
      <c r="D182" s="11"/>
      <c r="E182" s="10"/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/>
      <c r="V182" s="11"/>
      <c r="W182" s="10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2.75" customHeight="1">
      <c r="A183" s="10"/>
      <c r="B183" s="11"/>
      <c r="C183" s="10"/>
      <c r="D183" s="11"/>
      <c r="E183" s="10"/>
      <c r="F183" s="1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/>
      <c r="V183" s="11"/>
      <c r="W183" s="10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2.75" customHeight="1">
      <c r="A184" s="10"/>
      <c r="B184" s="11"/>
      <c r="C184" s="10"/>
      <c r="D184" s="11"/>
      <c r="E184" s="10"/>
      <c r="F184" s="1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/>
      <c r="V184" s="11"/>
      <c r="W184" s="10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2.75" customHeight="1">
      <c r="A185" s="10"/>
      <c r="B185" s="11"/>
      <c r="C185" s="10"/>
      <c r="D185" s="11"/>
      <c r="E185" s="10"/>
      <c r="F185" s="1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/>
      <c r="V185" s="11"/>
      <c r="W185" s="10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2.75" customHeight="1">
      <c r="A186" s="10"/>
      <c r="B186" s="11"/>
      <c r="C186" s="10"/>
      <c r="D186" s="11"/>
      <c r="E186" s="10"/>
      <c r="F186" s="1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/>
      <c r="V186" s="11"/>
      <c r="W186" s="10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2.75" customHeight="1">
      <c r="A187" s="10"/>
      <c r="B187" s="11"/>
      <c r="C187" s="10"/>
      <c r="D187" s="11"/>
      <c r="E187" s="10"/>
      <c r="F187" s="1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/>
      <c r="V187" s="11"/>
      <c r="W187" s="10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2.75" customHeight="1">
      <c r="A188" s="10"/>
      <c r="B188" s="11"/>
      <c r="C188" s="10"/>
      <c r="D188" s="11"/>
      <c r="E188" s="10"/>
      <c r="F188" s="1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/>
      <c r="V188" s="11"/>
      <c r="W188" s="10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2.75" customHeight="1">
      <c r="A189" s="10"/>
      <c r="B189" s="11"/>
      <c r="C189" s="10"/>
      <c r="D189" s="11"/>
      <c r="E189" s="10"/>
      <c r="F189" s="1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/>
      <c r="V189" s="11"/>
      <c r="W189" s="10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2.75" customHeight="1">
      <c r="A190" s="10"/>
      <c r="B190" s="11"/>
      <c r="C190" s="10"/>
      <c r="D190" s="11"/>
      <c r="E190" s="10"/>
      <c r="F190" s="1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/>
      <c r="V190" s="11"/>
      <c r="W190" s="10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2.75" customHeight="1">
      <c r="A191" s="10"/>
      <c r="B191" s="11"/>
      <c r="C191" s="10"/>
      <c r="D191" s="11"/>
      <c r="E191" s="10"/>
      <c r="F191" s="1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/>
      <c r="V191" s="11"/>
      <c r="W191" s="10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2.75" customHeight="1">
      <c r="A192" s="10"/>
      <c r="B192" s="11"/>
      <c r="C192" s="10"/>
      <c r="D192" s="11"/>
      <c r="E192" s="10"/>
      <c r="F192" s="1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/>
      <c r="V192" s="11"/>
      <c r="W192" s="10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2.75" customHeight="1">
      <c r="A193" s="10"/>
      <c r="B193" s="11"/>
      <c r="C193" s="10"/>
      <c r="D193" s="11"/>
      <c r="E193" s="10"/>
      <c r="F193" s="1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/>
      <c r="V193" s="11"/>
      <c r="W193" s="10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2.75" customHeight="1">
      <c r="A194" s="10"/>
      <c r="B194" s="11"/>
      <c r="C194" s="10"/>
      <c r="D194" s="11"/>
      <c r="E194" s="10"/>
      <c r="F194" s="1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/>
      <c r="V194" s="11"/>
      <c r="W194" s="10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2.75" customHeight="1">
      <c r="A195" s="10"/>
      <c r="B195" s="11"/>
      <c r="C195" s="10"/>
      <c r="D195" s="11"/>
      <c r="E195" s="10"/>
      <c r="F195" s="1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/>
      <c r="V195" s="11"/>
      <c r="W195" s="10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2.75" customHeight="1">
      <c r="A196" s="10"/>
      <c r="B196" s="11"/>
      <c r="C196" s="10"/>
      <c r="D196" s="11"/>
      <c r="E196" s="10"/>
      <c r="F196" s="1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/>
      <c r="V196" s="11"/>
      <c r="W196" s="10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2.75" customHeight="1">
      <c r="A197" s="10"/>
      <c r="B197" s="11"/>
      <c r="C197" s="10"/>
      <c r="D197" s="11"/>
      <c r="E197" s="10"/>
      <c r="F197" s="1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/>
      <c r="V197" s="11"/>
      <c r="W197" s="10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2.75" customHeight="1">
      <c r="A198" s="10"/>
      <c r="B198" s="11"/>
      <c r="C198" s="10"/>
      <c r="D198" s="11"/>
      <c r="E198" s="10"/>
      <c r="F198" s="1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/>
      <c r="V198" s="11"/>
      <c r="W198" s="10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2.75" customHeight="1">
      <c r="A199" s="10"/>
      <c r="B199" s="11"/>
      <c r="C199" s="10"/>
      <c r="D199" s="11"/>
      <c r="E199" s="10"/>
      <c r="F199" s="1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/>
      <c r="V199" s="11"/>
      <c r="W199" s="10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2.75" customHeight="1">
      <c r="A200" s="10"/>
      <c r="B200" s="11"/>
      <c r="C200" s="10"/>
      <c r="D200" s="11"/>
      <c r="E200" s="10"/>
      <c r="F200" s="1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/>
      <c r="V200" s="11"/>
      <c r="W200" s="10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2.75" customHeight="1">
      <c r="A201" s="10"/>
      <c r="B201" s="11"/>
      <c r="C201" s="10"/>
      <c r="D201" s="11"/>
      <c r="E201" s="10"/>
      <c r="F201" s="1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/>
      <c r="V201" s="11"/>
      <c r="W201" s="10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2.75" customHeight="1">
      <c r="A202" s="10"/>
      <c r="B202" s="11"/>
      <c r="C202" s="10"/>
      <c r="D202" s="11"/>
      <c r="E202" s="10"/>
      <c r="F202" s="1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/>
      <c r="V202" s="11"/>
      <c r="W202" s="10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2.75" customHeight="1">
      <c r="A203" s="10"/>
      <c r="B203" s="11"/>
      <c r="C203" s="10"/>
      <c r="D203" s="11"/>
      <c r="E203" s="10"/>
      <c r="F203" s="1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0"/>
      <c r="V203" s="11"/>
      <c r="W203" s="10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2.75" customHeight="1">
      <c r="A204" s="10"/>
      <c r="B204" s="11"/>
      <c r="C204" s="10"/>
      <c r="D204" s="11"/>
      <c r="E204" s="10"/>
      <c r="F204" s="1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0"/>
      <c r="V204" s="11"/>
      <c r="W204" s="10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2.75" customHeight="1">
      <c r="A205" s="10"/>
      <c r="B205" s="11"/>
      <c r="C205" s="10"/>
      <c r="D205" s="11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0"/>
      <c r="V205" s="11"/>
      <c r="W205" s="10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2.75" customHeight="1">
      <c r="A206" s="10"/>
      <c r="B206" s="11"/>
      <c r="C206" s="10"/>
      <c r="D206" s="11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0"/>
      <c r="V206" s="11"/>
      <c r="W206" s="10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2.75" customHeight="1">
      <c r="A207" s="10"/>
      <c r="B207" s="11"/>
      <c r="C207" s="10"/>
      <c r="D207" s="11"/>
      <c r="E207" s="10"/>
      <c r="F207" s="1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0"/>
      <c r="V207" s="11"/>
      <c r="W207" s="10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2.75" customHeight="1">
      <c r="A208" s="10"/>
      <c r="B208" s="11"/>
      <c r="C208" s="10"/>
      <c r="D208" s="11"/>
      <c r="E208" s="10"/>
      <c r="F208" s="1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0"/>
      <c r="V208" s="11"/>
      <c r="W208" s="10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2.75" customHeight="1">
      <c r="A209" s="10"/>
      <c r="B209" s="11"/>
      <c r="C209" s="10"/>
      <c r="D209" s="11"/>
      <c r="E209" s="10"/>
      <c r="F209" s="1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0"/>
      <c r="V209" s="11"/>
      <c r="W209" s="10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2.75" customHeight="1">
      <c r="A210" s="10"/>
      <c r="B210" s="11"/>
      <c r="C210" s="10"/>
      <c r="D210" s="11"/>
      <c r="E210" s="10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0"/>
      <c r="V210" s="11"/>
      <c r="W210" s="10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2.75" customHeight="1">
      <c r="A211" s="10"/>
      <c r="B211" s="11"/>
      <c r="C211" s="10"/>
      <c r="D211" s="11"/>
      <c r="E211" s="10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0"/>
      <c r="V211" s="11"/>
      <c r="W211" s="10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2.75" customHeight="1">
      <c r="A212" s="10"/>
      <c r="B212" s="11"/>
      <c r="C212" s="10"/>
      <c r="D212" s="11"/>
      <c r="E212" s="10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0"/>
      <c r="V212" s="11"/>
      <c r="W212" s="10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2.75" customHeight="1">
      <c r="A213" s="10"/>
      <c r="B213" s="11"/>
      <c r="C213" s="10"/>
      <c r="D213" s="11"/>
      <c r="E213" s="10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0"/>
      <c r="V213" s="11"/>
      <c r="W213" s="10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2.75" customHeight="1">
      <c r="A214" s="10"/>
      <c r="B214" s="11"/>
      <c r="C214" s="10"/>
      <c r="D214" s="11"/>
      <c r="E214" s="10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0"/>
      <c r="V214" s="11"/>
      <c r="W214" s="10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2.75" customHeight="1">
      <c r="A215" s="10"/>
      <c r="B215" s="11"/>
      <c r="C215" s="10"/>
      <c r="D215" s="11"/>
      <c r="E215" s="10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0"/>
      <c r="V215" s="11"/>
      <c r="W215" s="10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2.75" customHeight="1">
      <c r="A216" s="10"/>
      <c r="B216" s="11"/>
      <c r="C216" s="10"/>
      <c r="D216" s="11"/>
      <c r="E216" s="10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0"/>
      <c r="V216" s="11"/>
      <c r="W216" s="10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2.75" customHeight="1">
      <c r="A217" s="10"/>
      <c r="B217" s="11"/>
      <c r="C217" s="10"/>
      <c r="D217" s="11"/>
      <c r="E217" s="10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0"/>
      <c r="V217" s="11"/>
      <c r="W217" s="10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2.75" customHeight="1">
      <c r="A218" s="10"/>
      <c r="B218" s="11"/>
      <c r="C218" s="10"/>
      <c r="D218" s="11"/>
      <c r="E218" s="10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0"/>
      <c r="V218" s="11"/>
      <c r="W218" s="10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2.75" customHeight="1">
      <c r="A219" s="10"/>
      <c r="B219" s="11"/>
      <c r="C219" s="10"/>
      <c r="D219" s="11"/>
      <c r="E219" s="10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0"/>
      <c r="V219" s="11"/>
      <c r="W219" s="10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2.75" customHeight="1">
      <c r="A220" s="10"/>
      <c r="B220" s="11"/>
      <c r="C220" s="10"/>
      <c r="D220" s="11"/>
      <c r="E220" s="10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0"/>
      <c r="V220" s="11"/>
      <c r="W220" s="10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2.75" customHeight="1">
      <c r="A221" s="10"/>
      <c r="B221" s="11"/>
      <c r="C221" s="10"/>
      <c r="D221" s="11"/>
      <c r="E221" s="10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0"/>
      <c r="V221" s="11"/>
      <c r="W221" s="10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2.75" customHeight="1">
      <c r="A222" s="10"/>
      <c r="B222" s="11"/>
      <c r="C222" s="10"/>
      <c r="D222" s="11"/>
      <c r="E222" s="10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0"/>
      <c r="V222" s="11"/>
      <c r="W222" s="10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2.75" customHeight="1">
      <c r="A223" s="10"/>
      <c r="B223" s="11"/>
      <c r="C223" s="10"/>
      <c r="D223" s="11"/>
      <c r="E223" s="10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0"/>
      <c r="V223" s="11"/>
      <c r="W223" s="10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2.75" customHeight="1">
      <c r="A224" s="10"/>
      <c r="B224" s="11"/>
      <c r="C224" s="10"/>
      <c r="D224" s="11"/>
      <c r="E224" s="10"/>
      <c r="F224" s="1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0"/>
      <c r="V224" s="11"/>
      <c r="W224" s="10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2.75" customHeight="1">
      <c r="A225" s="10"/>
      <c r="B225" s="11"/>
      <c r="C225" s="10"/>
      <c r="D225" s="11"/>
      <c r="E225" s="10"/>
      <c r="F225" s="1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0"/>
      <c r="V225" s="11"/>
      <c r="W225" s="10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2.75" customHeight="1">
      <c r="A226" s="10"/>
      <c r="B226" s="11"/>
      <c r="C226" s="10"/>
      <c r="D226" s="11"/>
      <c r="E226" s="10"/>
      <c r="F226" s="1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0"/>
      <c r="V226" s="11"/>
      <c r="W226" s="10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2.75" customHeight="1">
      <c r="A227" s="10"/>
      <c r="B227" s="11"/>
      <c r="C227" s="10"/>
      <c r="D227" s="11"/>
      <c r="E227" s="10"/>
      <c r="F227" s="1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0"/>
      <c r="V227" s="11"/>
      <c r="W227" s="10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2.75" customHeight="1">
      <c r="A228" s="10"/>
      <c r="B228" s="11"/>
      <c r="C228" s="10"/>
      <c r="D228" s="11"/>
      <c r="E228" s="10"/>
      <c r="F228" s="1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0"/>
      <c r="V228" s="11"/>
      <c r="W228" s="10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2.75" customHeight="1">
      <c r="A229" s="10"/>
      <c r="B229" s="11"/>
      <c r="C229" s="10"/>
      <c r="D229" s="11"/>
      <c r="E229" s="10"/>
      <c r="F229" s="1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0"/>
      <c r="V229" s="11"/>
      <c r="W229" s="10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2.75" customHeight="1">
      <c r="A230" s="10"/>
      <c r="B230" s="11"/>
      <c r="C230" s="10"/>
      <c r="D230" s="11"/>
      <c r="E230" s="10"/>
      <c r="F230" s="1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0"/>
      <c r="V230" s="11"/>
      <c r="W230" s="10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2.75" customHeight="1">
      <c r="A231" s="10"/>
      <c r="B231" s="11"/>
      <c r="C231" s="10"/>
      <c r="D231" s="11"/>
      <c r="E231" s="10"/>
      <c r="F231" s="1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0"/>
      <c r="V231" s="11"/>
      <c r="W231" s="10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2.75" customHeight="1">
      <c r="A232" s="10"/>
      <c r="B232" s="11"/>
      <c r="C232" s="10"/>
      <c r="D232" s="11"/>
      <c r="E232" s="10"/>
      <c r="F232" s="1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0"/>
      <c r="V232" s="11"/>
      <c r="W232" s="10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2.75" customHeight="1">
      <c r="A233" s="10"/>
      <c r="B233" s="11"/>
      <c r="C233" s="10"/>
      <c r="D233" s="11"/>
      <c r="E233" s="10"/>
      <c r="F233" s="1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0"/>
      <c r="V233" s="11"/>
      <c r="W233" s="10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2.75" customHeight="1">
      <c r="A234" s="10"/>
      <c r="B234" s="11"/>
      <c r="C234" s="10"/>
      <c r="D234" s="11"/>
      <c r="E234" s="10"/>
      <c r="F234" s="1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0"/>
      <c r="V234" s="11"/>
      <c r="W234" s="10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2.75" customHeight="1">
      <c r="A235" s="10"/>
      <c r="B235" s="11"/>
      <c r="C235" s="10"/>
      <c r="D235" s="11"/>
      <c r="E235" s="10"/>
      <c r="F235" s="1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0"/>
      <c r="V235" s="11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2.75" customHeight="1">
      <c r="A236" s="10"/>
      <c r="B236" s="11"/>
      <c r="C236" s="10"/>
      <c r="D236" s="11"/>
      <c r="E236" s="10"/>
      <c r="F236" s="1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0"/>
      <c r="V236" s="11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2.75" customHeight="1">
      <c r="A237" s="10"/>
      <c r="B237" s="11"/>
      <c r="C237" s="10"/>
      <c r="D237" s="11"/>
      <c r="E237" s="10"/>
      <c r="F237" s="1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0"/>
      <c r="V237" s="11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2.75" customHeight="1">
      <c r="A238" s="10"/>
      <c r="B238" s="11"/>
      <c r="C238" s="10"/>
      <c r="D238" s="11"/>
      <c r="E238" s="10"/>
      <c r="F238" s="1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0"/>
      <c r="V238" s="11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2.75" customHeight="1">
      <c r="A239" s="10"/>
      <c r="B239" s="11"/>
      <c r="C239" s="10"/>
      <c r="D239" s="11"/>
      <c r="E239" s="10"/>
      <c r="F239" s="1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0"/>
      <c r="V239" s="11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2.75" customHeight="1">
      <c r="A240" s="10"/>
      <c r="B240" s="11"/>
      <c r="C240" s="10"/>
      <c r="D240" s="11"/>
      <c r="E240" s="10"/>
      <c r="F240" s="1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0"/>
      <c r="V240" s="11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2.75" customHeight="1">
      <c r="A241" s="10"/>
      <c r="B241" s="11"/>
      <c r="C241" s="10"/>
      <c r="D241" s="11"/>
      <c r="E241" s="10"/>
      <c r="F241" s="1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0"/>
      <c r="V241" s="11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2.75" customHeight="1">
      <c r="A242" s="10"/>
      <c r="B242" s="11"/>
      <c r="C242" s="10"/>
      <c r="D242" s="11"/>
      <c r="E242" s="10"/>
      <c r="F242" s="1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0"/>
      <c r="V242" s="11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2.75" customHeight="1">
      <c r="A243" s="10"/>
      <c r="B243" s="11"/>
      <c r="C243" s="10"/>
      <c r="D243" s="11"/>
      <c r="E243" s="10"/>
      <c r="F243" s="1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0"/>
      <c r="V243" s="11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2.75" customHeight="1">
      <c r="A244" s="10"/>
      <c r="B244" s="11"/>
      <c r="C244" s="10"/>
      <c r="D244" s="11"/>
      <c r="E244" s="10"/>
      <c r="F244" s="1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0"/>
      <c r="V244" s="11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2.75" customHeight="1">
      <c r="A245" s="10"/>
      <c r="B245" s="11"/>
      <c r="C245" s="10"/>
      <c r="D245" s="11"/>
      <c r="E245" s="10"/>
      <c r="F245" s="1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0"/>
      <c r="V245" s="11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2.75" customHeight="1">
      <c r="A246" s="10"/>
      <c r="B246" s="11"/>
      <c r="C246" s="10"/>
      <c r="D246" s="11"/>
      <c r="E246" s="10"/>
      <c r="F246" s="1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0"/>
      <c r="V246" s="11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2.75" customHeight="1">
      <c r="A247" s="10"/>
      <c r="B247" s="11"/>
      <c r="C247" s="10"/>
      <c r="D247" s="11"/>
      <c r="E247" s="10"/>
      <c r="F247" s="1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0"/>
      <c r="V247" s="11"/>
      <c r="W247" s="10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2.75" customHeight="1">
      <c r="A248" s="10"/>
      <c r="B248" s="11"/>
      <c r="C248" s="10"/>
      <c r="D248" s="11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0"/>
      <c r="V248" s="11"/>
      <c r="W248" s="10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2.75" customHeight="1">
      <c r="A249" s="10"/>
      <c r="B249" s="11"/>
      <c r="C249" s="10"/>
      <c r="D249" s="11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0"/>
      <c r="V249" s="11"/>
      <c r="W249" s="10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2.75" customHeight="1">
      <c r="A250" s="10"/>
      <c r="B250" s="11"/>
      <c r="C250" s="10"/>
      <c r="D250" s="11"/>
      <c r="E250" s="10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0"/>
      <c r="V250" s="11"/>
      <c r="W250" s="10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2.75" customHeight="1">
      <c r="A251" s="10"/>
      <c r="B251" s="11"/>
      <c r="C251" s="10"/>
      <c r="D251" s="11"/>
      <c r="E251" s="10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0"/>
      <c r="V251" s="11"/>
      <c r="W251" s="10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2.75" customHeight="1">
      <c r="A252" s="10"/>
      <c r="B252" s="11"/>
      <c r="C252" s="10"/>
      <c r="D252" s="11"/>
      <c r="E252" s="10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0"/>
      <c r="V252" s="11"/>
      <c r="W252" s="10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2.75" customHeight="1">
      <c r="A253" s="10"/>
      <c r="B253" s="11"/>
      <c r="C253" s="10"/>
      <c r="D253" s="11"/>
      <c r="E253" s="10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0"/>
      <c r="V253" s="11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2.75" customHeight="1">
      <c r="A254" s="10"/>
      <c r="B254" s="11"/>
      <c r="C254" s="10"/>
      <c r="D254" s="11"/>
      <c r="E254" s="10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0"/>
      <c r="V254" s="11"/>
      <c r="W254" s="10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2.75" customHeight="1">
      <c r="A255" s="10"/>
      <c r="B255" s="11"/>
      <c r="C255" s="10"/>
      <c r="D255" s="11"/>
      <c r="E255" s="10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0"/>
      <c r="V255" s="11"/>
      <c r="W255" s="10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2.75" customHeight="1">
      <c r="A256" s="10"/>
      <c r="B256" s="11"/>
      <c r="C256" s="10"/>
      <c r="D256" s="11"/>
      <c r="E256" s="10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0"/>
      <c r="V256" s="11"/>
      <c r="W256" s="10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2.75" customHeight="1">
      <c r="A257" s="10"/>
      <c r="B257" s="11"/>
      <c r="C257" s="10"/>
      <c r="D257" s="11"/>
      <c r="E257" s="10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0"/>
      <c r="V257" s="11"/>
      <c r="W257" s="10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2.75" customHeight="1">
      <c r="A258" s="10"/>
      <c r="B258" s="11"/>
      <c r="C258" s="10"/>
      <c r="D258" s="11"/>
      <c r="E258" s="10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0"/>
      <c r="V258" s="11"/>
      <c r="W258" s="10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2.75" customHeight="1">
      <c r="A259" s="10"/>
      <c r="B259" s="11"/>
      <c r="C259" s="10"/>
      <c r="D259" s="11"/>
      <c r="E259" s="10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0"/>
      <c r="V259" s="11"/>
      <c r="W259" s="10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2.75" customHeight="1">
      <c r="A260" s="10"/>
      <c r="B260" s="11"/>
      <c r="C260" s="10"/>
      <c r="D260" s="11"/>
      <c r="E260" s="10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0"/>
      <c r="V260" s="11"/>
      <c r="W260" s="10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2.75" customHeight="1">
      <c r="A261" s="10"/>
      <c r="B261" s="11"/>
      <c r="C261" s="10"/>
      <c r="D261" s="11"/>
      <c r="E261" s="10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0"/>
      <c r="V261" s="11"/>
      <c r="W261" s="10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2.75" customHeight="1">
      <c r="A262" s="10"/>
      <c r="B262" s="11"/>
      <c r="C262" s="10"/>
      <c r="D262" s="11"/>
      <c r="E262" s="10"/>
      <c r="F262" s="1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0"/>
      <c r="V262" s="11"/>
      <c r="W262" s="10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2.75" customHeight="1">
      <c r="A263" s="10"/>
      <c r="B263" s="11"/>
      <c r="C263" s="10"/>
      <c r="D263" s="11"/>
      <c r="E263" s="10"/>
      <c r="F263" s="1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0"/>
      <c r="V263" s="11"/>
      <c r="W263" s="10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2.75" customHeight="1">
      <c r="A264" s="10"/>
      <c r="B264" s="11"/>
      <c r="C264" s="10"/>
      <c r="D264" s="11"/>
      <c r="E264" s="10"/>
      <c r="F264" s="1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0"/>
      <c r="V264" s="11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2.75" customHeight="1">
      <c r="A265" s="10"/>
      <c r="B265" s="11"/>
      <c r="C265" s="10"/>
      <c r="D265" s="11"/>
      <c r="E265" s="10"/>
      <c r="F265" s="1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0"/>
      <c r="V265" s="11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2.75" customHeight="1">
      <c r="A266" s="10"/>
      <c r="B266" s="11"/>
      <c r="C266" s="10"/>
      <c r="D266" s="11"/>
      <c r="E266" s="10"/>
      <c r="F266" s="1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0"/>
      <c r="V266" s="11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2.75" customHeight="1">
      <c r="A267" s="10"/>
      <c r="B267" s="11"/>
      <c r="C267" s="10"/>
      <c r="D267" s="11"/>
      <c r="E267" s="10"/>
      <c r="F267" s="1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0"/>
      <c r="V267" s="11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2.75" customHeight="1">
      <c r="A268" s="10"/>
      <c r="B268" s="11"/>
      <c r="C268" s="10"/>
      <c r="D268" s="11"/>
      <c r="E268" s="10"/>
      <c r="F268" s="1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0"/>
      <c r="V268" s="11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2.75" customHeight="1">
      <c r="A269" s="10"/>
      <c r="B269" s="11"/>
      <c r="C269" s="10"/>
      <c r="D269" s="11"/>
      <c r="E269" s="10"/>
      <c r="F269" s="1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0"/>
      <c r="V269" s="11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2.75" customHeight="1">
      <c r="A270" s="10"/>
      <c r="B270" s="11"/>
      <c r="C270" s="10"/>
      <c r="D270" s="11"/>
      <c r="E270" s="10"/>
      <c r="F270" s="1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0"/>
      <c r="V270" s="11"/>
      <c r="W270" s="10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2.75" customHeight="1">
      <c r="A271" s="10"/>
      <c r="B271" s="11"/>
      <c r="C271" s="10"/>
      <c r="D271" s="11"/>
      <c r="E271" s="10"/>
      <c r="F271" s="1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0"/>
      <c r="V271" s="11"/>
      <c r="W271" s="10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2.75" customHeight="1">
      <c r="A272" s="10"/>
      <c r="B272" s="11"/>
      <c r="C272" s="10"/>
      <c r="D272" s="11"/>
      <c r="E272" s="10"/>
      <c r="F272" s="1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0"/>
      <c r="V272" s="11"/>
      <c r="W272" s="10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2.75" customHeight="1">
      <c r="A273" s="10"/>
      <c r="B273" s="11"/>
      <c r="C273" s="10"/>
      <c r="D273" s="11"/>
      <c r="E273" s="10"/>
      <c r="F273" s="1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0"/>
      <c r="V273" s="11"/>
      <c r="W273" s="10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2.75" customHeight="1">
      <c r="A274" s="10"/>
      <c r="B274" s="11"/>
      <c r="C274" s="10"/>
      <c r="D274" s="11"/>
      <c r="E274" s="10"/>
      <c r="F274" s="1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0"/>
      <c r="V274" s="11"/>
      <c r="W274" s="10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2.75" customHeight="1">
      <c r="A275" s="10"/>
      <c r="B275" s="11"/>
      <c r="C275" s="10"/>
      <c r="D275" s="11"/>
      <c r="E275" s="10"/>
      <c r="F275" s="1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0"/>
      <c r="V275" s="11"/>
      <c r="W275" s="10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2.75" customHeight="1">
      <c r="A276" s="10"/>
      <c r="B276" s="11"/>
      <c r="C276" s="10"/>
      <c r="D276" s="11"/>
      <c r="E276" s="10"/>
      <c r="F276" s="1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0"/>
      <c r="V276" s="11"/>
      <c r="W276" s="10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2.75" customHeight="1">
      <c r="A277" s="10"/>
      <c r="B277" s="11"/>
      <c r="C277" s="10"/>
      <c r="D277" s="11"/>
      <c r="E277" s="10"/>
      <c r="F277" s="1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0"/>
      <c r="V277" s="11"/>
      <c r="W277" s="10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2.75" customHeight="1">
      <c r="A278" s="10"/>
      <c r="B278" s="11"/>
      <c r="C278" s="10"/>
      <c r="D278" s="11"/>
      <c r="E278" s="10"/>
      <c r="F278" s="1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0"/>
      <c r="V278" s="11"/>
      <c r="W278" s="10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2.75" customHeight="1">
      <c r="A279" s="10"/>
      <c r="B279" s="11"/>
      <c r="C279" s="10"/>
      <c r="D279" s="11"/>
      <c r="E279" s="10"/>
      <c r="F279" s="1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0"/>
      <c r="V279" s="11"/>
      <c r="W279" s="10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2.75" customHeight="1">
      <c r="A280" s="10"/>
      <c r="B280" s="11"/>
      <c r="C280" s="10"/>
      <c r="D280" s="11"/>
      <c r="E280" s="10"/>
      <c r="F280" s="1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0"/>
      <c r="V280" s="11"/>
      <c r="W280" s="10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2.75" customHeight="1">
      <c r="A281" s="10"/>
      <c r="B281" s="11"/>
      <c r="C281" s="10"/>
      <c r="D281" s="11"/>
      <c r="E281" s="10"/>
      <c r="F281" s="1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0"/>
      <c r="V281" s="11"/>
      <c r="W281" s="10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2.75" customHeight="1">
      <c r="A282" s="10"/>
      <c r="B282" s="11"/>
      <c r="C282" s="10"/>
      <c r="D282" s="11"/>
      <c r="E282" s="10"/>
      <c r="F282" s="1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0"/>
      <c r="V282" s="11"/>
      <c r="W282" s="10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2.75" customHeight="1">
      <c r="A283" s="10"/>
      <c r="B283" s="11"/>
      <c r="C283" s="10"/>
      <c r="D283" s="11"/>
      <c r="E283" s="10"/>
      <c r="F283" s="1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0"/>
      <c r="V283" s="11"/>
      <c r="W283" s="10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2.75" customHeight="1">
      <c r="A284" s="10"/>
      <c r="B284" s="11"/>
      <c r="C284" s="10"/>
      <c r="D284" s="11"/>
      <c r="E284" s="10"/>
      <c r="F284" s="1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0"/>
      <c r="V284" s="11"/>
      <c r="W284" s="10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2.75" customHeight="1">
      <c r="A285" s="10"/>
      <c r="B285" s="11"/>
      <c r="C285" s="10"/>
      <c r="D285" s="11"/>
      <c r="E285" s="10"/>
      <c r="F285" s="1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0"/>
      <c r="V285" s="11"/>
      <c r="W285" s="10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2.75" customHeight="1">
      <c r="A286" s="10"/>
      <c r="B286" s="11"/>
      <c r="C286" s="10"/>
      <c r="D286" s="11"/>
      <c r="E286" s="10"/>
      <c r="F286" s="1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0"/>
      <c r="V286" s="11"/>
      <c r="W286" s="10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2.75" customHeight="1">
      <c r="A287" s="10"/>
      <c r="B287" s="11"/>
      <c r="C287" s="10"/>
      <c r="D287" s="11"/>
      <c r="E287" s="10"/>
      <c r="F287" s="1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0"/>
      <c r="V287" s="11"/>
      <c r="W287" s="10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2.75" customHeight="1">
      <c r="A288" s="10"/>
      <c r="B288" s="11"/>
      <c r="C288" s="10"/>
      <c r="D288" s="11"/>
      <c r="E288" s="10"/>
      <c r="F288" s="1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0"/>
      <c r="V288" s="11"/>
      <c r="W288" s="10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2.75" customHeight="1">
      <c r="A289" s="10"/>
      <c r="B289" s="11"/>
      <c r="C289" s="10"/>
      <c r="D289" s="11"/>
      <c r="E289" s="10"/>
      <c r="F289" s="1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0"/>
      <c r="V289" s="11"/>
      <c r="W289" s="10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2.75" customHeight="1">
      <c r="A290" s="10"/>
      <c r="B290" s="11"/>
      <c r="C290" s="10"/>
      <c r="D290" s="11"/>
      <c r="E290" s="10"/>
      <c r="F290" s="1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0"/>
      <c r="V290" s="11"/>
      <c r="W290" s="10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2.75" customHeight="1">
      <c r="A291" s="10"/>
      <c r="B291" s="11"/>
      <c r="C291" s="10"/>
      <c r="D291" s="11"/>
      <c r="E291" s="10"/>
      <c r="F291" s="1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0"/>
      <c r="V291" s="11"/>
      <c r="W291" s="10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2.75" customHeight="1">
      <c r="A292" s="10"/>
      <c r="B292" s="11"/>
      <c r="C292" s="10"/>
      <c r="D292" s="11"/>
      <c r="E292" s="10"/>
      <c r="F292" s="1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0"/>
      <c r="V292" s="11"/>
      <c r="W292" s="10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2.75" customHeight="1">
      <c r="A293" s="10"/>
      <c r="B293" s="11"/>
      <c r="C293" s="10"/>
      <c r="D293" s="11"/>
      <c r="E293" s="10"/>
      <c r="F293" s="1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0"/>
      <c r="V293" s="11"/>
      <c r="W293" s="10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2.75" customHeight="1">
      <c r="A294" s="10"/>
      <c r="B294" s="11"/>
      <c r="C294" s="10"/>
      <c r="D294" s="11"/>
      <c r="E294" s="10"/>
      <c r="F294" s="1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0"/>
      <c r="V294" s="11"/>
      <c r="W294" s="10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2.75" customHeight="1">
      <c r="A295" s="10"/>
      <c r="B295" s="11"/>
      <c r="C295" s="10"/>
      <c r="D295" s="11"/>
      <c r="E295" s="10"/>
      <c r="F295" s="1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0"/>
      <c r="V295" s="11"/>
      <c r="W295" s="10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2.75" customHeight="1">
      <c r="A296" s="10"/>
      <c r="B296" s="11"/>
      <c r="C296" s="10"/>
      <c r="D296" s="11"/>
      <c r="E296" s="10"/>
      <c r="F296" s="1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0"/>
      <c r="V296" s="11"/>
      <c r="W296" s="10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2.75" customHeight="1">
      <c r="A297" s="10"/>
      <c r="B297" s="11"/>
      <c r="C297" s="10"/>
      <c r="D297" s="11"/>
      <c r="E297" s="10"/>
      <c r="F297" s="1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0"/>
      <c r="V297" s="11"/>
      <c r="W297" s="10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2.75" customHeight="1">
      <c r="A298" s="10"/>
      <c r="B298" s="11"/>
      <c r="C298" s="10"/>
      <c r="D298" s="11"/>
      <c r="E298" s="10"/>
      <c r="F298" s="1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0"/>
      <c r="V298" s="11"/>
      <c r="W298" s="10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2.75" customHeight="1">
      <c r="A299" s="10"/>
      <c r="B299" s="11"/>
      <c r="C299" s="10"/>
      <c r="D299" s="11"/>
      <c r="E299" s="10"/>
      <c r="F299" s="1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0"/>
      <c r="V299" s="11"/>
      <c r="W299" s="10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2.75" customHeight="1">
      <c r="A300" s="10"/>
      <c r="B300" s="11"/>
      <c r="C300" s="10"/>
      <c r="D300" s="11"/>
      <c r="E300" s="10"/>
      <c r="F300" s="1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0"/>
      <c r="V300" s="11"/>
      <c r="W300" s="10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2.75" customHeight="1">
      <c r="A301" s="10"/>
      <c r="B301" s="11"/>
      <c r="C301" s="10"/>
      <c r="D301" s="11"/>
      <c r="E301" s="10"/>
      <c r="F301" s="1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0"/>
      <c r="V301" s="11"/>
      <c r="W301" s="10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2.75" customHeight="1">
      <c r="A302" s="10"/>
      <c r="B302" s="11"/>
      <c r="C302" s="10"/>
      <c r="D302" s="11"/>
      <c r="E302" s="10"/>
      <c r="F302" s="1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0"/>
      <c r="V302" s="11"/>
      <c r="W302" s="10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2.75" customHeight="1">
      <c r="A303" s="10"/>
      <c r="B303" s="11"/>
      <c r="C303" s="10"/>
      <c r="D303" s="11"/>
      <c r="E303" s="10"/>
      <c r="F303" s="1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0"/>
      <c r="V303" s="11"/>
      <c r="W303" s="10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2.75" customHeight="1">
      <c r="A304" s="10"/>
      <c r="B304" s="11"/>
      <c r="C304" s="10"/>
      <c r="D304" s="11"/>
      <c r="E304" s="10"/>
      <c r="F304" s="1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0"/>
      <c r="V304" s="11"/>
      <c r="W304" s="10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2.75" customHeight="1">
      <c r="A305" s="10"/>
      <c r="B305" s="11"/>
      <c r="C305" s="10"/>
      <c r="D305" s="11"/>
      <c r="E305" s="10"/>
      <c r="F305" s="1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0"/>
      <c r="V305" s="11"/>
      <c r="W305" s="10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2.75" customHeight="1">
      <c r="A306" s="10"/>
      <c r="B306" s="11"/>
      <c r="C306" s="10"/>
      <c r="D306" s="11"/>
      <c r="E306" s="10"/>
      <c r="F306" s="1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0"/>
      <c r="V306" s="11"/>
      <c r="W306" s="10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2.75" customHeight="1">
      <c r="A307" s="10"/>
      <c r="B307" s="11"/>
      <c r="C307" s="10"/>
      <c r="D307" s="11"/>
      <c r="E307" s="10"/>
      <c r="F307" s="1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0"/>
      <c r="V307" s="11"/>
      <c r="W307" s="10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2.75" customHeight="1">
      <c r="A308" s="10"/>
      <c r="B308" s="11"/>
      <c r="C308" s="10"/>
      <c r="D308" s="11"/>
      <c r="E308" s="10"/>
      <c r="F308" s="1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0"/>
      <c r="V308" s="11"/>
      <c r="W308" s="10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2.75" customHeight="1">
      <c r="A309" s="10"/>
      <c r="B309" s="11"/>
      <c r="C309" s="10"/>
      <c r="D309" s="11"/>
      <c r="E309" s="10"/>
      <c r="F309" s="1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0"/>
      <c r="V309" s="11"/>
      <c r="W309" s="10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2.75" customHeight="1">
      <c r="A310" s="10"/>
      <c r="B310" s="11"/>
      <c r="C310" s="10"/>
      <c r="D310" s="11"/>
      <c r="E310" s="10"/>
      <c r="F310" s="1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0"/>
      <c r="V310" s="11"/>
      <c r="W310" s="10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2.75" customHeight="1">
      <c r="A311" s="10"/>
      <c r="B311" s="11"/>
      <c r="C311" s="10"/>
      <c r="D311" s="11"/>
      <c r="E311" s="10"/>
      <c r="F311" s="1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0"/>
      <c r="V311" s="11"/>
      <c r="W311" s="10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2.75" customHeight="1">
      <c r="A312" s="10"/>
      <c r="B312" s="11"/>
      <c r="C312" s="10"/>
      <c r="D312" s="11"/>
      <c r="E312" s="10"/>
      <c r="F312" s="1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0"/>
      <c r="V312" s="11"/>
      <c r="W312" s="10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2.75" customHeight="1">
      <c r="A313" s="10"/>
      <c r="B313" s="11"/>
      <c r="C313" s="10"/>
      <c r="D313" s="11"/>
      <c r="E313" s="10"/>
      <c r="F313" s="1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0"/>
      <c r="V313" s="11"/>
      <c r="W313" s="10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2.75" customHeight="1">
      <c r="A314" s="10"/>
      <c r="B314" s="11"/>
      <c r="C314" s="10"/>
      <c r="D314" s="11"/>
      <c r="E314" s="10"/>
      <c r="F314" s="1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0"/>
      <c r="V314" s="11"/>
      <c r="W314" s="10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2.75" customHeight="1">
      <c r="A315" s="10"/>
      <c r="B315" s="11"/>
      <c r="C315" s="10"/>
      <c r="D315" s="11"/>
      <c r="E315" s="10"/>
      <c r="F315" s="1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0"/>
      <c r="V315" s="11"/>
      <c r="W315" s="10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2.75" customHeight="1">
      <c r="A316" s="10"/>
      <c r="B316" s="11"/>
      <c r="C316" s="10"/>
      <c r="D316" s="11"/>
      <c r="E316" s="10"/>
      <c r="F316" s="1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0"/>
      <c r="V316" s="11"/>
      <c r="W316" s="10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2.75" customHeight="1">
      <c r="A317" s="10"/>
      <c r="B317" s="11"/>
      <c r="C317" s="10"/>
      <c r="D317" s="11"/>
      <c r="E317" s="10"/>
      <c r="F317" s="1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0"/>
      <c r="V317" s="11"/>
      <c r="W317" s="10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2.75" customHeight="1">
      <c r="A318" s="10"/>
      <c r="B318" s="11"/>
      <c r="C318" s="10"/>
      <c r="D318" s="11"/>
      <c r="E318" s="10"/>
      <c r="F318" s="1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0"/>
      <c r="V318" s="11"/>
      <c r="W318" s="10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2.75" customHeight="1">
      <c r="A319" s="10"/>
      <c r="B319" s="11"/>
      <c r="C319" s="10"/>
      <c r="D319" s="11"/>
      <c r="E319" s="10"/>
      <c r="F319" s="1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0"/>
      <c r="V319" s="11"/>
      <c r="W319" s="10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2.75" customHeight="1">
      <c r="A320" s="10"/>
      <c r="B320" s="11"/>
      <c r="C320" s="10"/>
      <c r="D320" s="11"/>
      <c r="E320" s="10"/>
      <c r="F320" s="1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0"/>
      <c r="V320" s="11"/>
      <c r="W320" s="10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2.75" customHeight="1">
      <c r="A321" s="10"/>
      <c r="B321" s="11"/>
      <c r="C321" s="10"/>
      <c r="D321" s="11"/>
      <c r="E321" s="10"/>
      <c r="F321" s="1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0"/>
      <c r="V321" s="11"/>
      <c r="W321" s="10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2.75" customHeight="1">
      <c r="A322" s="10"/>
      <c r="B322" s="11"/>
      <c r="C322" s="10"/>
      <c r="D322" s="11"/>
      <c r="E322" s="10"/>
      <c r="F322" s="1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0"/>
      <c r="V322" s="11"/>
      <c r="W322" s="10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2.75" customHeight="1">
      <c r="A323" s="10"/>
      <c r="B323" s="11"/>
      <c r="C323" s="10"/>
      <c r="D323" s="11"/>
      <c r="E323" s="10"/>
      <c r="F323" s="1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0"/>
      <c r="V323" s="11"/>
      <c r="W323" s="10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2.75" customHeight="1">
      <c r="A324" s="10"/>
      <c r="B324" s="11"/>
      <c r="C324" s="10"/>
      <c r="D324" s="11"/>
      <c r="E324" s="10"/>
      <c r="F324" s="1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0"/>
      <c r="V324" s="11"/>
      <c r="W324" s="10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2.75" customHeight="1">
      <c r="A325" s="10"/>
      <c r="B325" s="11"/>
      <c r="C325" s="10"/>
      <c r="D325" s="11"/>
      <c r="E325" s="10"/>
      <c r="F325" s="1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0"/>
      <c r="V325" s="11"/>
      <c r="W325" s="10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2.75" customHeight="1">
      <c r="A326" s="10"/>
      <c r="B326" s="11"/>
      <c r="C326" s="10"/>
      <c r="D326" s="11"/>
      <c r="E326" s="10"/>
      <c r="F326" s="1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0"/>
      <c r="V326" s="11"/>
      <c r="W326" s="10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2.75" customHeight="1">
      <c r="A327" s="10"/>
      <c r="B327" s="11"/>
      <c r="C327" s="10"/>
      <c r="D327" s="11"/>
      <c r="E327" s="10"/>
      <c r="F327" s="1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0"/>
      <c r="V327" s="11"/>
      <c r="W327" s="10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2.75" customHeight="1">
      <c r="A328" s="10"/>
      <c r="B328" s="11"/>
      <c r="C328" s="10"/>
      <c r="D328" s="11"/>
      <c r="E328" s="10"/>
      <c r="F328" s="1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0"/>
      <c r="V328" s="11"/>
      <c r="W328" s="10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2.75" customHeight="1">
      <c r="A329" s="10"/>
      <c r="B329" s="11"/>
      <c r="C329" s="10"/>
      <c r="D329" s="11"/>
      <c r="E329" s="10"/>
      <c r="F329" s="1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0"/>
      <c r="V329" s="11"/>
      <c r="W329" s="10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2.75" customHeight="1">
      <c r="A330" s="10"/>
      <c r="B330" s="11"/>
      <c r="C330" s="10"/>
      <c r="D330" s="11"/>
      <c r="E330" s="10"/>
      <c r="F330" s="1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0"/>
      <c r="V330" s="11"/>
      <c r="W330" s="10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2.75" customHeight="1">
      <c r="A331" s="10"/>
      <c r="B331" s="11"/>
      <c r="C331" s="10"/>
      <c r="D331" s="11"/>
      <c r="E331" s="10"/>
      <c r="F331" s="1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0"/>
      <c r="V331" s="11"/>
      <c r="W331" s="10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2.75" customHeight="1">
      <c r="A332" s="10"/>
      <c r="B332" s="11"/>
      <c r="C332" s="10"/>
      <c r="D332" s="11"/>
      <c r="E332" s="10"/>
      <c r="F332" s="1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0"/>
      <c r="V332" s="11"/>
      <c r="W332" s="10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2.75" customHeight="1">
      <c r="A333" s="10"/>
      <c r="B333" s="11"/>
      <c r="C333" s="10"/>
      <c r="D333" s="11"/>
      <c r="E333" s="10"/>
      <c r="F333" s="1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0"/>
      <c r="V333" s="11"/>
      <c r="W333" s="10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2.75" customHeight="1">
      <c r="A334" s="10"/>
      <c r="B334" s="11"/>
      <c r="C334" s="10"/>
      <c r="D334" s="11"/>
      <c r="E334" s="10"/>
      <c r="F334" s="1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0"/>
      <c r="V334" s="11"/>
      <c r="W334" s="10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2.75" customHeight="1">
      <c r="A335" s="10"/>
      <c r="B335" s="11"/>
      <c r="C335" s="10"/>
      <c r="D335" s="11"/>
      <c r="E335" s="10"/>
      <c r="F335" s="1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0"/>
      <c r="V335" s="11"/>
      <c r="W335" s="10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2.75" customHeight="1">
      <c r="A336" s="10"/>
      <c r="B336" s="11"/>
      <c r="C336" s="10"/>
      <c r="D336" s="11"/>
      <c r="E336" s="10"/>
      <c r="F336" s="1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0"/>
      <c r="V336" s="11"/>
      <c r="W336" s="10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2.75" customHeight="1">
      <c r="A337" s="10"/>
      <c r="B337" s="11"/>
      <c r="C337" s="10"/>
      <c r="D337" s="11"/>
      <c r="E337" s="10"/>
      <c r="F337" s="1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0"/>
      <c r="V337" s="11"/>
      <c r="W337" s="10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2.75" customHeight="1">
      <c r="A338" s="10"/>
      <c r="B338" s="11"/>
      <c r="C338" s="10"/>
      <c r="D338" s="11"/>
      <c r="E338" s="10"/>
      <c r="F338" s="1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0"/>
      <c r="V338" s="11"/>
      <c r="W338" s="10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2.75" customHeight="1">
      <c r="A339" s="10"/>
      <c r="B339" s="11"/>
      <c r="C339" s="10"/>
      <c r="D339" s="11"/>
      <c r="E339" s="10"/>
      <c r="F339" s="1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0"/>
      <c r="V339" s="11"/>
      <c r="W339" s="10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2.75" customHeight="1">
      <c r="A340" s="10"/>
      <c r="B340" s="11"/>
      <c r="C340" s="10"/>
      <c r="D340" s="11"/>
      <c r="E340" s="10"/>
      <c r="F340" s="1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0"/>
      <c r="V340" s="11"/>
      <c r="W340" s="10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2.75" customHeight="1">
      <c r="A341" s="10"/>
      <c r="B341" s="11"/>
      <c r="C341" s="10"/>
      <c r="D341" s="11"/>
      <c r="E341" s="10"/>
      <c r="F341" s="1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0"/>
      <c r="V341" s="11"/>
      <c r="W341" s="10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2.75" customHeight="1">
      <c r="A342" s="10"/>
      <c r="B342" s="11"/>
      <c r="C342" s="10"/>
      <c r="D342" s="11"/>
      <c r="E342" s="10"/>
      <c r="F342" s="1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0"/>
      <c r="V342" s="11"/>
      <c r="W342" s="10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2.75" customHeight="1">
      <c r="A343" s="10"/>
      <c r="B343" s="11"/>
      <c r="C343" s="10"/>
      <c r="D343" s="11"/>
      <c r="E343" s="10"/>
      <c r="F343" s="1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0"/>
      <c r="V343" s="11"/>
      <c r="W343" s="10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2.75" customHeight="1">
      <c r="A344" s="10"/>
      <c r="B344" s="11"/>
      <c r="C344" s="10"/>
      <c r="D344" s="11"/>
      <c r="E344" s="10"/>
      <c r="F344" s="1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0"/>
      <c r="V344" s="11"/>
      <c r="W344" s="10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2.75" customHeight="1">
      <c r="A345" s="10"/>
      <c r="B345" s="11"/>
      <c r="C345" s="10"/>
      <c r="D345" s="11"/>
      <c r="E345" s="10"/>
      <c r="F345" s="1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0"/>
      <c r="V345" s="11"/>
      <c r="W345" s="10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2.75" customHeight="1">
      <c r="A346" s="10"/>
      <c r="B346" s="11"/>
      <c r="C346" s="10"/>
      <c r="D346" s="11"/>
      <c r="E346" s="10"/>
      <c r="F346" s="1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0"/>
      <c r="V346" s="11"/>
      <c r="W346" s="10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2.75" customHeight="1">
      <c r="A347" s="10"/>
      <c r="B347" s="11"/>
      <c r="C347" s="10"/>
      <c r="D347" s="11"/>
      <c r="E347" s="10"/>
      <c r="F347" s="1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0"/>
      <c r="V347" s="11"/>
      <c r="W347" s="10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2.75" customHeight="1">
      <c r="A348" s="10"/>
      <c r="B348" s="11"/>
      <c r="C348" s="10"/>
      <c r="D348" s="11"/>
      <c r="E348" s="10"/>
      <c r="F348" s="1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0"/>
      <c r="V348" s="11"/>
      <c r="W348" s="10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2.75" customHeight="1">
      <c r="A349" s="10"/>
      <c r="B349" s="11"/>
      <c r="C349" s="10"/>
      <c r="D349" s="11"/>
      <c r="E349" s="10"/>
      <c r="F349" s="1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0"/>
      <c r="V349" s="11"/>
      <c r="W349" s="10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2.75" customHeight="1">
      <c r="A350" s="10"/>
      <c r="B350" s="11"/>
      <c r="C350" s="10"/>
      <c r="D350" s="11"/>
      <c r="E350" s="10"/>
      <c r="F350" s="1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0"/>
      <c r="V350" s="11"/>
      <c r="W350" s="10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2.75" customHeight="1">
      <c r="A351" s="10"/>
      <c r="B351" s="11"/>
      <c r="C351" s="10"/>
      <c r="D351" s="11"/>
      <c r="E351" s="10"/>
      <c r="F351" s="1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0"/>
      <c r="V351" s="11"/>
      <c r="W351" s="10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2.75" customHeight="1">
      <c r="A352" s="10"/>
      <c r="B352" s="11"/>
      <c r="C352" s="10"/>
      <c r="D352" s="11"/>
      <c r="E352" s="10"/>
      <c r="F352" s="1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0"/>
      <c r="V352" s="11"/>
      <c r="W352" s="10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2.75" customHeight="1">
      <c r="A353" s="10"/>
      <c r="B353" s="11"/>
      <c r="C353" s="10"/>
      <c r="D353" s="11"/>
      <c r="E353" s="10"/>
      <c r="F353" s="1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0"/>
      <c r="V353" s="11"/>
      <c r="W353" s="10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2.75" customHeight="1">
      <c r="A354" s="10"/>
      <c r="B354" s="11"/>
      <c r="C354" s="10"/>
      <c r="D354" s="11"/>
      <c r="E354" s="10"/>
      <c r="F354" s="1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0"/>
      <c r="V354" s="11"/>
      <c r="W354" s="10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2.75" customHeight="1">
      <c r="A355" s="10"/>
      <c r="B355" s="11"/>
      <c r="C355" s="10"/>
      <c r="D355" s="11"/>
      <c r="E355" s="10"/>
      <c r="F355" s="1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0"/>
      <c r="V355" s="11"/>
      <c r="W355" s="10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2.75" customHeight="1">
      <c r="A356" s="10"/>
      <c r="B356" s="11"/>
      <c r="C356" s="10"/>
      <c r="D356" s="11"/>
      <c r="E356" s="10"/>
      <c r="F356" s="1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0"/>
      <c r="V356" s="11"/>
      <c r="W356" s="10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2.75" customHeight="1">
      <c r="A357" s="10"/>
      <c r="B357" s="11"/>
      <c r="C357" s="10"/>
      <c r="D357" s="11"/>
      <c r="E357" s="10"/>
      <c r="F357" s="1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0"/>
      <c r="V357" s="11"/>
      <c r="W357" s="10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2.75" customHeight="1">
      <c r="A358" s="10"/>
      <c r="B358" s="11"/>
      <c r="C358" s="10"/>
      <c r="D358" s="11"/>
      <c r="E358" s="10"/>
      <c r="F358" s="1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0"/>
      <c r="V358" s="11"/>
      <c r="W358" s="10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2.75" customHeight="1">
      <c r="A359" s="10"/>
      <c r="B359" s="11"/>
      <c r="C359" s="10"/>
      <c r="D359" s="11"/>
      <c r="E359" s="10"/>
      <c r="F359" s="1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0"/>
      <c r="V359" s="11"/>
      <c r="W359" s="10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2.75" customHeight="1">
      <c r="A360" s="10"/>
      <c r="B360" s="11"/>
      <c r="C360" s="10"/>
      <c r="D360" s="11"/>
      <c r="E360" s="10"/>
      <c r="F360" s="1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0"/>
      <c r="V360" s="11"/>
      <c r="W360" s="10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2.75" customHeight="1">
      <c r="A361" s="10"/>
      <c r="B361" s="11"/>
      <c r="C361" s="10"/>
      <c r="D361" s="11"/>
      <c r="E361" s="10"/>
      <c r="F361" s="1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0"/>
      <c r="V361" s="11"/>
      <c r="W361" s="10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2.75" customHeight="1">
      <c r="A362" s="10"/>
      <c r="B362" s="11"/>
      <c r="C362" s="10"/>
      <c r="D362" s="11"/>
      <c r="E362" s="10"/>
      <c r="F362" s="1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0"/>
      <c r="V362" s="11"/>
      <c r="W362" s="10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2.75" customHeight="1">
      <c r="A363" s="10"/>
      <c r="B363" s="11"/>
      <c r="C363" s="10"/>
      <c r="D363" s="11"/>
      <c r="E363" s="10"/>
      <c r="F363" s="1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0"/>
      <c r="V363" s="11"/>
      <c r="W363" s="10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2.75" customHeight="1">
      <c r="A364" s="10"/>
      <c r="B364" s="11"/>
      <c r="C364" s="10"/>
      <c r="D364" s="11"/>
      <c r="E364" s="10"/>
      <c r="F364" s="1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0"/>
      <c r="V364" s="11"/>
      <c r="W364" s="10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2.75" customHeight="1">
      <c r="A365" s="10"/>
      <c r="B365" s="11"/>
      <c r="C365" s="10"/>
      <c r="D365" s="11"/>
      <c r="E365" s="10"/>
      <c r="F365" s="1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0"/>
      <c r="V365" s="11"/>
      <c r="W365" s="10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2.75" customHeight="1">
      <c r="A366" s="10"/>
      <c r="B366" s="11"/>
      <c r="C366" s="10"/>
      <c r="D366" s="11"/>
      <c r="E366" s="10"/>
      <c r="F366" s="1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0"/>
      <c r="V366" s="11"/>
      <c r="W366" s="10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2.75" customHeight="1">
      <c r="A367" s="10"/>
      <c r="B367" s="11"/>
      <c r="C367" s="10"/>
      <c r="D367" s="11"/>
      <c r="E367" s="10"/>
      <c r="F367" s="1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0"/>
      <c r="V367" s="11"/>
      <c r="W367" s="10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2.75" customHeight="1">
      <c r="A368" s="10"/>
      <c r="B368" s="11"/>
      <c r="C368" s="10"/>
      <c r="D368" s="11"/>
      <c r="E368" s="10"/>
      <c r="F368" s="1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0"/>
      <c r="V368" s="11"/>
      <c r="W368" s="10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2.75" customHeight="1">
      <c r="A369" s="10"/>
      <c r="B369" s="11"/>
      <c r="C369" s="10"/>
      <c r="D369" s="11"/>
      <c r="E369" s="10"/>
      <c r="F369" s="1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0"/>
      <c r="V369" s="11"/>
      <c r="W369" s="10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2.75" customHeight="1">
      <c r="A370" s="10"/>
      <c r="B370" s="11"/>
      <c r="C370" s="10"/>
      <c r="D370" s="11"/>
      <c r="E370" s="10"/>
      <c r="F370" s="1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0"/>
      <c r="V370" s="11"/>
      <c r="W370" s="10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2.75" customHeight="1">
      <c r="A371" s="10"/>
      <c r="B371" s="11"/>
      <c r="C371" s="10"/>
      <c r="D371" s="11"/>
      <c r="E371" s="10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0"/>
      <c r="V371" s="11"/>
      <c r="W371" s="10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2.75" customHeight="1">
      <c r="A372" s="10"/>
      <c r="B372" s="11"/>
      <c r="C372" s="10"/>
      <c r="D372" s="11"/>
      <c r="E372" s="10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0"/>
      <c r="V372" s="11"/>
      <c r="W372" s="10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2.75" customHeight="1">
      <c r="A373" s="10"/>
      <c r="B373" s="11"/>
      <c r="C373" s="10"/>
      <c r="D373" s="11"/>
      <c r="E373" s="10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0"/>
      <c r="V373" s="11"/>
      <c r="W373" s="10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2.75" customHeight="1">
      <c r="A374" s="10"/>
      <c r="B374" s="11"/>
      <c r="C374" s="10"/>
      <c r="D374" s="11"/>
      <c r="E374" s="10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0"/>
      <c r="V374" s="11"/>
      <c r="W374" s="10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2.75" customHeight="1">
      <c r="A375" s="10"/>
      <c r="B375" s="11"/>
      <c r="C375" s="10"/>
      <c r="D375" s="11"/>
      <c r="E375" s="10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0"/>
      <c r="V375" s="11"/>
      <c r="W375" s="10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2.75" customHeight="1">
      <c r="A376" s="10"/>
      <c r="B376" s="11"/>
      <c r="C376" s="10"/>
      <c r="D376" s="11"/>
      <c r="E376" s="10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0"/>
      <c r="V376" s="11"/>
      <c r="W376" s="10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2.75" customHeight="1">
      <c r="A377" s="10"/>
      <c r="B377" s="11"/>
      <c r="C377" s="10"/>
      <c r="D377" s="11"/>
      <c r="E377" s="10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0"/>
      <c r="V377" s="11"/>
      <c r="W377" s="10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2.75" customHeight="1">
      <c r="A378" s="10"/>
      <c r="B378" s="11"/>
      <c r="C378" s="10"/>
      <c r="D378" s="11"/>
      <c r="E378" s="10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0"/>
      <c r="V378" s="11"/>
      <c r="W378" s="10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2.75" customHeight="1">
      <c r="A379" s="10"/>
      <c r="B379" s="11"/>
      <c r="C379" s="10"/>
      <c r="D379" s="11"/>
      <c r="E379" s="10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0"/>
      <c r="V379" s="11"/>
      <c r="W379" s="10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2.75" customHeight="1">
      <c r="A380" s="10"/>
      <c r="B380" s="11"/>
      <c r="C380" s="10"/>
      <c r="D380" s="11"/>
      <c r="E380" s="10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0"/>
      <c r="V380" s="11"/>
      <c r="W380" s="10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2.75" customHeight="1">
      <c r="A381" s="10"/>
      <c r="B381" s="11"/>
      <c r="C381" s="10"/>
      <c r="D381" s="11"/>
      <c r="E381" s="10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0"/>
      <c r="V381" s="11"/>
      <c r="W381" s="10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2.75" customHeight="1">
      <c r="A382" s="10"/>
      <c r="B382" s="11"/>
      <c r="C382" s="10"/>
      <c r="D382" s="11"/>
      <c r="E382" s="10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0"/>
      <c r="V382" s="11"/>
      <c r="W382" s="10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2.75" customHeight="1">
      <c r="A383" s="10"/>
      <c r="B383" s="11"/>
      <c r="C383" s="10"/>
      <c r="D383" s="11"/>
      <c r="E383" s="10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0"/>
      <c r="V383" s="11"/>
      <c r="W383" s="10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2.75" customHeight="1">
      <c r="A384" s="10"/>
      <c r="B384" s="11"/>
      <c r="C384" s="10"/>
      <c r="D384" s="11"/>
      <c r="E384" s="10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0"/>
      <c r="V384" s="11"/>
      <c r="W384" s="10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2.75" customHeight="1">
      <c r="A385" s="10"/>
      <c r="B385" s="11"/>
      <c r="C385" s="10"/>
      <c r="D385" s="11"/>
      <c r="E385" s="10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0"/>
      <c r="V385" s="11"/>
      <c r="W385" s="10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2.75" customHeight="1">
      <c r="A386" s="10"/>
      <c r="B386" s="11"/>
      <c r="C386" s="10"/>
      <c r="D386" s="11"/>
      <c r="E386" s="10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0"/>
      <c r="V386" s="11"/>
      <c r="W386" s="10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2.75" customHeight="1">
      <c r="A387" s="10"/>
      <c r="B387" s="11"/>
      <c r="C387" s="10"/>
      <c r="D387" s="11"/>
      <c r="E387" s="10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0"/>
      <c r="V387" s="11"/>
      <c r="W387" s="10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2.75" customHeight="1">
      <c r="A388" s="10"/>
      <c r="B388" s="11"/>
      <c r="C388" s="10"/>
      <c r="D388" s="11"/>
      <c r="E388" s="10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0"/>
      <c r="V388" s="11"/>
      <c r="W388" s="10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2.75" customHeight="1">
      <c r="A389" s="10"/>
      <c r="B389" s="11"/>
      <c r="C389" s="10"/>
      <c r="D389" s="11"/>
      <c r="E389" s="10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0"/>
      <c r="V389" s="11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2.75" customHeight="1">
      <c r="A390" s="10"/>
      <c r="B390" s="11"/>
      <c r="C390" s="10"/>
      <c r="D390" s="11"/>
      <c r="E390" s="10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0"/>
      <c r="V390" s="11"/>
      <c r="W390" s="10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2.75" customHeight="1">
      <c r="A391" s="10"/>
      <c r="B391" s="11"/>
      <c r="C391" s="10"/>
      <c r="D391" s="11"/>
      <c r="E391" s="10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0"/>
      <c r="V391" s="11"/>
      <c r="W391" s="10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2.75" customHeight="1">
      <c r="A392" s="10"/>
      <c r="B392" s="11"/>
      <c r="C392" s="10"/>
      <c r="D392" s="11"/>
      <c r="E392" s="10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0"/>
      <c r="V392" s="11"/>
      <c r="W392" s="10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2.75" customHeight="1">
      <c r="A393" s="10"/>
      <c r="B393" s="11"/>
      <c r="C393" s="10"/>
      <c r="D393" s="11"/>
      <c r="E393" s="10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0"/>
      <c r="V393" s="11"/>
      <c r="W393" s="10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2.75" customHeight="1">
      <c r="A394" s="10"/>
      <c r="B394" s="11"/>
      <c r="C394" s="10"/>
      <c r="D394" s="11"/>
      <c r="E394" s="10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0"/>
      <c r="V394" s="11"/>
      <c r="W394" s="10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2.75" customHeight="1">
      <c r="A395" s="10"/>
      <c r="B395" s="11"/>
      <c r="C395" s="10"/>
      <c r="D395" s="11"/>
      <c r="E395" s="10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0"/>
      <c r="V395" s="11"/>
      <c r="W395" s="10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2.75" customHeight="1">
      <c r="A396" s="10"/>
      <c r="B396" s="11"/>
      <c r="C396" s="10"/>
      <c r="D396" s="11"/>
      <c r="E396" s="10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0"/>
      <c r="V396" s="11"/>
      <c r="W396" s="10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2.75" customHeight="1">
      <c r="A397" s="10"/>
      <c r="B397" s="11"/>
      <c r="C397" s="10"/>
      <c r="D397" s="11"/>
      <c r="E397" s="10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0"/>
      <c r="V397" s="11"/>
      <c r="W397" s="10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2.75" customHeight="1">
      <c r="A398" s="10"/>
      <c r="B398" s="11"/>
      <c r="C398" s="10"/>
      <c r="D398" s="11"/>
      <c r="E398" s="10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0"/>
      <c r="V398" s="11"/>
      <c r="W398" s="10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2.75" customHeight="1">
      <c r="A399" s="10"/>
      <c r="B399" s="11"/>
      <c r="C399" s="10"/>
      <c r="D399" s="11"/>
      <c r="E399" s="10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0"/>
      <c r="V399" s="11"/>
      <c r="W399" s="10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2.75" customHeight="1">
      <c r="A400" s="10"/>
      <c r="B400" s="11"/>
      <c r="C400" s="10"/>
      <c r="D400" s="11"/>
      <c r="E400" s="10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0"/>
      <c r="V400" s="11"/>
      <c r="W400" s="10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2.75" customHeight="1">
      <c r="A401" s="10"/>
      <c r="B401" s="11"/>
      <c r="C401" s="10"/>
      <c r="D401" s="11"/>
      <c r="E401" s="10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0"/>
      <c r="V401" s="11"/>
      <c r="W401" s="10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2.75" customHeight="1">
      <c r="A402" s="10"/>
      <c r="B402" s="11"/>
      <c r="C402" s="10"/>
      <c r="D402" s="11"/>
      <c r="E402" s="10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0"/>
      <c r="V402" s="11"/>
      <c r="W402" s="10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2.75" customHeight="1">
      <c r="A403" s="10"/>
      <c r="B403" s="11"/>
      <c r="C403" s="10"/>
      <c r="D403" s="11"/>
      <c r="E403" s="10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0"/>
      <c r="V403" s="11"/>
      <c r="W403" s="10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2.75" customHeight="1">
      <c r="A404" s="10"/>
      <c r="B404" s="11"/>
      <c r="C404" s="10"/>
      <c r="D404" s="11"/>
      <c r="E404" s="10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0"/>
      <c r="V404" s="11"/>
      <c r="W404" s="10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2.75" customHeight="1">
      <c r="A405" s="10"/>
      <c r="B405" s="11"/>
      <c r="C405" s="10"/>
      <c r="D405" s="11"/>
      <c r="E405" s="10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0"/>
      <c r="V405" s="11"/>
      <c r="W405" s="10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2.75" customHeight="1">
      <c r="A406" s="10"/>
      <c r="B406" s="11"/>
      <c r="C406" s="10"/>
      <c r="D406" s="11"/>
      <c r="E406" s="10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0"/>
      <c r="V406" s="11"/>
      <c r="W406" s="10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2.75" customHeight="1">
      <c r="A407" s="10"/>
      <c r="B407" s="11"/>
      <c r="C407" s="10"/>
      <c r="D407" s="11"/>
      <c r="E407" s="10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0"/>
      <c r="V407" s="11"/>
      <c r="W407" s="10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2.75" customHeight="1">
      <c r="A408" s="10"/>
      <c r="B408" s="11"/>
      <c r="C408" s="10"/>
      <c r="D408" s="11"/>
      <c r="E408" s="10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0"/>
      <c r="V408" s="11"/>
      <c r="W408" s="10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2.75" customHeight="1">
      <c r="A409" s="10"/>
      <c r="B409" s="11"/>
      <c r="C409" s="10"/>
      <c r="D409" s="11"/>
      <c r="E409" s="10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0"/>
      <c r="V409" s="11"/>
      <c r="W409" s="10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2.75" customHeight="1">
      <c r="A410" s="10"/>
      <c r="B410" s="11"/>
      <c r="C410" s="10"/>
      <c r="D410" s="11"/>
      <c r="E410" s="10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0"/>
      <c r="V410" s="11"/>
      <c r="W410" s="10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2.75" customHeight="1">
      <c r="A411" s="10"/>
      <c r="B411" s="11"/>
      <c r="C411" s="10"/>
      <c r="D411" s="11"/>
      <c r="E411" s="10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0"/>
      <c r="V411" s="11"/>
      <c r="W411" s="10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2.75" customHeight="1">
      <c r="A412" s="10"/>
      <c r="B412" s="11"/>
      <c r="C412" s="10"/>
      <c r="D412" s="11"/>
      <c r="E412" s="10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0"/>
      <c r="V412" s="11"/>
      <c r="W412" s="10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2.75" customHeight="1">
      <c r="A413" s="10"/>
      <c r="B413" s="11"/>
      <c r="C413" s="10"/>
      <c r="D413" s="11"/>
      <c r="E413" s="10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0"/>
      <c r="V413" s="11"/>
      <c r="W413" s="10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2.75" customHeight="1">
      <c r="A414" s="10"/>
      <c r="B414" s="11"/>
      <c r="C414" s="10"/>
      <c r="D414" s="11"/>
      <c r="E414" s="10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0"/>
      <c r="V414" s="11"/>
      <c r="W414" s="10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2.75" customHeight="1">
      <c r="A415" s="10"/>
      <c r="B415" s="11"/>
      <c r="C415" s="10"/>
      <c r="D415" s="11"/>
      <c r="E415" s="10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0"/>
      <c r="V415" s="11"/>
      <c r="W415" s="10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2.75" customHeight="1">
      <c r="A416" s="10"/>
      <c r="B416" s="11"/>
      <c r="C416" s="10"/>
      <c r="D416" s="11"/>
      <c r="E416" s="10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0"/>
      <c r="V416" s="11"/>
      <c r="W416" s="10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2.75" customHeight="1">
      <c r="A417" s="10"/>
      <c r="B417" s="11"/>
      <c r="C417" s="10"/>
      <c r="D417" s="11"/>
      <c r="E417" s="10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0"/>
      <c r="V417" s="11"/>
      <c r="W417" s="10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2.75" customHeight="1">
      <c r="A418" s="10"/>
      <c r="B418" s="11"/>
      <c r="C418" s="10"/>
      <c r="D418" s="11"/>
      <c r="E418" s="10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0"/>
      <c r="V418" s="11"/>
      <c r="W418" s="10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2.75" customHeight="1">
      <c r="A419" s="10"/>
      <c r="B419" s="11"/>
      <c r="C419" s="10"/>
      <c r="D419" s="11"/>
      <c r="E419" s="10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0"/>
      <c r="V419" s="11"/>
      <c r="W419" s="10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2.75" customHeight="1">
      <c r="A420" s="10"/>
      <c r="B420" s="11"/>
      <c r="C420" s="10"/>
      <c r="D420" s="11"/>
      <c r="E420" s="10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0"/>
      <c r="V420" s="11"/>
      <c r="W420" s="10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2.75" customHeight="1">
      <c r="A421" s="10"/>
      <c r="B421" s="11"/>
      <c r="C421" s="10"/>
      <c r="D421" s="11"/>
      <c r="E421" s="10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0"/>
      <c r="V421" s="11"/>
      <c r="W421" s="10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2.75" customHeight="1">
      <c r="A422" s="10"/>
      <c r="B422" s="11"/>
      <c r="C422" s="10"/>
      <c r="D422" s="11"/>
      <c r="E422" s="10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0"/>
      <c r="V422" s="11"/>
      <c r="W422" s="10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2.75" customHeight="1">
      <c r="A423" s="10"/>
      <c r="B423" s="11"/>
      <c r="C423" s="10"/>
      <c r="D423" s="11"/>
      <c r="E423" s="10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0"/>
      <c r="V423" s="11"/>
      <c r="W423" s="10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2.75" customHeight="1">
      <c r="A424" s="10"/>
      <c r="B424" s="11"/>
      <c r="C424" s="10"/>
      <c r="D424" s="11"/>
      <c r="E424" s="10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0"/>
      <c r="V424" s="11"/>
      <c r="W424" s="10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2.75" customHeight="1">
      <c r="A425" s="10"/>
      <c r="B425" s="11"/>
      <c r="C425" s="10"/>
      <c r="D425" s="11"/>
      <c r="E425" s="10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0"/>
      <c r="V425" s="11"/>
      <c r="W425" s="10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2.75" customHeight="1">
      <c r="A426" s="10"/>
      <c r="B426" s="11"/>
      <c r="C426" s="10"/>
      <c r="D426" s="11"/>
      <c r="E426" s="10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0"/>
      <c r="V426" s="11"/>
      <c r="W426" s="10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2.75" customHeight="1">
      <c r="A427" s="10"/>
      <c r="B427" s="11"/>
      <c r="C427" s="10"/>
      <c r="D427" s="11"/>
      <c r="E427" s="10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0"/>
      <c r="V427" s="11"/>
      <c r="W427" s="10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2.75" customHeight="1">
      <c r="A428" s="10"/>
      <c r="B428" s="11"/>
      <c r="C428" s="10"/>
      <c r="D428" s="11"/>
      <c r="E428" s="10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0"/>
      <c r="V428" s="11"/>
      <c r="W428" s="10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2.75" customHeight="1">
      <c r="A429" s="10"/>
      <c r="B429" s="11"/>
      <c r="C429" s="10"/>
      <c r="D429" s="11"/>
      <c r="E429" s="10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0"/>
      <c r="V429" s="11"/>
      <c r="W429" s="10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2.75" customHeight="1">
      <c r="A430" s="10"/>
      <c r="B430" s="11"/>
      <c r="C430" s="10"/>
      <c r="D430" s="11"/>
      <c r="E430" s="10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0"/>
      <c r="V430" s="11"/>
      <c r="W430" s="10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2.75" customHeight="1">
      <c r="A431" s="10"/>
      <c r="B431" s="11"/>
      <c r="C431" s="10"/>
      <c r="D431" s="11"/>
      <c r="E431" s="10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0"/>
      <c r="V431" s="11"/>
      <c r="W431" s="10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2.75" customHeight="1">
      <c r="A432" s="10"/>
      <c r="B432" s="11"/>
      <c r="C432" s="10"/>
      <c r="D432" s="11"/>
      <c r="E432" s="10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0"/>
      <c r="V432" s="11"/>
      <c r="W432" s="10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2.75" customHeight="1">
      <c r="A433" s="10"/>
      <c r="B433" s="11"/>
      <c r="C433" s="10"/>
      <c r="D433" s="11"/>
      <c r="E433" s="10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0"/>
      <c r="V433" s="11"/>
      <c r="W433" s="10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2.75" customHeight="1">
      <c r="A434" s="10"/>
      <c r="B434" s="11"/>
      <c r="C434" s="10"/>
      <c r="D434" s="11"/>
      <c r="E434" s="10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0"/>
      <c r="V434" s="11"/>
      <c r="W434" s="10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2.75" customHeight="1">
      <c r="A435" s="10"/>
      <c r="B435" s="11"/>
      <c r="C435" s="10"/>
      <c r="D435" s="11"/>
      <c r="E435" s="10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0"/>
      <c r="V435" s="11"/>
      <c r="W435" s="10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2.75" customHeight="1">
      <c r="A436" s="10"/>
      <c r="B436" s="11"/>
      <c r="C436" s="10"/>
      <c r="D436" s="11"/>
      <c r="E436" s="10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0"/>
      <c r="V436" s="11"/>
      <c r="W436" s="10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2.75" customHeight="1">
      <c r="A437" s="10"/>
      <c r="B437" s="11"/>
      <c r="C437" s="10"/>
      <c r="D437" s="11"/>
      <c r="E437" s="10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0"/>
      <c r="V437" s="11"/>
      <c r="W437" s="10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2.75" customHeight="1">
      <c r="A438" s="10"/>
      <c r="B438" s="11"/>
      <c r="C438" s="10"/>
      <c r="D438" s="11"/>
      <c r="E438" s="10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0"/>
      <c r="V438" s="11"/>
      <c r="W438" s="10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2.75" customHeight="1">
      <c r="A439" s="10"/>
      <c r="B439" s="11"/>
      <c r="C439" s="10"/>
      <c r="D439" s="11"/>
      <c r="E439" s="10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0"/>
      <c r="V439" s="11"/>
      <c r="W439" s="10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2.75" customHeight="1">
      <c r="A440" s="10"/>
      <c r="B440" s="11"/>
      <c r="C440" s="10"/>
      <c r="D440" s="11"/>
      <c r="E440" s="10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0"/>
      <c r="V440" s="11"/>
      <c r="W440" s="10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2.75" customHeight="1">
      <c r="A441" s="10"/>
      <c r="B441" s="11"/>
      <c r="C441" s="10"/>
      <c r="D441" s="11"/>
      <c r="E441" s="10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0"/>
      <c r="V441" s="11"/>
      <c r="W441" s="10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2.75" customHeight="1">
      <c r="A442" s="10"/>
      <c r="B442" s="11"/>
      <c r="C442" s="10"/>
      <c r="D442" s="11"/>
      <c r="E442" s="10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0"/>
      <c r="V442" s="11"/>
      <c r="W442" s="10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2.75" customHeight="1">
      <c r="A443" s="10"/>
      <c r="B443" s="11"/>
      <c r="C443" s="10"/>
      <c r="D443" s="11"/>
      <c r="E443" s="10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0"/>
      <c r="V443" s="11"/>
      <c r="W443" s="10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2.75" customHeight="1">
      <c r="A444" s="10"/>
      <c r="B444" s="11"/>
      <c r="C444" s="10"/>
      <c r="D444" s="11"/>
      <c r="E444" s="10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0"/>
      <c r="V444" s="11"/>
      <c r="W444" s="10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2.75" customHeight="1">
      <c r="A445" s="10"/>
      <c r="B445" s="11"/>
      <c r="C445" s="10"/>
      <c r="D445" s="11"/>
      <c r="E445" s="10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0"/>
      <c r="V445" s="11"/>
      <c r="W445" s="10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2.75" customHeight="1">
      <c r="A446" s="10"/>
      <c r="B446" s="11"/>
      <c r="C446" s="10"/>
      <c r="D446" s="11"/>
      <c r="E446" s="10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0"/>
      <c r="V446" s="11"/>
      <c r="W446" s="10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2.75" customHeight="1">
      <c r="A447" s="10"/>
      <c r="B447" s="11"/>
      <c r="C447" s="10"/>
      <c r="D447" s="11"/>
      <c r="E447" s="10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0"/>
      <c r="V447" s="11"/>
      <c r="W447" s="10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2.75" customHeight="1">
      <c r="A448" s="10"/>
      <c r="B448" s="11"/>
      <c r="C448" s="10"/>
      <c r="D448" s="11"/>
      <c r="E448" s="10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0"/>
      <c r="V448" s="11"/>
      <c r="W448" s="10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2.75" customHeight="1">
      <c r="A449" s="10"/>
      <c r="B449" s="11"/>
      <c r="C449" s="10"/>
      <c r="D449" s="11"/>
      <c r="E449" s="10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0"/>
      <c r="V449" s="11"/>
      <c r="W449" s="10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2.75" customHeight="1">
      <c r="A450" s="10"/>
      <c r="B450" s="11"/>
      <c r="C450" s="10"/>
      <c r="D450" s="11"/>
      <c r="E450" s="10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0"/>
      <c r="V450" s="11"/>
      <c r="W450" s="10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2.75" customHeight="1">
      <c r="A451" s="10"/>
      <c r="B451" s="11"/>
      <c r="C451" s="10"/>
      <c r="D451" s="11"/>
      <c r="E451" s="10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0"/>
      <c r="V451" s="11"/>
      <c r="W451" s="10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2.75" customHeight="1">
      <c r="A452" s="10"/>
      <c r="B452" s="11"/>
      <c r="C452" s="10"/>
      <c r="D452" s="11"/>
      <c r="E452" s="10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0"/>
      <c r="V452" s="11"/>
      <c r="W452" s="10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2.75" customHeight="1">
      <c r="A453" s="10"/>
      <c r="B453" s="11"/>
      <c r="C453" s="10"/>
      <c r="D453" s="11"/>
      <c r="E453" s="10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0"/>
      <c r="V453" s="11"/>
      <c r="W453" s="10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2.75" customHeight="1">
      <c r="A454" s="10"/>
      <c r="B454" s="11"/>
      <c r="C454" s="10"/>
      <c r="D454" s="11"/>
      <c r="E454" s="10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0"/>
      <c r="V454" s="11"/>
      <c r="W454" s="10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2.75" customHeight="1">
      <c r="A455" s="10"/>
      <c r="B455" s="11"/>
      <c r="C455" s="10"/>
      <c r="D455" s="11"/>
      <c r="E455" s="10"/>
      <c r="F455" s="1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0"/>
      <c r="V455" s="11"/>
      <c r="W455" s="10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2.75" customHeight="1">
      <c r="A456" s="10"/>
      <c r="B456" s="11"/>
      <c r="C456" s="10"/>
      <c r="D456" s="11"/>
      <c r="E456" s="10"/>
      <c r="F456" s="1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0"/>
      <c r="V456" s="11"/>
      <c r="W456" s="10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2.75" customHeight="1">
      <c r="A457" s="10"/>
      <c r="B457" s="11"/>
      <c r="C457" s="10"/>
      <c r="D457" s="11"/>
      <c r="E457" s="10"/>
      <c r="F457" s="1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0"/>
      <c r="V457" s="11"/>
      <c r="W457" s="10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2.75" customHeight="1">
      <c r="A458" s="10"/>
      <c r="B458" s="11"/>
      <c r="C458" s="10"/>
      <c r="D458" s="11"/>
      <c r="E458" s="10"/>
      <c r="F458" s="1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0"/>
      <c r="V458" s="11"/>
      <c r="W458" s="10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2.75" customHeight="1">
      <c r="A459" s="10"/>
      <c r="B459" s="11"/>
      <c r="C459" s="10"/>
      <c r="D459" s="11"/>
      <c r="E459" s="10"/>
      <c r="F459" s="1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0"/>
      <c r="V459" s="11"/>
      <c r="W459" s="10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2.75" customHeight="1">
      <c r="A460" s="10"/>
      <c r="B460" s="11"/>
      <c r="C460" s="10"/>
      <c r="D460" s="11"/>
      <c r="E460" s="10"/>
      <c r="F460" s="1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0"/>
      <c r="V460" s="11"/>
      <c r="W460" s="10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2.75" customHeight="1">
      <c r="A461" s="10"/>
      <c r="B461" s="11"/>
      <c r="C461" s="10"/>
      <c r="D461" s="11"/>
      <c r="E461" s="10"/>
      <c r="F461" s="1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0"/>
      <c r="V461" s="11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2.75" customHeight="1">
      <c r="A462" s="10"/>
      <c r="B462" s="11"/>
      <c r="C462" s="10"/>
      <c r="D462" s="11"/>
      <c r="E462" s="10"/>
      <c r="F462" s="1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0"/>
      <c r="V462" s="11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2.75" customHeight="1">
      <c r="A463" s="10"/>
      <c r="B463" s="11"/>
      <c r="C463" s="10"/>
      <c r="D463" s="11"/>
      <c r="E463" s="10"/>
      <c r="F463" s="1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0"/>
      <c r="V463" s="11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2.75" customHeight="1">
      <c r="A464" s="10"/>
      <c r="B464" s="11"/>
      <c r="C464" s="10"/>
      <c r="D464" s="11"/>
      <c r="E464" s="10"/>
      <c r="F464" s="1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0"/>
      <c r="V464" s="11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2.75" customHeight="1">
      <c r="A465" s="10"/>
      <c r="B465" s="11"/>
      <c r="C465" s="10"/>
      <c r="D465" s="11"/>
      <c r="E465" s="10"/>
      <c r="F465" s="1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0"/>
      <c r="V465" s="11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2.75" customHeight="1">
      <c r="A466" s="10"/>
      <c r="B466" s="11"/>
      <c r="C466" s="10"/>
      <c r="D466" s="11"/>
      <c r="E466" s="10"/>
      <c r="F466" s="1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0"/>
      <c r="V466" s="11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2.75" customHeight="1">
      <c r="A467" s="10"/>
      <c r="B467" s="11"/>
      <c r="C467" s="10"/>
      <c r="D467" s="11"/>
      <c r="E467" s="10"/>
      <c r="F467" s="1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0"/>
      <c r="V467" s="11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2.75" customHeight="1">
      <c r="A468" s="10"/>
      <c r="B468" s="11"/>
      <c r="C468" s="10"/>
      <c r="D468" s="11"/>
      <c r="E468" s="10"/>
      <c r="F468" s="1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0"/>
      <c r="V468" s="11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2.75" customHeight="1">
      <c r="A469" s="10"/>
      <c r="B469" s="11"/>
      <c r="C469" s="10"/>
      <c r="D469" s="11"/>
      <c r="E469" s="10"/>
      <c r="F469" s="1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0"/>
      <c r="V469" s="11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2.75" customHeight="1">
      <c r="A470" s="10"/>
      <c r="B470" s="11"/>
      <c r="C470" s="10"/>
      <c r="D470" s="11"/>
      <c r="E470" s="10"/>
      <c r="F470" s="1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0"/>
      <c r="V470" s="11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2.75" customHeight="1">
      <c r="A471" s="10"/>
      <c r="B471" s="11"/>
      <c r="C471" s="10"/>
      <c r="D471" s="11"/>
      <c r="E471" s="10"/>
      <c r="F471" s="1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0"/>
      <c r="V471" s="11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2.75" customHeight="1">
      <c r="A472" s="10"/>
      <c r="B472" s="11"/>
      <c r="C472" s="10"/>
      <c r="D472" s="11"/>
      <c r="E472" s="10"/>
      <c r="F472" s="1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0"/>
      <c r="V472" s="11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2.75" customHeight="1">
      <c r="A473" s="10"/>
      <c r="B473" s="11"/>
      <c r="C473" s="10"/>
      <c r="D473" s="11"/>
      <c r="E473" s="10"/>
      <c r="F473" s="1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0"/>
      <c r="V473" s="11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2.75" customHeight="1">
      <c r="A474" s="10"/>
      <c r="B474" s="11"/>
      <c r="C474" s="10"/>
      <c r="D474" s="11"/>
      <c r="E474" s="10"/>
      <c r="F474" s="1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0"/>
      <c r="V474" s="11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2.75" customHeight="1">
      <c r="A475" s="10"/>
      <c r="B475" s="11"/>
      <c r="C475" s="10"/>
      <c r="D475" s="11"/>
      <c r="E475" s="10"/>
      <c r="F475" s="1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0"/>
      <c r="V475" s="11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2.75" customHeight="1">
      <c r="A476" s="10"/>
      <c r="B476" s="11"/>
      <c r="C476" s="10"/>
      <c r="D476" s="11"/>
      <c r="E476" s="10"/>
      <c r="F476" s="1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0"/>
      <c r="V476" s="11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2.75" customHeight="1">
      <c r="A477" s="10"/>
      <c r="B477" s="11"/>
      <c r="C477" s="10"/>
      <c r="D477" s="11"/>
      <c r="E477" s="10"/>
      <c r="F477" s="1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0"/>
      <c r="V477" s="11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2.75" customHeight="1">
      <c r="A478" s="10"/>
      <c r="B478" s="11"/>
      <c r="C478" s="10"/>
      <c r="D478" s="11"/>
      <c r="E478" s="10"/>
      <c r="F478" s="1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0"/>
      <c r="V478" s="11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2.75" customHeight="1">
      <c r="A479" s="10"/>
      <c r="B479" s="11"/>
      <c r="C479" s="10"/>
      <c r="D479" s="11"/>
      <c r="E479" s="10"/>
      <c r="F479" s="1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0"/>
      <c r="V479" s="11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2.75" customHeight="1">
      <c r="A480" s="10"/>
      <c r="B480" s="11"/>
      <c r="C480" s="10"/>
      <c r="D480" s="11"/>
      <c r="E480" s="10"/>
      <c r="F480" s="1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0"/>
      <c r="V480" s="11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2.75" customHeight="1">
      <c r="A481" s="10"/>
      <c r="B481" s="11"/>
      <c r="C481" s="10"/>
      <c r="D481" s="11"/>
      <c r="E481" s="10"/>
      <c r="F481" s="1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0"/>
      <c r="V481" s="11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2.75" customHeight="1">
      <c r="A482" s="10"/>
      <c r="B482" s="11"/>
      <c r="C482" s="10"/>
      <c r="D482" s="11"/>
      <c r="E482" s="10"/>
      <c r="F482" s="1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0"/>
      <c r="V482" s="11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2.75" customHeight="1">
      <c r="A483" s="10"/>
      <c r="B483" s="11"/>
      <c r="C483" s="10"/>
      <c r="D483" s="11"/>
      <c r="E483" s="10"/>
      <c r="F483" s="1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0"/>
      <c r="V483" s="11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2.75" customHeight="1">
      <c r="A484" s="10"/>
      <c r="B484" s="11"/>
      <c r="C484" s="10"/>
      <c r="D484" s="11"/>
      <c r="E484" s="10"/>
      <c r="F484" s="1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0"/>
      <c r="V484" s="11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2.75" customHeight="1">
      <c r="A485" s="10"/>
      <c r="B485" s="11"/>
      <c r="C485" s="10"/>
      <c r="D485" s="11"/>
      <c r="E485" s="10"/>
      <c r="F485" s="1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0"/>
      <c r="V485" s="11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2.75" customHeight="1">
      <c r="A486" s="10"/>
      <c r="B486" s="11"/>
      <c r="C486" s="10"/>
      <c r="D486" s="11"/>
      <c r="E486" s="10"/>
      <c r="F486" s="1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0"/>
      <c r="V486" s="11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2.75" customHeight="1">
      <c r="A487" s="10"/>
      <c r="B487" s="11"/>
      <c r="C487" s="10"/>
      <c r="D487" s="11"/>
      <c r="E487" s="10"/>
      <c r="F487" s="1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0"/>
      <c r="V487" s="11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2.75" customHeight="1">
      <c r="A488" s="10"/>
      <c r="B488" s="11"/>
      <c r="C488" s="10"/>
      <c r="D488" s="11"/>
      <c r="E488" s="10"/>
      <c r="F488" s="1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0"/>
      <c r="V488" s="11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2.75" customHeight="1">
      <c r="A489" s="10"/>
      <c r="B489" s="11"/>
      <c r="C489" s="10"/>
      <c r="D489" s="11"/>
      <c r="E489" s="10"/>
      <c r="F489" s="1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0"/>
      <c r="V489" s="11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2.75" customHeight="1">
      <c r="A490" s="10"/>
      <c r="B490" s="11"/>
      <c r="C490" s="10"/>
      <c r="D490" s="11"/>
      <c r="E490" s="10"/>
      <c r="F490" s="1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0"/>
      <c r="V490" s="11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2.75" customHeight="1">
      <c r="A491" s="10"/>
      <c r="B491" s="11"/>
      <c r="C491" s="10"/>
      <c r="D491" s="11"/>
      <c r="E491" s="10"/>
      <c r="F491" s="1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0"/>
      <c r="V491" s="11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2.75" customHeight="1">
      <c r="A492" s="10"/>
      <c r="B492" s="11"/>
      <c r="C492" s="10"/>
      <c r="D492" s="11"/>
      <c r="E492" s="10"/>
      <c r="F492" s="1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0"/>
      <c r="V492" s="11"/>
      <c r="W492" s="10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2.75" customHeight="1">
      <c r="A493" s="10"/>
      <c r="B493" s="11"/>
      <c r="C493" s="10"/>
      <c r="D493" s="11"/>
      <c r="E493" s="10"/>
      <c r="F493" s="1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0"/>
      <c r="V493" s="11"/>
      <c r="W493" s="10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2.75" customHeight="1">
      <c r="A494" s="10"/>
      <c r="B494" s="11"/>
      <c r="C494" s="10"/>
      <c r="D494" s="11"/>
      <c r="E494" s="10"/>
      <c r="F494" s="1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0"/>
      <c r="V494" s="11"/>
      <c r="W494" s="10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2.75" customHeight="1">
      <c r="A495" s="10"/>
      <c r="B495" s="11"/>
      <c r="C495" s="10"/>
      <c r="D495" s="11"/>
      <c r="E495" s="10"/>
      <c r="F495" s="1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0"/>
      <c r="V495" s="11"/>
      <c r="W495" s="10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2.75" customHeight="1">
      <c r="A496" s="10"/>
      <c r="B496" s="11"/>
      <c r="C496" s="10"/>
      <c r="D496" s="11"/>
      <c r="E496" s="10"/>
      <c r="F496" s="1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0"/>
      <c r="V496" s="11"/>
      <c r="W496" s="10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2.75" customHeight="1">
      <c r="A497" s="10"/>
      <c r="B497" s="11"/>
      <c r="C497" s="10"/>
      <c r="D497" s="11"/>
      <c r="E497" s="10"/>
      <c r="F497" s="1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0"/>
      <c r="V497" s="11"/>
      <c r="W497" s="10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2.75" customHeight="1">
      <c r="A498" s="10"/>
      <c r="B498" s="11"/>
      <c r="C498" s="10"/>
      <c r="D498" s="11"/>
      <c r="E498" s="10"/>
      <c r="F498" s="1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0"/>
      <c r="V498" s="11"/>
      <c r="W498" s="10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2.75" customHeight="1">
      <c r="A499" s="10"/>
      <c r="B499" s="11"/>
      <c r="C499" s="10"/>
      <c r="D499" s="11"/>
      <c r="E499" s="10"/>
      <c r="F499" s="1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0"/>
      <c r="V499" s="11"/>
      <c r="W499" s="10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2.75" customHeight="1">
      <c r="A500" s="10"/>
      <c r="B500" s="11"/>
      <c r="C500" s="10"/>
      <c r="D500" s="11"/>
      <c r="E500" s="10"/>
      <c r="F500" s="1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0"/>
      <c r="V500" s="11"/>
      <c r="W500" s="10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2.75" customHeight="1">
      <c r="A501" s="10"/>
      <c r="B501" s="11"/>
      <c r="C501" s="10"/>
      <c r="D501" s="11"/>
      <c r="E501" s="10"/>
      <c r="F501" s="1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0"/>
      <c r="V501" s="11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2.75" customHeight="1">
      <c r="A502" s="10"/>
      <c r="B502" s="11"/>
      <c r="C502" s="10"/>
      <c r="D502" s="11"/>
      <c r="E502" s="10"/>
      <c r="F502" s="1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0"/>
      <c r="V502" s="11"/>
      <c r="W502" s="10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2.75" customHeight="1">
      <c r="A503" s="10"/>
      <c r="B503" s="11"/>
      <c r="C503" s="10"/>
      <c r="D503" s="11"/>
      <c r="E503" s="10"/>
      <c r="F503" s="1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0"/>
      <c r="V503" s="11"/>
      <c r="W503" s="10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2.75" customHeight="1">
      <c r="A504" s="10"/>
      <c r="B504" s="11"/>
      <c r="C504" s="10"/>
      <c r="D504" s="11"/>
      <c r="E504" s="10"/>
      <c r="F504" s="1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0"/>
      <c r="V504" s="11"/>
      <c r="W504" s="10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2.75" customHeight="1">
      <c r="A505" s="10"/>
      <c r="B505" s="11"/>
      <c r="C505" s="10"/>
      <c r="D505" s="11"/>
      <c r="E505" s="10"/>
      <c r="F505" s="1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0"/>
      <c r="V505" s="11"/>
      <c r="W505" s="10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2.75" customHeight="1">
      <c r="A506" s="10"/>
      <c r="B506" s="11"/>
      <c r="C506" s="10"/>
      <c r="D506" s="11"/>
      <c r="E506" s="10"/>
      <c r="F506" s="1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0"/>
      <c r="V506" s="11"/>
      <c r="W506" s="10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2.75" customHeight="1">
      <c r="A507" s="10"/>
      <c r="B507" s="11"/>
      <c r="C507" s="10"/>
      <c r="D507" s="11"/>
      <c r="E507" s="10"/>
      <c r="F507" s="1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0"/>
      <c r="V507" s="11"/>
      <c r="W507" s="10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2.75" customHeight="1">
      <c r="A508" s="10"/>
      <c r="B508" s="11"/>
      <c r="C508" s="10"/>
      <c r="D508" s="11"/>
      <c r="E508" s="10"/>
      <c r="F508" s="1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0"/>
      <c r="V508" s="11"/>
      <c r="W508" s="10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2.75" customHeight="1">
      <c r="A509" s="10"/>
      <c r="B509" s="11"/>
      <c r="C509" s="10"/>
      <c r="D509" s="11"/>
      <c r="E509" s="10"/>
      <c r="F509" s="1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0"/>
      <c r="V509" s="11"/>
      <c r="W509" s="10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2.75" customHeight="1">
      <c r="A510" s="10"/>
      <c r="B510" s="11"/>
      <c r="C510" s="10"/>
      <c r="D510" s="11"/>
      <c r="E510" s="10"/>
      <c r="F510" s="1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0"/>
      <c r="V510" s="11"/>
      <c r="W510" s="10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2.75" customHeight="1">
      <c r="A511" s="10"/>
      <c r="B511" s="11"/>
      <c r="C511" s="10"/>
      <c r="D511" s="11"/>
      <c r="E511" s="10"/>
      <c r="F511" s="1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0"/>
      <c r="V511" s="11"/>
      <c r="W511" s="10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2.75" customHeight="1">
      <c r="A512" s="10"/>
      <c r="B512" s="11"/>
      <c r="C512" s="10"/>
      <c r="D512" s="11"/>
      <c r="E512" s="10"/>
      <c r="F512" s="1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0"/>
      <c r="V512" s="11"/>
      <c r="W512" s="10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2.75" customHeight="1">
      <c r="A513" s="10"/>
      <c r="B513" s="11"/>
      <c r="C513" s="10"/>
      <c r="D513" s="11"/>
      <c r="E513" s="10"/>
      <c r="F513" s="1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0"/>
      <c r="V513" s="11"/>
      <c r="W513" s="10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2.75" customHeight="1">
      <c r="A514" s="10"/>
      <c r="B514" s="11"/>
      <c r="C514" s="10"/>
      <c r="D514" s="11"/>
      <c r="E514" s="10"/>
      <c r="F514" s="1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0"/>
      <c r="V514" s="11"/>
      <c r="W514" s="10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2.75" customHeight="1">
      <c r="A515" s="10"/>
      <c r="B515" s="11"/>
      <c r="C515" s="10"/>
      <c r="D515" s="11"/>
      <c r="E515" s="10"/>
      <c r="F515" s="1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0"/>
      <c r="V515" s="11"/>
      <c r="W515" s="10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2.75" customHeight="1">
      <c r="A516" s="10"/>
      <c r="B516" s="11"/>
      <c r="C516" s="10"/>
      <c r="D516" s="11"/>
      <c r="E516" s="10"/>
      <c r="F516" s="1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0"/>
      <c r="V516" s="11"/>
      <c r="W516" s="10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2.75" customHeight="1">
      <c r="A517" s="10"/>
      <c r="B517" s="11"/>
      <c r="C517" s="10"/>
      <c r="D517" s="11"/>
      <c r="E517" s="10"/>
      <c r="F517" s="1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0"/>
      <c r="V517" s="11"/>
      <c r="W517" s="10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2.75" customHeight="1">
      <c r="A518" s="10"/>
      <c r="B518" s="11"/>
      <c r="C518" s="10"/>
      <c r="D518" s="11"/>
      <c r="E518" s="10"/>
      <c r="F518" s="1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0"/>
      <c r="V518" s="11"/>
      <c r="W518" s="10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2.75" customHeight="1">
      <c r="A519" s="10"/>
      <c r="B519" s="11"/>
      <c r="C519" s="10"/>
      <c r="D519" s="11"/>
      <c r="E519" s="10"/>
      <c r="F519" s="1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0"/>
      <c r="V519" s="11"/>
      <c r="W519" s="10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2.75" customHeight="1">
      <c r="A520" s="10"/>
      <c r="B520" s="11"/>
      <c r="C520" s="10"/>
      <c r="D520" s="11"/>
      <c r="E520" s="10"/>
      <c r="F520" s="1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0"/>
      <c r="V520" s="11"/>
      <c r="W520" s="10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2.75" customHeight="1">
      <c r="A521" s="10"/>
      <c r="B521" s="11"/>
      <c r="C521" s="10"/>
      <c r="D521" s="11"/>
      <c r="E521" s="10"/>
      <c r="F521" s="1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0"/>
      <c r="V521" s="11"/>
      <c r="W521" s="10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2.75" customHeight="1">
      <c r="A522" s="10"/>
      <c r="B522" s="11"/>
      <c r="C522" s="10"/>
      <c r="D522" s="11"/>
      <c r="E522" s="10"/>
      <c r="F522" s="1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0"/>
      <c r="V522" s="11"/>
      <c r="W522" s="10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2.75" customHeight="1">
      <c r="A523" s="10"/>
      <c r="B523" s="11"/>
      <c r="C523" s="10"/>
      <c r="D523" s="11"/>
      <c r="E523" s="10"/>
      <c r="F523" s="1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0"/>
      <c r="V523" s="11"/>
      <c r="W523" s="10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2.75" customHeight="1">
      <c r="A524" s="10"/>
      <c r="B524" s="11"/>
      <c r="C524" s="10"/>
      <c r="D524" s="11"/>
      <c r="E524" s="10"/>
      <c r="F524" s="1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0"/>
      <c r="V524" s="11"/>
      <c r="W524" s="10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2.75" customHeight="1">
      <c r="A525" s="10"/>
      <c r="B525" s="11"/>
      <c r="C525" s="10"/>
      <c r="D525" s="11"/>
      <c r="E525" s="10"/>
      <c r="F525" s="1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0"/>
      <c r="V525" s="11"/>
      <c r="W525" s="10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2.75" customHeight="1">
      <c r="A526" s="10"/>
      <c r="B526" s="11"/>
      <c r="C526" s="10"/>
      <c r="D526" s="11"/>
      <c r="E526" s="10"/>
      <c r="F526" s="1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0"/>
      <c r="V526" s="11"/>
      <c r="W526" s="10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2.75" customHeight="1">
      <c r="A527" s="10"/>
      <c r="B527" s="11"/>
      <c r="C527" s="10"/>
      <c r="D527" s="11"/>
      <c r="E527" s="10"/>
      <c r="F527" s="1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0"/>
      <c r="V527" s="11"/>
      <c r="W527" s="10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2.75" customHeight="1">
      <c r="A528" s="10"/>
      <c r="B528" s="11"/>
      <c r="C528" s="10"/>
      <c r="D528" s="11"/>
      <c r="E528" s="10"/>
      <c r="F528" s="1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0"/>
      <c r="V528" s="11"/>
      <c r="W528" s="10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2.75" customHeight="1">
      <c r="A529" s="10"/>
      <c r="B529" s="11"/>
      <c r="C529" s="10"/>
      <c r="D529" s="11"/>
      <c r="E529" s="10"/>
      <c r="F529" s="1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0"/>
      <c r="V529" s="11"/>
      <c r="W529" s="10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2.75" customHeight="1">
      <c r="A530" s="10"/>
      <c r="B530" s="11"/>
      <c r="C530" s="10"/>
      <c r="D530" s="11"/>
      <c r="E530" s="10"/>
      <c r="F530" s="1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0"/>
      <c r="V530" s="11"/>
      <c r="W530" s="10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2.75" customHeight="1">
      <c r="A531" s="10"/>
      <c r="B531" s="11"/>
      <c r="C531" s="10"/>
      <c r="D531" s="11"/>
      <c r="E531" s="10"/>
      <c r="F531" s="1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0"/>
      <c r="V531" s="11"/>
      <c r="W531" s="10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2.75" customHeight="1">
      <c r="A532" s="10"/>
      <c r="B532" s="11"/>
      <c r="C532" s="10"/>
      <c r="D532" s="11"/>
      <c r="E532" s="10"/>
      <c r="F532" s="1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0"/>
      <c r="V532" s="11"/>
      <c r="W532" s="10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2.75" customHeight="1">
      <c r="A533" s="10"/>
      <c r="B533" s="11"/>
      <c r="C533" s="10"/>
      <c r="D533" s="11"/>
      <c r="E533" s="10"/>
      <c r="F533" s="1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0"/>
      <c r="V533" s="11"/>
      <c r="W533" s="10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2.75" customHeight="1">
      <c r="A534" s="10"/>
      <c r="B534" s="11"/>
      <c r="C534" s="10"/>
      <c r="D534" s="11"/>
      <c r="E534" s="10"/>
      <c r="F534" s="1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0"/>
      <c r="V534" s="11"/>
      <c r="W534" s="10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2.75" customHeight="1">
      <c r="A535" s="10"/>
      <c r="B535" s="11"/>
      <c r="C535" s="10"/>
      <c r="D535" s="11"/>
      <c r="E535" s="10"/>
      <c r="F535" s="1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0"/>
      <c r="V535" s="11"/>
      <c r="W535" s="10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2.75" customHeight="1">
      <c r="A536" s="10"/>
      <c r="B536" s="11"/>
      <c r="C536" s="10"/>
      <c r="D536" s="11"/>
      <c r="E536" s="10"/>
      <c r="F536" s="1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0"/>
      <c r="V536" s="11"/>
      <c r="W536" s="10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2.75" customHeight="1">
      <c r="A537" s="10"/>
      <c r="B537" s="11"/>
      <c r="C537" s="10"/>
      <c r="D537" s="11"/>
      <c r="E537" s="10"/>
      <c r="F537" s="1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0"/>
      <c r="V537" s="11"/>
      <c r="W537" s="10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2.75" customHeight="1">
      <c r="A538" s="10"/>
      <c r="B538" s="11"/>
      <c r="C538" s="10"/>
      <c r="D538" s="11"/>
      <c r="E538" s="10"/>
      <c r="F538" s="1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0"/>
      <c r="V538" s="11"/>
      <c r="W538" s="10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2.75" customHeight="1">
      <c r="A539" s="10"/>
      <c r="B539" s="11"/>
      <c r="C539" s="10"/>
      <c r="D539" s="11"/>
      <c r="E539" s="10"/>
      <c r="F539" s="1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0"/>
      <c r="V539" s="11"/>
      <c r="W539" s="10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2.75" customHeight="1">
      <c r="A540" s="10"/>
      <c r="B540" s="11"/>
      <c r="C540" s="10"/>
      <c r="D540" s="11"/>
      <c r="E540" s="10"/>
      <c r="F540" s="1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0"/>
      <c r="V540" s="11"/>
      <c r="W540" s="10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2.75" customHeight="1">
      <c r="A541" s="10"/>
      <c r="B541" s="11"/>
      <c r="C541" s="10"/>
      <c r="D541" s="11"/>
      <c r="E541" s="10"/>
      <c r="F541" s="1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0"/>
      <c r="V541" s="11"/>
      <c r="W541" s="10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2.75" customHeight="1">
      <c r="A542" s="10"/>
      <c r="B542" s="11"/>
      <c r="C542" s="10"/>
      <c r="D542" s="11"/>
      <c r="E542" s="10"/>
      <c r="F542" s="1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0"/>
      <c r="V542" s="11"/>
      <c r="W542" s="10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2.75" customHeight="1">
      <c r="A543" s="10"/>
      <c r="B543" s="11"/>
      <c r="C543" s="10"/>
      <c r="D543" s="11"/>
      <c r="E543" s="10"/>
      <c r="F543" s="1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0"/>
      <c r="V543" s="11"/>
      <c r="W543" s="10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2.75" customHeight="1">
      <c r="A544" s="10"/>
      <c r="B544" s="11"/>
      <c r="C544" s="10"/>
      <c r="D544" s="11"/>
      <c r="E544" s="10"/>
      <c r="F544" s="1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0"/>
      <c r="V544" s="11"/>
      <c r="W544" s="10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2.75" customHeight="1">
      <c r="A545" s="10"/>
      <c r="B545" s="11"/>
      <c r="C545" s="10"/>
      <c r="D545" s="11"/>
      <c r="E545" s="10"/>
      <c r="F545" s="1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0"/>
      <c r="V545" s="11"/>
      <c r="W545" s="10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2.75" customHeight="1">
      <c r="A546" s="10"/>
      <c r="B546" s="11"/>
      <c r="C546" s="10"/>
      <c r="D546" s="11"/>
      <c r="E546" s="10"/>
      <c r="F546" s="1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0"/>
      <c r="V546" s="11"/>
      <c r="W546" s="10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2.75" customHeight="1">
      <c r="A547" s="10"/>
      <c r="B547" s="11"/>
      <c r="C547" s="10"/>
      <c r="D547" s="11"/>
      <c r="E547" s="10"/>
      <c r="F547" s="1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0"/>
      <c r="V547" s="11"/>
      <c r="W547" s="10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2.75" customHeight="1">
      <c r="A548" s="10"/>
      <c r="B548" s="11"/>
      <c r="C548" s="10"/>
      <c r="D548" s="11"/>
      <c r="E548" s="10"/>
      <c r="F548" s="1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0"/>
      <c r="V548" s="11"/>
      <c r="W548" s="10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2.75" customHeight="1">
      <c r="A549" s="10"/>
      <c r="B549" s="11"/>
      <c r="C549" s="10"/>
      <c r="D549" s="11"/>
      <c r="E549" s="10"/>
      <c r="F549" s="1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0"/>
      <c r="V549" s="11"/>
      <c r="W549" s="10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2.75" customHeight="1">
      <c r="A550" s="10"/>
      <c r="B550" s="11"/>
      <c r="C550" s="10"/>
      <c r="D550" s="11"/>
      <c r="E550" s="10"/>
      <c r="F550" s="1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0"/>
      <c r="V550" s="11"/>
      <c r="W550" s="10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2.75" customHeight="1">
      <c r="A551" s="10"/>
      <c r="B551" s="11"/>
      <c r="C551" s="10"/>
      <c r="D551" s="11"/>
      <c r="E551" s="10"/>
      <c r="F551" s="1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0"/>
      <c r="V551" s="11"/>
      <c r="W551" s="10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2.75" customHeight="1">
      <c r="A552" s="10"/>
      <c r="B552" s="11"/>
      <c r="C552" s="10"/>
      <c r="D552" s="11"/>
      <c r="E552" s="10"/>
      <c r="F552" s="1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0"/>
      <c r="V552" s="11"/>
      <c r="W552" s="10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2.75" customHeight="1">
      <c r="A553" s="10"/>
      <c r="B553" s="11"/>
      <c r="C553" s="10"/>
      <c r="D553" s="11"/>
      <c r="E553" s="10"/>
      <c r="F553" s="1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0"/>
      <c r="V553" s="11"/>
      <c r="W553" s="10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2.75" customHeight="1">
      <c r="A554" s="10"/>
      <c r="B554" s="11"/>
      <c r="C554" s="10"/>
      <c r="D554" s="11"/>
      <c r="E554" s="10"/>
      <c r="F554" s="1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0"/>
      <c r="V554" s="11"/>
      <c r="W554" s="10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2.75" customHeight="1">
      <c r="A555" s="10"/>
      <c r="B555" s="11"/>
      <c r="C555" s="10"/>
      <c r="D555" s="11"/>
      <c r="E555" s="10"/>
      <c r="F555" s="1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0"/>
      <c r="V555" s="11"/>
      <c r="W555" s="10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2.75" customHeight="1">
      <c r="A556" s="10"/>
      <c r="B556" s="11"/>
      <c r="C556" s="10"/>
      <c r="D556" s="11"/>
      <c r="E556" s="10"/>
      <c r="F556" s="1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0"/>
      <c r="V556" s="11"/>
      <c r="W556" s="10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2.75" customHeight="1">
      <c r="A557" s="10"/>
      <c r="B557" s="11"/>
      <c r="C557" s="10"/>
      <c r="D557" s="11"/>
      <c r="E557" s="10"/>
      <c r="F557" s="1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0"/>
      <c r="V557" s="11"/>
      <c r="W557" s="10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2.75" customHeight="1">
      <c r="A558" s="10"/>
      <c r="B558" s="11"/>
      <c r="C558" s="10"/>
      <c r="D558" s="11"/>
      <c r="E558" s="10"/>
      <c r="F558" s="1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0"/>
      <c r="V558" s="11"/>
      <c r="W558" s="10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2.75" customHeight="1">
      <c r="A559" s="10"/>
      <c r="B559" s="11"/>
      <c r="C559" s="10"/>
      <c r="D559" s="11"/>
      <c r="E559" s="10"/>
      <c r="F559" s="1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0"/>
      <c r="V559" s="11"/>
      <c r="W559" s="10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2.75" customHeight="1">
      <c r="A560" s="10"/>
      <c r="B560" s="11"/>
      <c r="C560" s="10"/>
      <c r="D560" s="11"/>
      <c r="E560" s="10"/>
      <c r="F560" s="1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0"/>
      <c r="V560" s="11"/>
      <c r="W560" s="10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2.75" customHeight="1">
      <c r="A561" s="10"/>
      <c r="B561" s="11"/>
      <c r="C561" s="10"/>
      <c r="D561" s="11"/>
      <c r="E561" s="10"/>
      <c r="F561" s="1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0"/>
      <c r="V561" s="11"/>
      <c r="W561" s="10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2.75" customHeight="1">
      <c r="A562" s="10"/>
      <c r="B562" s="11"/>
      <c r="C562" s="10"/>
      <c r="D562" s="11"/>
      <c r="E562" s="10"/>
      <c r="F562" s="1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0"/>
      <c r="V562" s="11"/>
      <c r="W562" s="10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2.75" customHeight="1">
      <c r="A563" s="10"/>
      <c r="B563" s="11"/>
      <c r="C563" s="10"/>
      <c r="D563" s="11"/>
      <c r="E563" s="10"/>
      <c r="F563" s="1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0"/>
      <c r="V563" s="11"/>
      <c r="W563" s="10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2.75" customHeight="1">
      <c r="A564" s="10"/>
      <c r="B564" s="11"/>
      <c r="C564" s="10"/>
      <c r="D564" s="11"/>
      <c r="E564" s="10"/>
      <c r="F564" s="1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0"/>
      <c r="V564" s="11"/>
      <c r="W564" s="10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2.75" customHeight="1">
      <c r="A565" s="10"/>
      <c r="B565" s="11"/>
      <c r="C565" s="10"/>
      <c r="D565" s="11"/>
      <c r="E565" s="10"/>
      <c r="F565" s="1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0"/>
      <c r="V565" s="11"/>
      <c r="W565" s="10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2.75" customHeight="1">
      <c r="A566" s="10"/>
      <c r="B566" s="11"/>
      <c r="C566" s="10"/>
      <c r="D566" s="11"/>
      <c r="E566" s="10"/>
      <c r="F566" s="1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0"/>
      <c r="V566" s="11"/>
      <c r="W566" s="10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2.75" customHeight="1">
      <c r="A567" s="10"/>
      <c r="B567" s="11"/>
      <c r="C567" s="10"/>
      <c r="D567" s="11"/>
      <c r="E567" s="10"/>
      <c r="F567" s="1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0"/>
      <c r="V567" s="11"/>
      <c r="W567" s="10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2.75" customHeight="1">
      <c r="A568" s="10"/>
      <c r="B568" s="11"/>
      <c r="C568" s="10"/>
      <c r="D568" s="11"/>
      <c r="E568" s="10"/>
      <c r="F568" s="1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0"/>
      <c r="V568" s="11"/>
      <c r="W568" s="10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2.75" customHeight="1">
      <c r="A569" s="10"/>
      <c r="B569" s="11"/>
      <c r="C569" s="10"/>
      <c r="D569" s="11"/>
      <c r="E569" s="10"/>
      <c r="F569" s="1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0"/>
      <c r="V569" s="11"/>
      <c r="W569" s="10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2.75" customHeight="1">
      <c r="A570" s="10"/>
      <c r="B570" s="11"/>
      <c r="C570" s="10"/>
      <c r="D570" s="11"/>
      <c r="E570" s="10"/>
      <c r="F570" s="1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0"/>
      <c r="V570" s="11"/>
      <c r="W570" s="10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2.75" customHeight="1">
      <c r="A571" s="10"/>
      <c r="B571" s="11"/>
      <c r="C571" s="10"/>
      <c r="D571" s="11"/>
      <c r="E571" s="10"/>
      <c r="F571" s="1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0"/>
      <c r="V571" s="11"/>
      <c r="W571" s="10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2.75" customHeight="1">
      <c r="A572" s="10"/>
      <c r="B572" s="11"/>
      <c r="C572" s="10"/>
      <c r="D572" s="11"/>
      <c r="E572" s="10"/>
      <c r="F572" s="1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0"/>
      <c r="V572" s="11"/>
      <c r="W572" s="10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2.75" customHeight="1">
      <c r="A573" s="10"/>
      <c r="B573" s="11"/>
      <c r="C573" s="10"/>
      <c r="D573" s="11"/>
      <c r="E573" s="10"/>
      <c r="F573" s="1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0"/>
      <c r="V573" s="11"/>
      <c r="W573" s="10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2.75" customHeight="1">
      <c r="A574" s="10"/>
      <c r="B574" s="11"/>
      <c r="C574" s="10"/>
      <c r="D574" s="11"/>
      <c r="E574" s="10"/>
      <c r="F574" s="1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0"/>
      <c r="V574" s="11"/>
      <c r="W574" s="10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2.75" customHeight="1">
      <c r="A575" s="10"/>
      <c r="B575" s="11"/>
      <c r="C575" s="10"/>
      <c r="D575" s="11"/>
      <c r="E575" s="10"/>
      <c r="F575" s="1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0"/>
      <c r="V575" s="11"/>
      <c r="W575" s="10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2.75" customHeight="1">
      <c r="A576" s="10"/>
      <c r="B576" s="11"/>
      <c r="C576" s="10"/>
      <c r="D576" s="11"/>
      <c r="E576" s="10"/>
      <c r="F576" s="1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0"/>
      <c r="V576" s="11"/>
      <c r="W576" s="10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2.75" customHeight="1">
      <c r="A577" s="10"/>
      <c r="B577" s="11"/>
      <c r="C577" s="10"/>
      <c r="D577" s="11"/>
      <c r="E577" s="10"/>
      <c r="F577" s="1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0"/>
      <c r="V577" s="11"/>
      <c r="W577" s="10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2.75" customHeight="1">
      <c r="A578" s="10"/>
      <c r="B578" s="11"/>
      <c r="C578" s="10"/>
      <c r="D578" s="11"/>
      <c r="E578" s="10"/>
      <c r="F578" s="1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0"/>
      <c r="V578" s="11"/>
      <c r="W578" s="10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2.75" customHeight="1">
      <c r="A579" s="10"/>
      <c r="B579" s="11"/>
      <c r="C579" s="10"/>
      <c r="D579" s="11"/>
      <c r="E579" s="10"/>
      <c r="F579" s="1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0"/>
      <c r="V579" s="11"/>
      <c r="W579" s="10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2.75" customHeight="1">
      <c r="A580" s="10"/>
      <c r="B580" s="11"/>
      <c r="C580" s="10"/>
      <c r="D580" s="11"/>
      <c r="E580" s="10"/>
      <c r="F580" s="1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0"/>
      <c r="V580" s="11"/>
      <c r="W580" s="10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2.75" customHeight="1">
      <c r="A581" s="10"/>
      <c r="B581" s="11"/>
      <c r="C581" s="10"/>
      <c r="D581" s="11"/>
      <c r="E581" s="10"/>
      <c r="F581" s="1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0"/>
      <c r="V581" s="11"/>
      <c r="W581" s="10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2.75" customHeight="1">
      <c r="A582" s="10"/>
      <c r="B582" s="11"/>
      <c r="C582" s="10"/>
      <c r="D582" s="11"/>
      <c r="E582" s="10"/>
      <c r="F582" s="1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0"/>
      <c r="V582" s="11"/>
      <c r="W582" s="10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2.75" customHeight="1">
      <c r="A583" s="10"/>
      <c r="B583" s="11"/>
      <c r="C583" s="10"/>
      <c r="D583" s="11"/>
      <c r="E583" s="10"/>
      <c r="F583" s="1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0"/>
      <c r="V583" s="11"/>
      <c r="W583" s="10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2.75" customHeight="1">
      <c r="A584" s="10"/>
      <c r="B584" s="11"/>
      <c r="C584" s="10"/>
      <c r="D584" s="11"/>
      <c r="E584" s="10"/>
      <c r="F584" s="1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0"/>
      <c r="V584" s="11"/>
      <c r="W584" s="10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2.75" customHeight="1">
      <c r="A585" s="10"/>
      <c r="B585" s="11"/>
      <c r="C585" s="10"/>
      <c r="D585" s="11"/>
      <c r="E585" s="10"/>
      <c r="F585" s="1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0"/>
      <c r="V585" s="11"/>
      <c r="W585" s="10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2.75" customHeight="1">
      <c r="A586" s="10"/>
      <c r="B586" s="11"/>
      <c r="C586" s="10"/>
      <c r="D586" s="11"/>
      <c r="E586" s="10"/>
      <c r="F586" s="1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0"/>
      <c r="V586" s="11"/>
      <c r="W586" s="10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2.75" customHeight="1">
      <c r="A587" s="10"/>
      <c r="B587" s="11"/>
      <c r="C587" s="10"/>
      <c r="D587" s="11"/>
      <c r="E587" s="10"/>
      <c r="F587" s="1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0"/>
      <c r="V587" s="11"/>
      <c r="W587" s="10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2.75" customHeight="1">
      <c r="A588" s="10"/>
      <c r="B588" s="11"/>
      <c r="C588" s="10"/>
      <c r="D588" s="11"/>
      <c r="E588" s="10"/>
      <c r="F588" s="1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0"/>
      <c r="V588" s="11"/>
      <c r="W588" s="10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2.75" customHeight="1">
      <c r="A589" s="10"/>
      <c r="B589" s="11"/>
      <c r="C589" s="10"/>
      <c r="D589" s="11"/>
      <c r="E589" s="10"/>
      <c r="F589" s="1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0"/>
      <c r="V589" s="11"/>
      <c r="W589" s="10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2.75" customHeight="1">
      <c r="A590" s="10"/>
      <c r="B590" s="11"/>
      <c r="C590" s="10"/>
      <c r="D590" s="11"/>
      <c r="E590" s="10"/>
      <c r="F590" s="1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0"/>
      <c r="V590" s="11"/>
      <c r="W590" s="10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2.75" customHeight="1">
      <c r="A591" s="10"/>
      <c r="B591" s="11"/>
      <c r="C591" s="10"/>
      <c r="D591" s="11"/>
      <c r="E591" s="10"/>
      <c r="F591" s="1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0"/>
      <c r="V591" s="11"/>
      <c r="W591" s="10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2.75" customHeight="1">
      <c r="A592" s="10"/>
      <c r="B592" s="11"/>
      <c r="C592" s="10"/>
      <c r="D592" s="11"/>
      <c r="E592" s="10"/>
      <c r="F592" s="1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0"/>
      <c r="V592" s="11"/>
      <c r="W592" s="10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2.75" customHeight="1">
      <c r="A593" s="10"/>
      <c r="B593" s="11"/>
      <c r="C593" s="10"/>
      <c r="D593" s="11"/>
      <c r="E593" s="10"/>
      <c r="F593" s="1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0"/>
      <c r="V593" s="11"/>
      <c r="W593" s="10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2.75" customHeight="1">
      <c r="A594" s="10"/>
      <c r="B594" s="11"/>
      <c r="C594" s="10"/>
      <c r="D594" s="11"/>
      <c r="E594" s="10"/>
      <c r="F594" s="1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0"/>
      <c r="V594" s="11"/>
      <c r="W594" s="10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2.75" customHeight="1">
      <c r="A595" s="10"/>
      <c r="B595" s="11"/>
      <c r="C595" s="10"/>
      <c r="D595" s="11"/>
      <c r="E595" s="10"/>
      <c r="F595" s="1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0"/>
      <c r="V595" s="11"/>
      <c r="W595" s="10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2.75" customHeight="1">
      <c r="A596" s="10"/>
      <c r="B596" s="11"/>
      <c r="C596" s="10"/>
      <c r="D596" s="11"/>
      <c r="E596" s="10"/>
      <c r="F596" s="1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0"/>
      <c r="V596" s="11"/>
      <c r="W596" s="10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2.75" customHeight="1">
      <c r="A597" s="10"/>
      <c r="B597" s="11"/>
      <c r="C597" s="10"/>
      <c r="D597" s="11"/>
      <c r="E597" s="10"/>
      <c r="F597" s="1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0"/>
      <c r="V597" s="11"/>
      <c r="W597" s="10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2.75" customHeight="1">
      <c r="A598" s="10"/>
      <c r="B598" s="11"/>
      <c r="C598" s="10"/>
      <c r="D598" s="11"/>
      <c r="E598" s="10"/>
      <c r="F598" s="1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0"/>
      <c r="V598" s="11"/>
      <c r="W598" s="10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2.75" customHeight="1">
      <c r="A599" s="10"/>
      <c r="B599" s="11"/>
      <c r="C599" s="10"/>
      <c r="D599" s="11"/>
      <c r="E599" s="10"/>
      <c r="F599" s="1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0"/>
      <c r="V599" s="11"/>
      <c r="W599" s="10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2.75" customHeight="1">
      <c r="A600" s="10"/>
      <c r="B600" s="11"/>
      <c r="C600" s="10"/>
      <c r="D600" s="11"/>
      <c r="E600" s="10"/>
      <c r="F600" s="1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0"/>
      <c r="V600" s="11"/>
      <c r="W600" s="10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2.75" customHeight="1">
      <c r="A601" s="10"/>
      <c r="B601" s="11"/>
      <c r="C601" s="10"/>
      <c r="D601" s="11"/>
      <c r="E601" s="10"/>
      <c r="F601" s="1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0"/>
      <c r="V601" s="11"/>
      <c r="W601" s="10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2.75" customHeight="1">
      <c r="A602" s="10"/>
      <c r="B602" s="11"/>
      <c r="C602" s="10"/>
      <c r="D602" s="11"/>
      <c r="E602" s="10"/>
      <c r="F602" s="1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0"/>
      <c r="V602" s="11"/>
      <c r="W602" s="10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2.75" customHeight="1">
      <c r="A603" s="10"/>
      <c r="B603" s="11"/>
      <c r="C603" s="10"/>
      <c r="D603" s="11"/>
      <c r="E603" s="10"/>
      <c r="F603" s="1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0"/>
      <c r="V603" s="11"/>
      <c r="W603" s="10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2.75" customHeight="1">
      <c r="A604" s="10"/>
      <c r="B604" s="11"/>
      <c r="C604" s="10"/>
      <c r="D604" s="11"/>
      <c r="E604" s="10"/>
      <c r="F604" s="1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0"/>
      <c r="V604" s="11"/>
      <c r="W604" s="10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2.75" customHeight="1">
      <c r="A605" s="10"/>
      <c r="B605" s="11"/>
      <c r="C605" s="10"/>
      <c r="D605" s="11"/>
      <c r="E605" s="10"/>
      <c r="F605" s="1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0"/>
      <c r="V605" s="11"/>
      <c r="W605" s="10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2.75" customHeight="1">
      <c r="A606" s="10"/>
      <c r="B606" s="11"/>
      <c r="C606" s="10"/>
      <c r="D606" s="11"/>
      <c r="E606" s="10"/>
      <c r="F606" s="1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0"/>
      <c r="V606" s="11"/>
      <c r="W606" s="10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2.75" customHeight="1">
      <c r="A607" s="10"/>
      <c r="B607" s="11"/>
      <c r="C607" s="10"/>
      <c r="D607" s="11"/>
      <c r="E607" s="10"/>
      <c r="F607" s="1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0"/>
      <c r="V607" s="11"/>
      <c r="W607" s="10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2.75" customHeight="1">
      <c r="A608" s="10"/>
      <c r="B608" s="11"/>
      <c r="C608" s="10"/>
      <c r="D608" s="11"/>
      <c r="E608" s="10"/>
      <c r="F608" s="1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0"/>
      <c r="V608" s="11"/>
      <c r="W608" s="10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2.75" customHeight="1">
      <c r="A609" s="10"/>
      <c r="B609" s="11"/>
      <c r="C609" s="10"/>
      <c r="D609" s="11"/>
      <c r="E609" s="10"/>
      <c r="F609" s="1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0"/>
      <c r="V609" s="11"/>
      <c r="W609" s="10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2.75" customHeight="1">
      <c r="A610" s="10"/>
      <c r="B610" s="11"/>
      <c r="C610" s="10"/>
      <c r="D610" s="11"/>
      <c r="E610" s="10"/>
      <c r="F610" s="1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0"/>
      <c r="V610" s="11"/>
      <c r="W610" s="10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2.75" customHeight="1">
      <c r="A611" s="10"/>
      <c r="B611" s="11"/>
      <c r="C611" s="10"/>
      <c r="D611" s="11"/>
      <c r="E611" s="10"/>
      <c r="F611" s="1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0"/>
      <c r="V611" s="11"/>
      <c r="W611" s="10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2.75" customHeight="1">
      <c r="A612" s="10"/>
      <c r="B612" s="11"/>
      <c r="C612" s="10"/>
      <c r="D612" s="11"/>
      <c r="E612" s="10"/>
      <c r="F612" s="1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0"/>
      <c r="V612" s="11"/>
      <c r="W612" s="10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2.75" customHeight="1">
      <c r="A613" s="10"/>
      <c r="B613" s="11"/>
      <c r="C613" s="10"/>
      <c r="D613" s="11"/>
      <c r="E613" s="10"/>
      <c r="F613" s="1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0"/>
      <c r="V613" s="11"/>
      <c r="W613" s="10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2.75" customHeight="1">
      <c r="A614" s="10"/>
      <c r="B614" s="11"/>
      <c r="C614" s="10"/>
      <c r="D614" s="11"/>
      <c r="E614" s="10"/>
      <c r="F614" s="1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0"/>
      <c r="V614" s="11"/>
      <c r="W614" s="10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2.75" customHeight="1">
      <c r="A615" s="10"/>
      <c r="B615" s="11"/>
      <c r="C615" s="10"/>
      <c r="D615" s="11"/>
      <c r="E615" s="10"/>
      <c r="F615" s="1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0"/>
      <c r="V615" s="11"/>
      <c r="W615" s="10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2.75" customHeight="1">
      <c r="A616" s="10"/>
      <c r="B616" s="11"/>
      <c r="C616" s="10"/>
      <c r="D616" s="11"/>
      <c r="E616" s="10"/>
      <c r="F616" s="1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0"/>
      <c r="V616" s="11"/>
      <c r="W616" s="10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2.75" customHeight="1">
      <c r="A617" s="10"/>
      <c r="B617" s="11"/>
      <c r="C617" s="10"/>
      <c r="D617" s="11"/>
      <c r="E617" s="10"/>
      <c r="F617" s="1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0"/>
      <c r="V617" s="11"/>
      <c r="W617" s="10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2.75" customHeight="1">
      <c r="A618" s="10"/>
      <c r="B618" s="11"/>
      <c r="C618" s="10"/>
      <c r="D618" s="11"/>
      <c r="E618" s="10"/>
      <c r="F618" s="1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0"/>
      <c r="V618" s="11"/>
      <c r="W618" s="10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2.75" customHeight="1">
      <c r="A619" s="10"/>
      <c r="B619" s="11"/>
      <c r="C619" s="10"/>
      <c r="D619" s="11"/>
      <c r="E619" s="10"/>
      <c r="F619" s="1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0"/>
      <c r="V619" s="11"/>
      <c r="W619" s="10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2.75" customHeight="1">
      <c r="A620" s="10"/>
      <c r="B620" s="11"/>
      <c r="C620" s="10"/>
      <c r="D620" s="11"/>
      <c r="E620" s="10"/>
      <c r="F620" s="1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0"/>
      <c r="V620" s="11"/>
      <c r="W620" s="10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2.75" customHeight="1">
      <c r="A621" s="10"/>
      <c r="B621" s="11"/>
      <c r="C621" s="10"/>
      <c r="D621" s="11"/>
      <c r="E621" s="10"/>
      <c r="F621" s="1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0"/>
      <c r="V621" s="11"/>
      <c r="W621" s="10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2.75" customHeight="1">
      <c r="A622" s="10"/>
      <c r="B622" s="11"/>
      <c r="C622" s="10"/>
      <c r="D622" s="11"/>
      <c r="E622" s="10"/>
      <c r="F622" s="1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0"/>
      <c r="V622" s="11"/>
      <c r="W622" s="10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2.75" customHeight="1">
      <c r="A623" s="10"/>
      <c r="B623" s="11"/>
      <c r="C623" s="10"/>
      <c r="D623" s="11"/>
      <c r="E623" s="10"/>
      <c r="F623" s="1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0"/>
      <c r="V623" s="11"/>
      <c r="W623" s="10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2.75" customHeight="1">
      <c r="A624" s="10"/>
      <c r="B624" s="11"/>
      <c r="C624" s="10"/>
      <c r="D624" s="11"/>
      <c r="E624" s="10"/>
      <c r="F624" s="1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0"/>
      <c r="V624" s="11"/>
      <c r="W624" s="10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2.75" customHeight="1">
      <c r="A625" s="10"/>
      <c r="B625" s="11"/>
      <c r="C625" s="10"/>
      <c r="D625" s="11"/>
      <c r="E625" s="10"/>
      <c r="F625" s="1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0"/>
      <c r="V625" s="11"/>
      <c r="W625" s="10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2.75" customHeight="1">
      <c r="A626" s="10"/>
      <c r="B626" s="11"/>
      <c r="C626" s="10"/>
      <c r="D626" s="11"/>
      <c r="E626" s="10"/>
      <c r="F626" s="1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0"/>
      <c r="V626" s="11"/>
      <c r="W626" s="10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2.75" customHeight="1">
      <c r="A627" s="10"/>
      <c r="B627" s="11"/>
      <c r="C627" s="10"/>
      <c r="D627" s="11"/>
      <c r="E627" s="10"/>
      <c r="F627" s="1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0"/>
      <c r="V627" s="11"/>
      <c r="W627" s="10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2.75" customHeight="1">
      <c r="A628" s="10"/>
      <c r="B628" s="11"/>
      <c r="C628" s="10"/>
      <c r="D628" s="11"/>
      <c r="E628" s="10"/>
      <c r="F628" s="1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0"/>
      <c r="V628" s="11"/>
      <c r="W628" s="10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2.75" customHeight="1">
      <c r="A629" s="10"/>
      <c r="B629" s="11"/>
      <c r="C629" s="10"/>
      <c r="D629" s="11"/>
      <c r="E629" s="10"/>
      <c r="F629" s="1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0"/>
      <c r="V629" s="11"/>
      <c r="W629" s="10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2.75" customHeight="1">
      <c r="A630" s="10"/>
      <c r="B630" s="11"/>
      <c r="C630" s="10"/>
      <c r="D630" s="11"/>
      <c r="E630" s="10"/>
      <c r="F630" s="1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0"/>
      <c r="V630" s="11"/>
      <c r="W630" s="10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2.75" customHeight="1">
      <c r="A631" s="10"/>
      <c r="B631" s="11"/>
      <c r="C631" s="10"/>
      <c r="D631" s="11"/>
      <c r="E631" s="10"/>
      <c r="F631" s="1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0"/>
      <c r="V631" s="11"/>
      <c r="W631" s="10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2.75" customHeight="1">
      <c r="A632" s="10"/>
      <c r="B632" s="11"/>
      <c r="C632" s="10"/>
      <c r="D632" s="11"/>
      <c r="E632" s="10"/>
      <c r="F632" s="1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0"/>
      <c r="V632" s="11"/>
      <c r="W632" s="10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2.75" customHeight="1">
      <c r="A633" s="10"/>
      <c r="B633" s="11"/>
      <c r="C633" s="10"/>
      <c r="D633" s="11"/>
      <c r="E633" s="10"/>
      <c r="F633" s="1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0"/>
      <c r="V633" s="11"/>
      <c r="W633" s="10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2.75" customHeight="1">
      <c r="A634" s="10"/>
      <c r="B634" s="11"/>
      <c r="C634" s="10"/>
      <c r="D634" s="11"/>
      <c r="E634" s="10"/>
      <c r="F634" s="1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0"/>
      <c r="V634" s="11"/>
      <c r="W634" s="10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2.75" customHeight="1">
      <c r="A635" s="10"/>
      <c r="B635" s="11"/>
      <c r="C635" s="10"/>
      <c r="D635" s="11"/>
      <c r="E635" s="10"/>
      <c r="F635" s="1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0"/>
      <c r="V635" s="11"/>
      <c r="W635" s="10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2.75" customHeight="1">
      <c r="A636" s="10"/>
      <c r="B636" s="11"/>
      <c r="C636" s="10"/>
      <c r="D636" s="11"/>
      <c r="E636" s="10"/>
      <c r="F636" s="1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0"/>
      <c r="V636" s="11"/>
      <c r="W636" s="10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2.75" customHeight="1">
      <c r="A637" s="10"/>
      <c r="B637" s="11"/>
      <c r="C637" s="10"/>
      <c r="D637" s="11"/>
      <c r="E637" s="10"/>
      <c r="F637" s="1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0"/>
      <c r="V637" s="11"/>
      <c r="W637" s="10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2.75" customHeight="1">
      <c r="A638" s="10"/>
      <c r="B638" s="11"/>
      <c r="C638" s="10"/>
      <c r="D638" s="11"/>
      <c r="E638" s="10"/>
      <c r="F638" s="1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0"/>
      <c r="V638" s="11"/>
      <c r="W638" s="10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2.75" customHeight="1">
      <c r="A639" s="10"/>
      <c r="B639" s="11"/>
      <c r="C639" s="10"/>
      <c r="D639" s="11"/>
      <c r="E639" s="10"/>
      <c r="F639" s="1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0"/>
      <c r="V639" s="11"/>
      <c r="W639" s="10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2.75" customHeight="1">
      <c r="A640" s="10"/>
      <c r="B640" s="11"/>
      <c r="C640" s="10"/>
      <c r="D640" s="11"/>
      <c r="E640" s="10"/>
      <c r="F640" s="1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0"/>
      <c r="V640" s="11"/>
      <c r="W640" s="10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2.75" customHeight="1">
      <c r="A641" s="10"/>
      <c r="B641" s="11"/>
      <c r="C641" s="10"/>
      <c r="D641" s="11"/>
      <c r="E641" s="10"/>
      <c r="F641" s="1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0"/>
      <c r="V641" s="11"/>
      <c r="W641" s="10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2.75" customHeight="1">
      <c r="A642" s="10"/>
      <c r="B642" s="11"/>
      <c r="C642" s="10"/>
      <c r="D642" s="11"/>
      <c r="E642" s="10"/>
      <c r="F642" s="1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0"/>
      <c r="V642" s="11"/>
      <c r="W642" s="10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2.75" customHeight="1">
      <c r="A643" s="10"/>
      <c r="B643" s="11"/>
      <c r="C643" s="10"/>
      <c r="D643" s="11"/>
      <c r="E643" s="10"/>
      <c r="F643" s="1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0"/>
      <c r="V643" s="11"/>
      <c r="W643" s="10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2.75" customHeight="1">
      <c r="A644" s="10"/>
      <c r="B644" s="11"/>
      <c r="C644" s="10"/>
      <c r="D644" s="11"/>
      <c r="E644" s="10"/>
      <c r="F644" s="1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0"/>
      <c r="V644" s="11"/>
      <c r="W644" s="10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2.75" customHeight="1">
      <c r="A645" s="10"/>
      <c r="B645" s="11"/>
      <c r="C645" s="10"/>
      <c r="D645" s="11"/>
      <c r="E645" s="10"/>
      <c r="F645" s="1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0"/>
      <c r="V645" s="11"/>
      <c r="W645" s="10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2.75" customHeight="1">
      <c r="A646" s="10"/>
      <c r="B646" s="11"/>
      <c r="C646" s="10"/>
      <c r="D646" s="11"/>
      <c r="E646" s="10"/>
      <c r="F646" s="1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0"/>
      <c r="V646" s="11"/>
      <c r="W646" s="10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2.75" customHeight="1">
      <c r="A647" s="10"/>
      <c r="B647" s="11"/>
      <c r="C647" s="10"/>
      <c r="D647" s="11"/>
      <c r="E647" s="10"/>
      <c r="F647" s="1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0"/>
      <c r="V647" s="11"/>
      <c r="W647" s="10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2.75" customHeight="1">
      <c r="A648" s="10"/>
      <c r="B648" s="11"/>
      <c r="C648" s="10"/>
      <c r="D648" s="11"/>
      <c r="E648" s="10"/>
      <c r="F648" s="1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0"/>
      <c r="V648" s="11"/>
      <c r="W648" s="10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2.75" customHeight="1">
      <c r="A649" s="10"/>
      <c r="B649" s="11"/>
      <c r="C649" s="10"/>
      <c r="D649" s="11"/>
      <c r="E649" s="10"/>
      <c r="F649" s="1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0"/>
      <c r="V649" s="11"/>
      <c r="W649" s="10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2.75" customHeight="1">
      <c r="A650" s="10"/>
      <c r="B650" s="11"/>
      <c r="C650" s="10"/>
      <c r="D650" s="11"/>
      <c r="E650" s="10"/>
      <c r="F650" s="1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0"/>
      <c r="V650" s="11"/>
      <c r="W650" s="10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2.75" customHeight="1">
      <c r="A651" s="10"/>
      <c r="B651" s="11"/>
      <c r="C651" s="10"/>
      <c r="D651" s="11"/>
      <c r="E651" s="10"/>
      <c r="F651" s="1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0"/>
      <c r="V651" s="11"/>
      <c r="W651" s="10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2.75" customHeight="1">
      <c r="A652" s="10"/>
      <c r="B652" s="11"/>
      <c r="C652" s="10"/>
      <c r="D652" s="11"/>
      <c r="E652" s="10"/>
      <c r="F652" s="1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0"/>
      <c r="V652" s="11"/>
      <c r="W652" s="10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2.75" customHeight="1">
      <c r="A653" s="10"/>
      <c r="B653" s="11"/>
      <c r="C653" s="10"/>
      <c r="D653" s="11"/>
      <c r="E653" s="10"/>
      <c r="F653" s="1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0"/>
      <c r="V653" s="11"/>
      <c r="W653" s="10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2.75" customHeight="1">
      <c r="A654" s="10"/>
      <c r="B654" s="11"/>
      <c r="C654" s="10"/>
      <c r="D654" s="11"/>
      <c r="E654" s="10"/>
      <c r="F654" s="1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0"/>
      <c r="V654" s="11"/>
      <c r="W654" s="10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2.75" customHeight="1">
      <c r="A655" s="10"/>
      <c r="B655" s="11"/>
      <c r="C655" s="10"/>
      <c r="D655" s="11"/>
      <c r="E655" s="10"/>
      <c r="F655" s="1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0"/>
      <c r="V655" s="11"/>
      <c r="W655" s="10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2.75" customHeight="1">
      <c r="A656" s="10"/>
      <c r="B656" s="11"/>
      <c r="C656" s="10"/>
      <c r="D656" s="11"/>
      <c r="E656" s="10"/>
      <c r="F656" s="1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0"/>
      <c r="V656" s="11"/>
      <c r="W656" s="10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2.75" customHeight="1">
      <c r="A657" s="10"/>
      <c r="B657" s="11"/>
      <c r="C657" s="10"/>
      <c r="D657" s="11"/>
      <c r="E657" s="10"/>
      <c r="F657" s="1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0"/>
      <c r="V657" s="11"/>
      <c r="W657" s="10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2.75" customHeight="1">
      <c r="A658" s="10"/>
      <c r="B658" s="11"/>
      <c r="C658" s="10"/>
      <c r="D658" s="11"/>
      <c r="E658" s="10"/>
      <c r="F658" s="1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0"/>
      <c r="V658" s="11"/>
      <c r="W658" s="10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2.75" customHeight="1">
      <c r="A659" s="10"/>
      <c r="B659" s="11"/>
      <c r="C659" s="10"/>
      <c r="D659" s="11"/>
      <c r="E659" s="10"/>
      <c r="F659" s="1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0"/>
      <c r="V659" s="11"/>
      <c r="W659" s="10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2.75" customHeight="1">
      <c r="A660" s="10"/>
      <c r="B660" s="11"/>
      <c r="C660" s="10"/>
      <c r="D660" s="11"/>
      <c r="E660" s="10"/>
      <c r="F660" s="1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0"/>
      <c r="V660" s="11"/>
      <c r="W660" s="10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2.75" customHeight="1">
      <c r="A661" s="10"/>
      <c r="B661" s="11"/>
      <c r="C661" s="10"/>
      <c r="D661" s="11"/>
      <c r="E661" s="10"/>
      <c r="F661" s="1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0"/>
      <c r="V661" s="11"/>
      <c r="W661" s="10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2.75" customHeight="1">
      <c r="A662" s="10"/>
      <c r="B662" s="11"/>
      <c r="C662" s="10"/>
      <c r="D662" s="11"/>
      <c r="E662" s="10"/>
      <c r="F662" s="1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0"/>
      <c r="V662" s="11"/>
      <c r="W662" s="10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2.75" customHeight="1">
      <c r="A663" s="10"/>
      <c r="B663" s="11"/>
      <c r="C663" s="10"/>
      <c r="D663" s="11"/>
      <c r="E663" s="10"/>
      <c r="F663" s="1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0"/>
      <c r="V663" s="11"/>
      <c r="W663" s="10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2.75" customHeight="1">
      <c r="A664" s="10"/>
      <c r="B664" s="11"/>
      <c r="C664" s="10"/>
      <c r="D664" s="11"/>
      <c r="E664" s="10"/>
      <c r="F664" s="1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0"/>
      <c r="V664" s="11"/>
      <c r="W664" s="10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2.75" customHeight="1">
      <c r="A665" s="10"/>
      <c r="B665" s="11"/>
      <c r="C665" s="10"/>
      <c r="D665" s="11"/>
      <c r="E665" s="10"/>
      <c r="F665" s="1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0"/>
      <c r="V665" s="11"/>
      <c r="W665" s="10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2.75" customHeight="1">
      <c r="A666" s="10"/>
      <c r="B666" s="11"/>
      <c r="C666" s="10"/>
      <c r="D666" s="11"/>
      <c r="E666" s="10"/>
      <c r="F666" s="1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0"/>
      <c r="V666" s="11"/>
      <c r="W666" s="10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2.75" customHeight="1">
      <c r="A667" s="10"/>
      <c r="B667" s="11"/>
      <c r="C667" s="10"/>
      <c r="D667" s="11"/>
      <c r="E667" s="10"/>
      <c r="F667" s="1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0"/>
      <c r="V667" s="11"/>
      <c r="W667" s="10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2.75" customHeight="1">
      <c r="A668" s="10"/>
      <c r="B668" s="11"/>
      <c r="C668" s="10"/>
      <c r="D668" s="11"/>
      <c r="E668" s="10"/>
      <c r="F668" s="1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0"/>
      <c r="V668" s="11"/>
      <c r="W668" s="10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2.75" customHeight="1">
      <c r="A669" s="10"/>
      <c r="B669" s="11"/>
      <c r="C669" s="10"/>
      <c r="D669" s="11"/>
      <c r="E669" s="10"/>
      <c r="F669" s="1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0"/>
      <c r="V669" s="11"/>
      <c r="W669" s="10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2.75" customHeight="1">
      <c r="A670" s="10"/>
      <c r="B670" s="11"/>
      <c r="C670" s="10"/>
      <c r="D670" s="11"/>
      <c r="E670" s="10"/>
      <c r="F670" s="1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0"/>
      <c r="V670" s="11"/>
      <c r="W670" s="10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2.75" customHeight="1">
      <c r="A671" s="10"/>
      <c r="B671" s="11"/>
      <c r="C671" s="10"/>
      <c r="D671" s="11"/>
      <c r="E671" s="10"/>
      <c r="F671" s="1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0"/>
      <c r="V671" s="11"/>
      <c r="W671" s="10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2.75" customHeight="1">
      <c r="A672" s="10"/>
      <c r="B672" s="11"/>
      <c r="C672" s="10"/>
      <c r="D672" s="11"/>
      <c r="E672" s="10"/>
      <c r="F672" s="1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0"/>
      <c r="V672" s="11"/>
      <c r="W672" s="10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2.75" customHeight="1">
      <c r="A673" s="10"/>
      <c r="B673" s="11"/>
      <c r="C673" s="10"/>
      <c r="D673" s="11"/>
      <c r="E673" s="10"/>
      <c r="F673" s="1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0"/>
      <c r="V673" s="11"/>
      <c r="W673" s="10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2.75" customHeight="1">
      <c r="A674" s="10"/>
      <c r="B674" s="11"/>
      <c r="C674" s="10"/>
      <c r="D674" s="11"/>
      <c r="E674" s="10"/>
      <c r="F674" s="1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0"/>
      <c r="V674" s="11"/>
      <c r="W674" s="10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2.75" customHeight="1">
      <c r="A675" s="10"/>
      <c r="B675" s="11"/>
      <c r="C675" s="10"/>
      <c r="D675" s="11"/>
      <c r="E675" s="10"/>
      <c r="F675" s="1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0"/>
      <c r="V675" s="11"/>
      <c r="W675" s="10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2.75" customHeight="1">
      <c r="A676" s="10"/>
      <c r="B676" s="11"/>
      <c r="C676" s="10"/>
      <c r="D676" s="11"/>
      <c r="E676" s="10"/>
      <c r="F676" s="1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0"/>
      <c r="V676" s="11"/>
      <c r="W676" s="10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2.75" customHeight="1">
      <c r="A677" s="10"/>
      <c r="B677" s="11"/>
      <c r="C677" s="10"/>
      <c r="D677" s="11"/>
      <c r="E677" s="10"/>
      <c r="F677" s="1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0"/>
      <c r="V677" s="11"/>
      <c r="W677" s="10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2.75" customHeight="1">
      <c r="A678" s="10"/>
      <c r="B678" s="11"/>
      <c r="C678" s="10"/>
      <c r="D678" s="11"/>
      <c r="E678" s="10"/>
      <c r="F678" s="1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0"/>
      <c r="V678" s="11"/>
      <c r="W678" s="10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2.75" customHeight="1">
      <c r="A679" s="10"/>
      <c r="B679" s="11"/>
      <c r="C679" s="10"/>
      <c r="D679" s="11"/>
      <c r="E679" s="10"/>
      <c r="F679" s="1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0"/>
      <c r="V679" s="11"/>
      <c r="W679" s="10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2.75" customHeight="1">
      <c r="A680" s="10"/>
      <c r="B680" s="11"/>
      <c r="C680" s="10"/>
      <c r="D680" s="11"/>
      <c r="E680" s="10"/>
      <c r="F680" s="1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0"/>
      <c r="V680" s="11"/>
      <c r="W680" s="10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2.75" customHeight="1">
      <c r="A681" s="10"/>
      <c r="B681" s="11"/>
      <c r="C681" s="10"/>
      <c r="D681" s="11"/>
      <c r="E681" s="10"/>
      <c r="F681" s="1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0"/>
      <c r="V681" s="11"/>
      <c r="W681" s="10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2.75" customHeight="1">
      <c r="A682" s="10"/>
      <c r="B682" s="11"/>
      <c r="C682" s="10"/>
      <c r="D682" s="11"/>
      <c r="E682" s="10"/>
      <c r="F682" s="1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0"/>
      <c r="V682" s="11"/>
      <c r="W682" s="10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2.75" customHeight="1">
      <c r="A683" s="10"/>
      <c r="B683" s="11"/>
      <c r="C683" s="10"/>
      <c r="D683" s="11"/>
      <c r="E683" s="10"/>
      <c r="F683" s="1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0"/>
      <c r="V683" s="11"/>
      <c r="W683" s="10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2.75" customHeight="1">
      <c r="A684" s="10"/>
      <c r="B684" s="11"/>
      <c r="C684" s="10"/>
      <c r="D684" s="11"/>
      <c r="E684" s="10"/>
      <c r="F684" s="1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0"/>
      <c r="V684" s="11"/>
      <c r="W684" s="10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2.75" customHeight="1">
      <c r="A685" s="10"/>
      <c r="B685" s="11"/>
      <c r="C685" s="10"/>
      <c r="D685" s="11"/>
      <c r="E685" s="10"/>
      <c r="F685" s="1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0"/>
      <c r="V685" s="11"/>
      <c r="W685" s="10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2.75" customHeight="1">
      <c r="A686" s="10"/>
      <c r="B686" s="11"/>
      <c r="C686" s="10"/>
      <c r="D686" s="11"/>
      <c r="E686" s="10"/>
      <c r="F686" s="1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0"/>
      <c r="V686" s="11"/>
      <c r="W686" s="10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2.75" customHeight="1">
      <c r="A687" s="10"/>
      <c r="B687" s="11"/>
      <c r="C687" s="10"/>
      <c r="D687" s="11"/>
      <c r="E687" s="10"/>
      <c r="F687" s="1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0"/>
      <c r="V687" s="11"/>
      <c r="W687" s="10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2.75" customHeight="1">
      <c r="A688" s="10"/>
      <c r="B688" s="11"/>
      <c r="C688" s="10"/>
      <c r="D688" s="11"/>
      <c r="E688" s="10"/>
      <c r="F688" s="1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0"/>
      <c r="V688" s="11"/>
      <c r="W688" s="10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2.75" customHeight="1">
      <c r="A689" s="10"/>
      <c r="B689" s="11"/>
      <c r="C689" s="10"/>
      <c r="D689" s="11"/>
      <c r="E689" s="10"/>
      <c r="F689" s="1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0"/>
      <c r="V689" s="11"/>
      <c r="W689" s="10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2.75" customHeight="1">
      <c r="A690" s="10"/>
      <c r="B690" s="11"/>
      <c r="C690" s="10"/>
      <c r="D690" s="11"/>
      <c r="E690" s="10"/>
      <c r="F690" s="1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0"/>
      <c r="V690" s="11"/>
      <c r="W690" s="10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2.75" customHeight="1">
      <c r="A691" s="10"/>
      <c r="B691" s="11"/>
      <c r="C691" s="10"/>
      <c r="D691" s="11"/>
      <c r="E691" s="10"/>
      <c r="F691" s="1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0"/>
      <c r="V691" s="11"/>
      <c r="W691" s="10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2.75" customHeight="1">
      <c r="A692" s="10"/>
      <c r="B692" s="11"/>
      <c r="C692" s="10"/>
      <c r="D692" s="11"/>
      <c r="E692" s="10"/>
      <c r="F692" s="1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0"/>
      <c r="V692" s="11"/>
      <c r="W692" s="10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2.75" customHeight="1">
      <c r="A693" s="10"/>
      <c r="B693" s="11"/>
      <c r="C693" s="10"/>
      <c r="D693" s="11"/>
      <c r="E693" s="10"/>
      <c r="F693" s="1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0"/>
      <c r="V693" s="11"/>
      <c r="W693" s="10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2.75" customHeight="1">
      <c r="A694" s="10"/>
      <c r="B694" s="11"/>
      <c r="C694" s="10"/>
      <c r="D694" s="11"/>
      <c r="E694" s="10"/>
      <c r="F694" s="1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0"/>
      <c r="V694" s="11"/>
      <c r="W694" s="10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2.75" customHeight="1">
      <c r="A695" s="10"/>
      <c r="B695" s="11"/>
      <c r="C695" s="10"/>
      <c r="D695" s="11"/>
      <c r="E695" s="10"/>
      <c r="F695" s="1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0"/>
      <c r="V695" s="11"/>
      <c r="W695" s="10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2.75" customHeight="1">
      <c r="A696" s="10"/>
      <c r="B696" s="11"/>
      <c r="C696" s="10"/>
      <c r="D696" s="11"/>
      <c r="E696" s="10"/>
      <c r="F696" s="1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0"/>
      <c r="V696" s="11"/>
      <c r="W696" s="10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2.75" customHeight="1">
      <c r="A697" s="10"/>
      <c r="B697" s="11"/>
      <c r="C697" s="10"/>
      <c r="D697" s="11"/>
      <c r="E697" s="10"/>
      <c r="F697" s="1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0"/>
      <c r="V697" s="11"/>
      <c r="W697" s="10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2.75" customHeight="1">
      <c r="A698" s="10"/>
      <c r="B698" s="11"/>
      <c r="C698" s="10"/>
      <c r="D698" s="11"/>
      <c r="E698" s="10"/>
      <c r="F698" s="1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0"/>
      <c r="V698" s="11"/>
      <c r="W698" s="10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2.75" customHeight="1">
      <c r="A699" s="10"/>
      <c r="B699" s="11"/>
      <c r="C699" s="10"/>
      <c r="D699" s="11"/>
      <c r="E699" s="10"/>
      <c r="F699" s="1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0"/>
      <c r="V699" s="11"/>
      <c r="W699" s="10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2.75" customHeight="1">
      <c r="A700" s="10"/>
      <c r="B700" s="11"/>
      <c r="C700" s="10"/>
      <c r="D700" s="11"/>
      <c r="E700" s="10"/>
      <c r="F700" s="1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0"/>
      <c r="V700" s="11"/>
      <c r="W700" s="10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2.75" customHeight="1">
      <c r="A701" s="10"/>
      <c r="B701" s="11"/>
      <c r="C701" s="10"/>
      <c r="D701" s="11"/>
      <c r="E701" s="10"/>
      <c r="F701" s="1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0"/>
      <c r="V701" s="11"/>
      <c r="W701" s="10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2.75" customHeight="1">
      <c r="A702" s="10"/>
      <c r="B702" s="11"/>
      <c r="C702" s="10"/>
      <c r="D702" s="11"/>
      <c r="E702" s="10"/>
      <c r="F702" s="1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0"/>
      <c r="V702" s="11"/>
      <c r="W702" s="10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2.75" customHeight="1">
      <c r="A703" s="10"/>
      <c r="B703" s="11"/>
      <c r="C703" s="10"/>
      <c r="D703" s="11"/>
      <c r="E703" s="10"/>
      <c r="F703" s="1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0"/>
      <c r="V703" s="11"/>
      <c r="W703" s="10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2.75" customHeight="1">
      <c r="A704" s="10"/>
      <c r="B704" s="11"/>
      <c r="C704" s="10"/>
      <c r="D704" s="11"/>
      <c r="E704" s="10"/>
      <c r="F704" s="1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0"/>
      <c r="V704" s="11"/>
      <c r="W704" s="10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2.75" customHeight="1">
      <c r="A705" s="10"/>
      <c r="B705" s="11"/>
      <c r="C705" s="10"/>
      <c r="D705" s="11"/>
      <c r="E705" s="10"/>
      <c r="F705" s="1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0"/>
      <c r="V705" s="11"/>
      <c r="W705" s="10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2.75" customHeight="1">
      <c r="A706" s="10"/>
      <c r="B706" s="11"/>
      <c r="C706" s="10"/>
      <c r="D706" s="11"/>
      <c r="E706" s="10"/>
      <c r="F706" s="1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0"/>
      <c r="V706" s="11"/>
      <c r="W706" s="10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2.75" customHeight="1">
      <c r="A707" s="10"/>
      <c r="B707" s="11"/>
      <c r="C707" s="10"/>
      <c r="D707" s="11"/>
      <c r="E707" s="10"/>
      <c r="F707" s="1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0"/>
      <c r="V707" s="11"/>
      <c r="W707" s="10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2.75" customHeight="1">
      <c r="A708" s="10"/>
      <c r="B708" s="11"/>
      <c r="C708" s="10"/>
      <c r="D708" s="11"/>
      <c r="E708" s="10"/>
      <c r="F708" s="1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0"/>
      <c r="V708" s="11"/>
      <c r="W708" s="10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2.75" customHeight="1">
      <c r="A709" s="10"/>
      <c r="B709" s="11"/>
      <c r="C709" s="10"/>
      <c r="D709" s="11"/>
      <c r="E709" s="10"/>
      <c r="F709" s="1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0"/>
      <c r="V709" s="11"/>
      <c r="W709" s="10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2.75" customHeight="1">
      <c r="A710" s="10"/>
      <c r="B710" s="11"/>
      <c r="C710" s="10"/>
      <c r="D710" s="11"/>
      <c r="E710" s="10"/>
      <c r="F710" s="1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0"/>
      <c r="V710" s="11"/>
      <c r="W710" s="10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2.75" customHeight="1">
      <c r="A711" s="10"/>
      <c r="B711" s="11"/>
      <c r="C711" s="10"/>
      <c r="D711" s="11"/>
      <c r="E711" s="10"/>
      <c r="F711" s="1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0"/>
      <c r="V711" s="11"/>
      <c r="W711" s="10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2.75" customHeight="1">
      <c r="A712" s="10"/>
      <c r="B712" s="11"/>
      <c r="C712" s="10"/>
      <c r="D712" s="11"/>
      <c r="E712" s="10"/>
      <c r="F712" s="1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0"/>
      <c r="V712" s="11"/>
      <c r="W712" s="10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2.75" customHeight="1">
      <c r="A713" s="10"/>
      <c r="B713" s="11"/>
      <c r="C713" s="10"/>
      <c r="D713" s="11"/>
      <c r="E713" s="10"/>
      <c r="F713" s="1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0"/>
      <c r="V713" s="11"/>
      <c r="W713" s="10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2.75" customHeight="1">
      <c r="A714" s="10"/>
      <c r="B714" s="11"/>
      <c r="C714" s="10"/>
      <c r="D714" s="11"/>
      <c r="E714" s="10"/>
      <c r="F714" s="1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0"/>
      <c r="V714" s="11"/>
      <c r="W714" s="10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2.75" customHeight="1">
      <c r="A715" s="10"/>
      <c r="B715" s="11"/>
      <c r="C715" s="10"/>
      <c r="D715" s="11"/>
      <c r="E715" s="10"/>
      <c r="F715" s="1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0"/>
      <c r="V715" s="11"/>
      <c r="W715" s="10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2.75" customHeight="1">
      <c r="A716" s="10"/>
      <c r="B716" s="11"/>
      <c r="C716" s="10"/>
      <c r="D716" s="11"/>
      <c r="E716" s="10"/>
      <c r="F716" s="1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0"/>
      <c r="V716" s="11"/>
      <c r="W716" s="10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2.75" customHeight="1">
      <c r="A717" s="10"/>
      <c r="B717" s="11"/>
      <c r="C717" s="10"/>
      <c r="D717" s="11"/>
      <c r="E717" s="10"/>
      <c r="F717" s="1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0"/>
      <c r="V717" s="11"/>
      <c r="W717" s="10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2.75" customHeight="1">
      <c r="A718" s="10"/>
      <c r="B718" s="11"/>
      <c r="C718" s="10"/>
      <c r="D718" s="11"/>
      <c r="E718" s="10"/>
      <c r="F718" s="1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0"/>
      <c r="V718" s="11"/>
      <c r="W718" s="10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2.75" customHeight="1">
      <c r="A719" s="10"/>
      <c r="B719" s="11"/>
      <c r="C719" s="10"/>
      <c r="D719" s="11"/>
      <c r="E719" s="10"/>
      <c r="F719" s="1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0"/>
      <c r="V719" s="11"/>
      <c r="W719" s="10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2.75" customHeight="1">
      <c r="A720" s="10"/>
      <c r="B720" s="11"/>
      <c r="C720" s="10"/>
      <c r="D720" s="11"/>
      <c r="E720" s="10"/>
      <c r="F720" s="1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0"/>
      <c r="V720" s="11"/>
      <c r="W720" s="10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2.75" customHeight="1">
      <c r="A721" s="10"/>
      <c r="B721" s="11"/>
      <c r="C721" s="10"/>
      <c r="D721" s="11"/>
      <c r="E721" s="10"/>
      <c r="F721" s="1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0"/>
      <c r="V721" s="11"/>
      <c r="W721" s="10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2.75" customHeight="1">
      <c r="A722" s="10"/>
      <c r="B722" s="11"/>
      <c r="C722" s="10"/>
      <c r="D722" s="11"/>
      <c r="E722" s="10"/>
      <c r="F722" s="1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0"/>
      <c r="V722" s="11"/>
      <c r="W722" s="10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2.75" customHeight="1">
      <c r="A723" s="10"/>
      <c r="B723" s="11"/>
      <c r="C723" s="10"/>
      <c r="D723" s="11"/>
      <c r="E723" s="10"/>
      <c r="F723" s="1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0"/>
      <c r="V723" s="11"/>
      <c r="W723" s="10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2.75" customHeight="1">
      <c r="A724" s="10"/>
      <c r="B724" s="11"/>
      <c r="C724" s="10"/>
      <c r="D724" s="11"/>
      <c r="E724" s="10"/>
      <c r="F724" s="1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0"/>
      <c r="V724" s="11"/>
      <c r="W724" s="10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2.75" customHeight="1">
      <c r="A725" s="10"/>
      <c r="B725" s="11"/>
      <c r="C725" s="10"/>
      <c r="D725" s="11"/>
      <c r="E725" s="10"/>
      <c r="F725" s="1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0"/>
      <c r="V725" s="11"/>
      <c r="W725" s="10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2.75" customHeight="1">
      <c r="A726" s="10"/>
      <c r="B726" s="11"/>
      <c r="C726" s="10"/>
      <c r="D726" s="11"/>
      <c r="E726" s="10"/>
      <c r="F726" s="1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0"/>
      <c r="V726" s="11"/>
      <c r="W726" s="10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2.75" customHeight="1">
      <c r="A727" s="10"/>
      <c r="B727" s="11"/>
      <c r="C727" s="10"/>
      <c r="D727" s="11"/>
      <c r="E727" s="10"/>
      <c r="F727" s="1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0"/>
      <c r="V727" s="11"/>
      <c r="W727" s="10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2.75" customHeight="1">
      <c r="A728" s="10"/>
      <c r="B728" s="11"/>
      <c r="C728" s="10"/>
      <c r="D728" s="11"/>
      <c r="E728" s="10"/>
      <c r="F728" s="1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0"/>
      <c r="V728" s="11"/>
      <c r="W728" s="10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2.75" customHeight="1">
      <c r="A729" s="10"/>
      <c r="B729" s="11"/>
      <c r="C729" s="10"/>
      <c r="D729" s="11"/>
      <c r="E729" s="10"/>
      <c r="F729" s="1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0"/>
      <c r="V729" s="11"/>
      <c r="W729" s="10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2.75" customHeight="1">
      <c r="A730" s="10"/>
      <c r="B730" s="11"/>
      <c r="C730" s="10"/>
      <c r="D730" s="11"/>
      <c r="E730" s="10"/>
      <c r="F730" s="1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0"/>
      <c r="V730" s="11"/>
      <c r="W730" s="10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2.75" customHeight="1">
      <c r="A731" s="10"/>
      <c r="B731" s="11"/>
      <c r="C731" s="10"/>
      <c r="D731" s="11"/>
      <c r="E731" s="10"/>
      <c r="F731" s="1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0"/>
      <c r="V731" s="11"/>
      <c r="W731" s="10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2.75" customHeight="1">
      <c r="A732" s="10"/>
      <c r="B732" s="11"/>
      <c r="C732" s="10"/>
      <c r="D732" s="11"/>
      <c r="E732" s="10"/>
      <c r="F732" s="1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0"/>
      <c r="V732" s="11"/>
      <c r="W732" s="10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2.75" customHeight="1">
      <c r="A733" s="10"/>
      <c r="B733" s="11"/>
      <c r="C733" s="10"/>
      <c r="D733" s="11"/>
      <c r="E733" s="10"/>
      <c r="F733" s="1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0"/>
      <c r="V733" s="11"/>
      <c r="W733" s="10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2.75" customHeight="1">
      <c r="A734" s="10"/>
      <c r="B734" s="11"/>
      <c r="C734" s="10"/>
      <c r="D734" s="11"/>
      <c r="E734" s="10"/>
      <c r="F734" s="1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0"/>
      <c r="V734" s="11"/>
      <c r="W734" s="10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2.75" customHeight="1">
      <c r="A735" s="10"/>
      <c r="B735" s="11"/>
      <c r="C735" s="10"/>
      <c r="D735" s="11"/>
      <c r="E735" s="10"/>
      <c r="F735" s="1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0"/>
      <c r="V735" s="11"/>
      <c r="W735" s="10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2.75" customHeight="1">
      <c r="A736" s="10"/>
      <c r="B736" s="11"/>
      <c r="C736" s="10"/>
      <c r="D736" s="11"/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0"/>
      <c r="V736" s="11"/>
      <c r="W736" s="10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2.75" customHeight="1">
      <c r="A737" s="10"/>
      <c r="B737" s="11"/>
      <c r="C737" s="10"/>
      <c r="D737" s="11"/>
      <c r="E737" s="10"/>
      <c r="F737" s="1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0"/>
      <c r="V737" s="11"/>
      <c r="W737" s="10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2.75" customHeight="1">
      <c r="A738" s="10"/>
      <c r="B738" s="11"/>
      <c r="C738" s="10"/>
      <c r="D738" s="11"/>
      <c r="E738" s="10"/>
      <c r="F738" s="1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0"/>
      <c r="V738" s="11"/>
      <c r="W738" s="10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2.75" customHeight="1">
      <c r="A739" s="10"/>
      <c r="B739" s="11"/>
      <c r="C739" s="10"/>
      <c r="D739" s="11"/>
      <c r="E739" s="10"/>
      <c r="F739" s="1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0"/>
      <c r="V739" s="11"/>
      <c r="W739" s="10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2.75" customHeight="1">
      <c r="A740" s="10"/>
      <c r="B740" s="11"/>
      <c r="C740" s="10"/>
      <c r="D740" s="11"/>
      <c r="E740" s="10"/>
      <c r="F740" s="1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0"/>
      <c r="V740" s="11"/>
      <c r="W740" s="10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2.75" customHeight="1">
      <c r="A741" s="10"/>
      <c r="B741" s="11"/>
      <c r="C741" s="10"/>
      <c r="D741" s="11"/>
      <c r="E741" s="10"/>
      <c r="F741" s="1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0"/>
      <c r="V741" s="11"/>
      <c r="W741" s="10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2.75" customHeight="1">
      <c r="A742" s="10"/>
      <c r="B742" s="11"/>
      <c r="C742" s="10"/>
      <c r="D742" s="11"/>
      <c r="E742" s="10"/>
      <c r="F742" s="1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0"/>
      <c r="V742" s="11"/>
      <c r="W742" s="10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2.75" customHeight="1">
      <c r="A743" s="10"/>
      <c r="B743" s="11"/>
      <c r="C743" s="10"/>
      <c r="D743" s="11"/>
      <c r="E743" s="10"/>
      <c r="F743" s="1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0"/>
      <c r="V743" s="11"/>
      <c r="W743" s="10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2.75" customHeight="1">
      <c r="A744" s="10"/>
      <c r="B744" s="11"/>
      <c r="C744" s="10"/>
      <c r="D744" s="11"/>
      <c r="E744" s="10"/>
      <c r="F744" s="1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0"/>
      <c r="V744" s="11"/>
      <c r="W744" s="10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2.75" customHeight="1">
      <c r="A745" s="10"/>
      <c r="B745" s="11"/>
      <c r="C745" s="10"/>
      <c r="D745" s="11"/>
      <c r="E745" s="10"/>
      <c r="F745" s="1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0"/>
      <c r="V745" s="11"/>
      <c r="W745" s="10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2.75" customHeight="1">
      <c r="A746" s="10"/>
      <c r="B746" s="11"/>
      <c r="C746" s="10"/>
      <c r="D746" s="11"/>
      <c r="E746" s="10"/>
      <c r="F746" s="1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0"/>
      <c r="V746" s="11"/>
      <c r="W746" s="10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2.75" customHeight="1">
      <c r="A747" s="10"/>
      <c r="B747" s="11"/>
      <c r="C747" s="10"/>
      <c r="D747" s="11"/>
      <c r="E747" s="10"/>
      <c r="F747" s="1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0"/>
      <c r="V747" s="11"/>
      <c r="W747" s="10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2.75" customHeight="1">
      <c r="A748" s="10"/>
      <c r="B748" s="11"/>
      <c r="C748" s="10"/>
      <c r="D748" s="11"/>
      <c r="E748" s="10"/>
      <c r="F748" s="1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0"/>
      <c r="V748" s="11"/>
      <c r="W748" s="10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2.75" customHeight="1">
      <c r="A749" s="10"/>
      <c r="B749" s="11"/>
      <c r="C749" s="10"/>
      <c r="D749" s="11"/>
      <c r="E749" s="10"/>
      <c r="F749" s="1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0"/>
      <c r="V749" s="11"/>
      <c r="W749" s="10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2.75" customHeight="1">
      <c r="A750" s="10"/>
      <c r="B750" s="11"/>
      <c r="C750" s="10"/>
      <c r="D750" s="11"/>
      <c r="E750" s="10"/>
      <c r="F750" s="1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0"/>
      <c r="V750" s="11"/>
      <c r="W750" s="10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2.75" customHeight="1">
      <c r="A751" s="10"/>
      <c r="B751" s="11"/>
      <c r="C751" s="10"/>
      <c r="D751" s="11"/>
      <c r="E751" s="10"/>
      <c r="F751" s="1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0"/>
      <c r="V751" s="11"/>
      <c r="W751" s="10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2.75" customHeight="1">
      <c r="A752" s="10"/>
      <c r="B752" s="11"/>
      <c r="C752" s="10"/>
      <c r="D752" s="11"/>
      <c r="E752" s="10"/>
      <c r="F752" s="1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0"/>
      <c r="V752" s="11"/>
      <c r="W752" s="10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2.75" customHeight="1">
      <c r="A753" s="10"/>
      <c r="B753" s="11"/>
      <c r="C753" s="10"/>
      <c r="D753" s="11"/>
      <c r="E753" s="10"/>
      <c r="F753" s="1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0"/>
      <c r="V753" s="11"/>
      <c r="W753" s="10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2.75" customHeight="1">
      <c r="A754" s="10"/>
      <c r="B754" s="11"/>
      <c r="C754" s="10"/>
      <c r="D754" s="11"/>
      <c r="E754" s="10"/>
      <c r="F754" s="1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0"/>
      <c r="V754" s="11"/>
      <c r="W754" s="10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2.75" customHeight="1">
      <c r="A755" s="10"/>
      <c r="B755" s="11"/>
      <c r="C755" s="10"/>
      <c r="D755" s="11"/>
      <c r="E755" s="10"/>
      <c r="F755" s="1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0"/>
      <c r="V755" s="11"/>
      <c r="W755" s="10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2.75" customHeight="1">
      <c r="A756" s="10"/>
      <c r="B756" s="11"/>
      <c r="C756" s="10"/>
      <c r="D756" s="11"/>
      <c r="E756" s="10"/>
      <c r="F756" s="1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0"/>
      <c r="V756" s="11"/>
      <c r="W756" s="10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2.75" customHeight="1">
      <c r="A757" s="10"/>
      <c r="B757" s="11"/>
      <c r="C757" s="10"/>
      <c r="D757" s="11"/>
      <c r="E757" s="10"/>
      <c r="F757" s="1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0"/>
      <c r="V757" s="11"/>
      <c r="W757" s="10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2.75" customHeight="1">
      <c r="A758" s="10"/>
      <c r="B758" s="11"/>
      <c r="C758" s="10"/>
      <c r="D758" s="11"/>
      <c r="E758" s="10"/>
      <c r="F758" s="1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0"/>
      <c r="V758" s="11"/>
      <c r="W758" s="10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2.75" customHeight="1">
      <c r="A759" s="10"/>
      <c r="B759" s="11"/>
      <c r="C759" s="10"/>
      <c r="D759" s="11"/>
      <c r="E759" s="10"/>
      <c r="F759" s="1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0"/>
      <c r="V759" s="11"/>
      <c r="W759" s="10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2.75" customHeight="1">
      <c r="A760" s="10"/>
      <c r="B760" s="11"/>
      <c r="C760" s="10"/>
      <c r="D760" s="11"/>
      <c r="E760" s="10"/>
      <c r="F760" s="1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0"/>
      <c r="V760" s="11"/>
      <c r="W760" s="10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2.75" customHeight="1">
      <c r="A761" s="10"/>
      <c r="B761" s="11"/>
      <c r="C761" s="10"/>
      <c r="D761" s="11"/>
      <c r="E761" s="10"/>
      <c r="F761" s="1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0"/>
      <c r="V761" s="11"/>
      <c r="W761" s="10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2.75" customHeight="1">
      <c r="A762" s="10"/>
      <c r="B762" s="11"/>
      <c r="C762" s="10"/>
      <c r="D762" s="11"/>
      <c r="E762" s="10"/>
      <c r="F762" s="1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0"/>
      <c r="V762" s="11"/>
      <c r="W762" s="10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2.75" customHeight="1">
      <c r="A763" s="10"/>
      <c r="B763" s="11"/>
      <c r="C763" s="10"/>
      <c r="D763" s="11"/>
      <c r="E763" s="10"/>
      <c r="F763" s="1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0"/>
      <c r="V763" s="11"/>
      <c r="W763" s="10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2.75" customHeight="1">
      <c r="A764" s="10"/>
      <c r="B764" s="11"/>
      <c r="C764" s="10"/>
      <c r="D764" s="11"/>
      <c r="E764" s="10"/>
      <c r="F764" s="1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0"/>
      <c r="V764" s="11"/>
      <c r="W764" s="10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2.75" customHeight="1">
      <c r="A765" s="10"/>
      <c r="B765" s="11"/>
      <c r="C765" s="10"/>
      <c r="D765" s="11"/>
      <c r="E765" s="10"/>
      <c r="F765" s="1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0"/>
      <c r="V765" s="11"/>
      <c r="W765" s="10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2.75" customHeight="1">
      <c r="A766" s="10"/>
      <c r="B766" s="11"/>
      <c r="C766" s="10"/>
      <c r="D766" s="11"/>
      <c r="E766" s="10"/>
      <c r="F766" s="1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0"/>
      <c r="V766" s="11"/>
      <c r="W766" s="10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2.75" customHeight="1">
      <c r="A767" s="10"/>
      <c r="B767" s="11"/>
      <c r="C767" s="10"/>
      <c r="D767" s="11"/>
      <c r="E767" s="10"/>
      <c r="F767" s="1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0"/>
      <c r="V767" s="11"/>
      <c r="W767" s="10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2.75" customHeight="1">
      <c r="A768" s="10"/>
      <c r="B768" s="11"/>
      <c r="C768" s="10"/>
      <c r="D768" s="11"/>
      <c r="E768" s="10"/>
      <c r="F768" s="1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0"/>
      <c r="V768" s="11"/>
      <c r="W768" s="10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2.75" customHeight="1">
      <c r="A769" s="10"/>
      <c r="B769" s="11"/>
      <c r="C769" s="10"/>
      <c r="D769" s="11"/>
      <c r="E769" s="10"/>
      <c r="F769" s="1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0"/>
      <c r="V769" s="11"/>
      <c r="W769" s="10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2.75" customHeight="1">
      <c r="A770" s="10"/>
      <c r="B770" s="11"/>
      <c r="C770" s="10"/>
      <c r="D770" s="11"/>
      <c r="E770" s="10"/>
      <c r="F770" s="1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0"/>
      <c r="V770" s="11"/>
      <c r="W770" s="10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2.75" customHeight="1">
      <c r="A771" s="10"/>
      <c r="B771" s="11"/>
      <c r="C771" s="10"/>
      <c r="D771" s="11"/>
      <c r="E771" s="10"/>
      <c r="F771" s="1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0"/>
      <c r="V771" s="11"/>
      <c r="W771" s="10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2.75" customHeight="1">
      <c r="A772" s="10"/>
      <c r="B772" s="11"/>
      <c r="C772" s="10"/>
      <c r="D772" s="11"/>
      <c r="E772" s="10"/>
      <c r="F772" s="1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0"/>
      <c r="V772" s="11"/>
      <c r="W772" s="10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2.75" customHeight="1">
      <c r="A773" s="10"/>
      <c r="B773" s="11"/>
      <c r="C773" s="10"/>
      <c r="D773" s="11"/>
      <c r="E773" s="10"/>
      <c r="F773" s="1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0"/>
      <c r="V773" s="11"/>
      <c r="W773" s="10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2.75" customHeight="1">
      <c r="A774" s="10"/>
      <c r="B774" s="11"/>
      <c r="C774" s="10"/>
      <c r="D774" s="11"/>
      <c r="E774" s="10"/>
      <c r="F774" s="1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0"/>
      <c r="V774" s="11"/>
      <c r="W774" s="10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2.75" customHeight="1">
      <c r="A775" s="10"/>
      <c r="B775" s="11"/>
      <c r="C775" s="10"/>
      <c r="D775" s="11"/>
      <c r="E775" s="10"/>
      <c r="F775" s="1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0"/>
      <c r="V775" s="11"/>
      <c r="W775" s="10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2.75" customHeight="1">
      <c r="A776" s="10"/>
      <c r="B776" s="11"/>
      <c r="C776" s="10"/>
      <c r="D776" s="11"/>
      <c r="E776" s="10"/>
      <c r="F776" s="1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0"/>
      <c r="V776" s="11"/>
      <c r="W776" s="10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2.75" customHeight="1">
      <c r="A777" s="10"/>
      <c r="B777" s="11"/>
      <c r="C777" s="10"/>
      <c r="D777" s="11"/>
      <c r="E777" s="10"/>
      <c r="F777" s="1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0"/>
      <c r="V777" s="11"/>
      <c r="W777" s="10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2.75" customHeight="1">
      <c r="A778" s="10"/>
      <c r="B778" s="11"/>
      <c r="C778" s="10"/>
      <c r="D778" s="11"/>
      <c r="E778" s="10"/>
      <c r="F778" s="1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0"/>
      <c r="V778" s="11"/>
      <c r="W778" s="10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2.75" customHeight="1">
      <c r="A779" s="10"/>
      <c r="B779" s="11"/>
      <c r="C779" s="10"/>
      <c r="D779" s="11"/>
      <c r="E779" s="10"/>
      <c r="F779" s="1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0"/>
      <c r="V779" s="11"/>
      <c r="W779" s="10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2.75" customHeight="1">
      <c r="A780" s="10"/>
      <c r="B780" s="11"/>
      <c r="C780" s="10"/>
      <c r="D780" s="11"/>
      <c r="E780" s="10"/>
      <c r="F780" s="1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0"/>
      <c r="V780" s="11"/>
      <c r="W780" s="10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2.75" customHeight="1">
      <c r="A781" s="10"/>
      <c r="B781" s="11"/>
      <c r="C781" s="10"/>
      <c r="D781" s="11"/>
      <c r="E781" s="10"/>
      <c r="F781" s="1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0"/>
      <c r="V781" s="11"/>
      <c r="W781" s="10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2.75" customHeight="1">
      <c r="A782" s="10"/>
      <c r="B782" s="11"/>
      <c r="C782" s="10"/>
      <c r="D782" s="11"/>
      <c r="E782" s="10"/>
      <c r="F782" s="1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0"/>
      <c r="V782" s="11"/>
      <c r="W782" s="10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2.75" customHeight="1">
      <c r="A783" s="10"/>
      <c r="B783" s="11"/>
      <c r="C783" s="10"/>
      <c r="D783" s="11"/>
      <c r="E783" s="10"/>
      <c r="F783" s="1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0"/>
      <c r="V783" s="11"/>
      <c r="W783" s="10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2.75" customHeight="1">
      <c r="A784" s="10"/>
      <c r="B784" s="11"/>
      <c r="C784" s="10"/>
      <c r="D784" s="11"/>
      <c r="E784" s="10"/>
      <c r="F784" s="1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0"/>
      <c r="V784" s="11"/>
      <c r="W784" s="10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2.75" customHeight="1">
      <c r="A785" s="10"/>
      <c r="B785" s="11"/>
      <c r="C785" s="10"/>
      <c r="D785" s="11"/>
      <c r="E785" s="10"/>
      <c r="F785" s="1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0"/>
      <c r="V785" s="11"/>
      <c r="W785" s="10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2.75" customHeight="1">
      <c r="A786" s="10"/>
      <c r="B786" s="11"/>
      <c r="C786" s="10"/>
      <c r="D786" s="11"/>
      <c r="E786" s="10"/>
      <c r="F786" s="1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0"/>
      <c r="V786" s="11"/>
      <c r="W786" s="10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2.75" customHeight="1">
      <c r="A787" s="10"/>
      <c r="B787" s="11"/>
      <c r="C787" s="10"/>
      <c r="D787" s="11"/>
      <c r="E787" s="10"/>
      <c r="F787" s="1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0"/>
      <c r="V787" s="11"/>
      <c r="W787" s="10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2.75" customHeight="1">
      <c r="A788" s="10"/>
      <c r="B788" s="11"/>
      <c r="C788" s="10"/>
      <c r="D788" s="11"/>
      <c r="E788" s="10"/>
      <c r="F788" s="1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0"/>
      <c r="V788" s="11"/>
      <c r="W788" s="10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2.75" customHeight="1">
      <c r="A789" s="10"/>
      <c r="B789" s="11"/>
      <c r="C789" s="10"/>
      <c r="D789" s="11"/>
      <c r="E789" s="10"/>
      <c r="F789" s="1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0"/>
      <c r="V789" s="11"/>
      <c r="W789" s="10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2.75" customHeight="1">
      <c r="A790" s="10"/>
      <c r="B790" s="11"/>
      <c r="C790" s="10"/>
      <c r="D790" s="11"/>
      <c r="E790" s="10"/>
      <c r="F790" s="1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0"/>
      <c r="V790" s="11"/>
      <c r="W790" s="10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2.75" customHeight="1">
      <c r="A791" s="10"/>
      <c r="B791" s="11"/>
      <c r="C791" s="10"/>
      <c r="D791" s="11"/>
      <c r="E791" s="10"/>
      <c r="F791" s="1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0"/>
      <c r="V791" s="11"/>
      <c r="W791" s="10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2.75" customHeight="1">
      <c r="A792" s="10"/>
      <c r="B792" s="11"/>
      <c r="C792" s="10"/>
      <c r="D792" s="11"/>
      <c r="E792" s="10"/>
      <c r="F792" s="1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0"/>
      <c r="V792" s="11"/>
      <c r="W792" s="10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2.75" customHeight="1">
      <c r="A793" s="10"/>
      <c r="B793" s="11"/>
      <c r="C793" s="10"/>
      <c r="D793" s="11"/>
      <c r="E793" s="10"/>
      <c r="F793" s="1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0"/>
      <c r="V793" s="11"/>
      <c r="W793" s="10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2.75" customHeight="1">
      <c r="A794" s="10"/>
      <c r="B794" s="11"/>
      <c r="C794" s="10"/>
      <c r="D794" s="11"/>
      <c r="E794" s="10"/>
      <c r="F794" s="1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0"/>
      <c r="V794" s="11"/>
      <c r="W794" s="10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2.75" customHeight="1">
      <c r="A795" s="10"/>
      <c r="B795" s="11"/>
      <c r="C795" s="10"/>
      <c r="D795" s="11"/>
      <c r="E795" s="10"/>
      <c r="F795" s="1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0"/>
      <c r="V795" s="11"/>
      <c r="W795" s="10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2.75" customHeight="1">
      <c r="A796" s="10"/>
      <c r="B796" s="11"/>
      <c r="C796" s="10"/>
      <c r="D796" s="11"/>
      <c r="E796" s="10"/>
      <c r="F796" s="1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0"/>
      <c r="V796" s="11"/>
      <c r="W796" s="10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2.75" customHeight="1">
      <c r="A797" s="10"/>
      <c r="B797" s="11"/>
      <c r="C797" s="10"/>
      <c r="D797" s="11"/>
      <c r="E797" s="10"/>
      <c r="F797" s="1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0"/>
      <c r="V797" s="11"/>
      <c r="W797" s="10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2.75" customHeight="1">
      <c r="A798" s="10"/>
      <c r="B798" s="11"/>
      <c r="C798" s="10"/>
      <c r="D798" s="11"/>
      <c r="E798" s="10"/>
      <c r="F798" s="1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0"/>
      <c r="V798" s="11"/>
      <c r="W798" s="10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2.75" customHeight="1">
      <c r="A799" s="10"/>
      <c r="B799" s="11"/>
      <c r="C799" s="10"/>
      <c r="D799" s="11"/>
      <c r="E799" s="10"/>
      <c r="F799" s="1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0"/>
      <c r="V799" s="11"/>
      <c r="W799" s="10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2.75" customHeight="1">
      <c r="A800" s="10"/>
      <c r="B800" s="11"/>
      <c r="C800" s="10"/>
      <c r="D800" s="11"/>
      <c r="E800" s="10"/>
      <c r="F800" s="1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0"/>
      <c r="V800" s="11"/>
      <c r="W800" s="10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2.75" customHeight="1">
      <c r="A801" s="10"/>
      <c r="B801" s="11"/>
      <c r="C801" s="10"/>
      <c r="D801" s="11"/>
      <c r="E801" s="10"/>
      <c r="F801" s="1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0"/>
      <c r="V801" s="11"/>
      <c r="W801" s="10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2.75" customHeight="1">
      <c r="A802" s="10"/>
      <c r="B802" s="11"/>
      <c r="C802" s="10"/>
      <c r="D802" s="11"/>
      <c r="E802" s="10"/>
      <c r="F802" s="1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0"/>
      <c r="V802" s="11"/>
      <c r="W802" s="10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2.75" customHeight="1">
      <c r="A803" s="10"/>
      <c r="B803" s="11"/>
      <c r="C803" s="10"/>
      <c r="D803" s="11"/>
      <c r="E803" s="10"/>
      <c r="F803" s="1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0"/>
      <c r="V803" s="11"/>
      <c r="W803" s="10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2.75" customHeight="1">
      <c r="A804" s="10"/>
      <c r="B804" s="11"/>
      <c r="C804" s="10"/>
      <c r="D804" s="11"/>
      <c r="E804" s="10"/>
      <c r="F804" s="1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0"/>
      <c r="V804" s="11"/>
      <c r="W804" s="10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2.75" customHeight="1">
      <c r="A805" s="10"/>
      <c r="B805" s="11"/>
      <c r="C805" s="10"/>
      <c r="D805" s="11"/>
      <c r="E805" s="10"/>
      <c r="F805" s="1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0"/>
      <c r="V805" s="11"/>
      <c r="W805" s="10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2.75" customHeight="1">
      <c r="A806" s="10"/>
      <c r="B806" s="11"/>
      <c r="C806" s="10"/>
      <c r="D806" s="11"/>
      <c r="E806" s="10"/>
      <c r="F806" s="1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0"/>
      <c r="V806" s="11"/>
      <c r="W806" s="10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2.75" customHeight="1">
      <c r="A807" s="10"/>
      <c r="B807" s="11"/>
      <c r="C807" s="10"/>
      <c r="D807" s="11"/>
      <c r="E807" s="10"/>
      <c r="F807" s="1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0"/>
      <c r="V807" s="11"/>
      <c r="W807" s="10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2.75" customHeight="1">
      <c r="A808" s="10"/>
      <c r="B808" s="11"/>
      <c r="C808" s="10"/>
      <c r="D808" s="11"/>
      <c r="E808" s="10"/>
      <c r="F808" s="1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0"/>
      <c r="V808" s="11"/>
      <c r="W808" s="10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2.75" customHeight="1">
      <c r="A809" s="10"/>
      <c r="B809" s="11"/>
      <c r="C809" s="10"/>
      <c r="D809" s="11"/>
      <c r="E809" s="10"/>
      <c r="F809" s="1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0"/>
      <c r="V809" s="11"/>
      <c r="W809" s="10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2.75" customHeight="1">
      <c r="A810" s="10"/>
      <c r="B810" s="11"/>
      <c r="C810" s="10"/>
      <c r="D810" s="11"/>
      <c r="E810" s="10"/>
      <c r="F810" s="1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0"/>
      <c r="V810" s="11"/>
      <c r="W810" s="10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2.75" customHeight="1">
      <c r="A811" s="10"/>
      <c r="B811" s="11"/>
      <c r="C811" s="10"/>
      <c r="D811" s="11"/>
      <c r="E811" s="10"/>
      <c r="F811" s="1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0"/>
      <c r="V811" s="11"/>
      <c r="W811" s="10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2.75" customHeight="1">
      <c r="A812" s="10"/>
      <c r="B812" s="11"/>
      <c r="C812" s="10"/>
      <c r="D812" s="11"/>
      <c r="E812" s="10"/>
      <c r="F812" s="1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0"/>
      <c r="V812" s="11"/>
      <c r="W812" s="10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2.75" customHeight="1">
      <c r="A813" s="10"/>
      <c r="B813" s="11"/>
      <c r="C813" s="10"/>
      <c r="D813" s="11"/>
      <c r="E813" s="10"/>
      <c r="F813" s="1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0"/>
      <c r="V813" s="11"/>
      <c r="W813" s="10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2.75" customHeight="1">
      <c r="A814" s="10"/>
      <c r="B814" s="11"/>
      <c r="C814" s="10"/>
      <c r="D814" s="11"/>
      <c r="E814" s="10"/>
      <c r="F814" s="1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0"/>
      <c r="V814" s="11"/>
      <c r="W814" s="10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2.75" customHeight="1">
      <c r="A815" s="10"/>
      <c r="B815" s="11"/>
      <c r="C815" s="10"/>
      <c r="D815" s="11"/>
      <c r="E815" s="10"/>
      <c r="F815" s="1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0"/>
      <c r="V815" s="11"/>
      <c r="W815" s="10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2.75" customHeight="1">
      <c r="A816" s="10"/>
      <c r="B816" s="11"/>
      <c r="C816" s="10"/>
      <c r="D816" s="11"/>
      <c r="E816" s="10"/>
      <c r="F816" s="1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0"/>
      <c r="V816" s="11"/>
      <c r="W816" s="10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2.75" customHeight="1">
      <c r="A817" s="10"/>
      <c r="B817" s="11"/>
      <c r="C817" s="10"/>
      <c r="D817" s="11"/>
      <c r="E817" s="10"/>
      <c r="F817" s="1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0"/>
      <c r="V817" s="11"/>
      <c r="W817" s="10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2.75" customHeight="1">
      <c r="A818" s="10"/>
      <c r="B818" s="11"/>
      <c r="C818" s="10"/>
      <c r="D818" s="11"/>
      <c r="E818" s="10"/>
      <c r="F818" s="1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0"/>
      <c r="V818" s="11"/>
      <c r="W818" s="10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2.75" customHeight="1">
      <c r="A819" s="10"/>
      <c r="B819" s="11"/>
      <c r="C819" s="10"/>
      <c r="D819" s="11"/>
      <c r="E819" s="10"/>
      <c r="F819" s="1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0"/>
      <c r="V819" s="11"/>
      <c r="W819" s="10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2.75" customHeight="1">
      <c r="A820" s="10"/>
      <c r="B820" s="11"/>
      <c r="C820" s="10"/>
      <c r="D820" s="11"/>
      <c r="E820" s="10"/>
      <c r="F820" s="1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0"/>
      <c r="V820" s="11"/>
      <c r="W820" s="10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2.75" customHeight="1">
      <c r="A821" s="10"/>
      <c r="B821" s="11"/>
      <c r="C821" s="10"/>
      <c r="D821" s="11"/>
      <c r="E821" s="10"/>
      <c r="F821" s="1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0"/>
      <c r="V821" s="11"/>
      <c r="W821" s="10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2.75" customHeight="1">
      <c r="A822" s="10"/>
      <c r="B822" s="11"/>
      <c r="C822" s="10"/>
      <c r="D822" s="11"/>
      <c r="E822" s="10"/>
      <c r="F822" s="1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0"/>
      <c r="V822" s="11"/>
      <c r="W822" s="10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2.75" customHeight="1">
      <c r="A823" s="10"/>
      <c r="B823" s="11"/>
      <c r="C823" s="10"/>
      <c r="D823" s="11"/>
      <c r="E823" s="10"/>
      <c r="F823" s="1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0"/>
      <c r="V823" s="11"/>
      <c r="W823" s="10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2.75" customHeight="1">
      <c r="A824" s="10"/>
      <c r="B824" s="11"/>
      <c r="C824" s="10"/>
      <c r="D824" s="11"/>
      <c r="E824" s="10"/>
      <c r="F824" s="1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0"/>
      <c r="V824" s="11"/>
      <c r="W824" s="10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2.75" customHeight="1">
      <c r="A825" s="10"/>
      <c r="B825" s="11"/>
      <c r="C825" s="10"/>
      <c r="D825" s="11"/>
      <c r="E825" s="10"/>
      <c r="F825" s="1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0"/>
      <c r="V825" s="11"/>
      <c r="W825" s="10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2.75" customHeight="1">
      <c r="A826" s="10"/>
      <c r="B826" s="11"/>
      <c r="C826" s="10"/>
      <c r="D826" s="11"/>
      <c r="E826" s="10"/>
      <c r="F826" s="1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0"/>
      <c r="V826" s="11"/>
      <c r="W826" s="10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2.75" customHeight="1">
      <c r="A827" s="10"/>
      <c r="B827" s="11"/>
      <c r="C827" s="10"/>
      <c r="D827" s="11"/>
      <c r="E827" s="10"/>
      <c r="F827" s="1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0"/>
      <c r="V827" s="11"/>
      <c r="W827" s="10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2.75" customHeight="1">
      <c r="A828" s="10"/>
      <c r="B828" s="11"/>
      <c r="C828" s="10"/>
      <c r="D828" s="11"/>
      <c r="E828" s="10"/>
      <c r="F828" s="1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0"/>
      <c r="V828" s="11"/>
      <c r="W828" s="10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2.75" customHeight="1">
      <c r="A829" s="10"/>
      <c r="B829" s="11"/>
      <c r="C829" s="10"/>
      <c r="D829" s="11"/>
      <c r="E829" s="10"/>
      <c r="F829" s="1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0"/>
      <c r="V829" s="11"/>
      <c r="W829" s="10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2.75" customHeight="1">
      <c r="A830" s="10"/>
      <c r="B830" s="11"/>
      <c r="C830" s="10"/>
      <c r="D830" s="11"/>
      <c r="E830" s="10"/>
      <c r="F830" s="1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0"/>
      <c r="V830" s="11"/>
      <c r="W830" s="10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2.75" customHeight="1">
      <c r="A831" s="10"/>
      <c r="B831" s="11"/>
      <c r="C831" s="10"/>
      <c r="D831" s="11"/>
      <c r="E831" s="10"/>
      <c r="F831" s="1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0"/>
      <c r="V831" s="11"/>
      <c r="W831" s="10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2.75" customHeight="1">
      <c r="A832" s="10"/>
      <c r="B832" s="11"/>
      <c r="C832" s="10"/>
      <c r="D832" s="11"/>
      <c r="E832" s="10"/>
      <c r="F832" s="1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0"/>
      <c r="V832" s="11"/>
      <c r="W832" s="10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2.75" customHeight="1">
      <c r="A833" s="10"/>
      <c r="B833" s="11"/>
      <c r="C833" s="10"/>
      <c r="D833" s="11"/>
      <c r="E833" s="10"/>
      <c r="F833" s="1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0"/>
      <c r="V833" s="11"/>
      <c r="W833" s="10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2.75" customHeight="1">
      <c r="A834" s="10"/>
      <c r="B834" s="11"/>
      <c r="C834" s="10"/>
      <c r="D834" s="11"/>
      <c r="E834" s="10"/>
      <c r="F834" s="1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0"/>
      <c r="V834" s="11"/>
      <c r="W834" s="10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2.75" customHeight="1">
      <c r="A835" s="10"/>
      <c r="B835" s="11"/>
      <c r="C835" s="10"/>
      <c r="D835" s="11"/>
      <c r="E835" s="10"/>
      <c r="F835" s="1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0"/>
      <c r="V835" s="11"/>
      <c r="W835" s="10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2.75" customHeight="1">
      <c r="A836" s="10"/>
      <c r="B836" s="11"/>
      <c r="C836" s="10"/>
      <c r="D836" s="11"/>
      <c r="E836" s="10"/>
      <c r="F836" s="1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0"/>
      <c r="V836" s="11"/>
      <c r="W836" s="10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2.75" customHeight="1">
      <c r="A837" s="10"/>
      <c r="B837" s="11"/>
      <c r="C837" s="10"/>
      <c r="D837" s="11"/>
      <c r="E837" s="10"/>
      <c r="F837" s="1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0"/>
      <c r="V837" s="11"/>
      <c r="W837" s="10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2.75" customHeight="1">
      <c r="A838" s="10"/>
      <c r="B838" s="11"/>
      <c r="C838" s="10"/>
      <c r="D838" s="11"/>
      <c r="E838" s="10"/>
      <c r="F838" s="1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0"/>
      <c r="V838" s="11"/>
      <c r="W838" s="10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2.75" customHeight="1">
      <c r="A839" s="10"/>
      <c r="B839" s="11"/>
      <c r="C839" s="10"/>
      <c r="D839" s="11"/>
      <c r="E839" s="10"/>
      <c r="F839" s="1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0"/>
      <c r="V839" s="11"/>
      <c r="W839" s="10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2.75" customHeight="1">
      <c r="A840" s="10"/>
      <c r="B840" s="11"/>
      <c r="C840" s="10"/>
      <c r="D840" s="11"/>
      <c r="E840" s="10"/>
      <c r="F840" s="1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0"/>
      <c r="V840" s="11"/>
      <c r="W840" s="10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2.75" customHeight="1">
      <c r="A841" s="10"/>
      <c r="B841" s="11"/>
      <c r="C841" s="10"/>
      <c r="D841" s="11"/>
      <c r="E841" s="10"/>
      <c r="F841" s="1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0"/>
      <c r="V841" s="11"/>
      <c r="W841" s="10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2.75" customHeight="1">
      <c r="A842" s="10"/>
      <c r="B842" s="11"/>
      <c r="C842" s="10"/>
      <c r="D842" s="11"/>
      <c r="E842" s="10"/>
      <c r="F842" s="1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0"/>
      <c r="V842" s="11"/>
      <c r="W842" s="10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2.75" customHeight="1">
      <c r="A843" s="10"/>
      <c r="B843" s="11"/>
      <c r="C843" s="10"/>
      <c r="D843" s="11"/>
      <c r="E843" s="10"/>
      <c r="F843" s="1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0"/>
      <c r="V843" s="11"/>
      <c r="W843" s="10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2.75" customHeight="1">
      <c r="A844" s="10"/>
      <c r="B844" s="11"/>
      <c r="C844" s="10"/>
      <c r="D844" s="11"/>
      <c r="E844" s="10"/>
      <c r="F844" s="1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0"/>
      <c r="V844" s="11"/>
      <c r="W844" s="10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2.75" customHeight="1">
      <c r="A845" s="10"/>
      <c r="B845" s="11"/>
      <c r="C845" s="10"/>
      <c r="D845" s="11"/>
      <c r="E845" s="10"/>
      <c r="F845" s="1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0"/>
      <c r="V845" s="11"/>
      <c r="W845" s="10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2.75" customHeight="1">
      <c r="A846" s="10"/>
      <c r="B846" s="11"/>
      <c r="C846" s="10"/>
      <c r="D846" s="11"/>
      <c r="E846" s="10"/>
      <c r="F846" s="1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0"/>
      <c r="V846" s="11"/>
      <c r="W846" s="10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2.75" customHeight="1">
      <c r="A847" s="10"/>
      <c r="B847" s="11"/>
      <c r="C847" s="10"/>
      <c r="D847" s="11"/>
      <c r="E847" s="10"/>
      <c r="F847" s="1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0"/>
      <c r="V847" s="11"/>
      <c r="W847" s="10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2.75" customHeight="1">
      <c r="A848" s="10"/>
      <c r="B848" s="11"/>
      <c r="C848" s="10"/>
      <c r="D848" s="11"/>
      <c r="E848" s="10"/>
      <c r="F848" s="1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0"/>
      <c r="V848" s="11"/>
      <c r="W848" s="10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2.75" customHeight="1">
      <c r="A849" s="10"/>
      <c r="B849" s="11"/>
      <c r="C849" s="10"/>
      <c r="D849" s="11"/>
      <c r="E849" s="10"/>
      <c r="F849" s="1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0"/>
      <c r="V849" s="11"/>
      <c r="W849" s="10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2.75" customHeight="1">
      <c r="A850" s="10"/>
      <c r="B850" s="11"/>
      <c r="C850" s="10"/>
      <c r="D850" s="11"/>
      <c r="E850" s="10"/>
      <c r="F850" s="1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0"/>
      <c r="V850" s="11"/>
      <c r="W850" s="10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2.75" customHeight="1">
      <c r="A851" s="10"/>
      <c r="B851" s="11"/>
      <c r="C851" s="10"/>
      <c r="D851" s="11"/>
      <c r="E851" s="10"/>
      <c r="F851" s="1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0"/>
      <c r="V851" s="11"/>
      <c r="W851" s="10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2.75" customHeight="1">
      <c r="A852" s="10"/>
      <c r="B852" s="11"/>
      <c r="C852" s="10"/>
      <c r="D852" s="11"/>
      <c r="E852" s="10"/>
      <c r="F852" s="1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0"/>
      <c r="V852" s="11"/>
      <c r="W852" s="10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2.75" customHeight="1">
      <c r="A853" s="10"/>
      <c r="B853" s="11"/>
      <c r="C853" s="10"/>
      <c r="D853" s="11"/>
      <c r="E853" s="10"/>
      <c r="F853" s="1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0"/>
      <c r="V853" s="11"/>
      <c r="W853" s="10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2.75" customHeight="1">
      <c r="A854" s="10"/>
      <c r="B854" s="11"/>
      <c r="C854" s="10"/>
      <c r="D854" s="11"/>
      <c r="E854" s="10"/>
      <c r="F854" s="1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0"/>
      <c r="V854" s="11"/>
      <c r="W854" s="10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2.75" customHeight="1">
      <c r="A855" s="10"/>
      <c r="B855" s="11"/>
      <c r="C855" s="10"/>
      <c r="D855" s="11"/>
      <c r="E855" s="10"/>
      <c r="F855" s="1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0"/>
      <c r="V855" s="11"/>
      <c r="W855" s="10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2.75" customHeight="1">
      <c r="A856" s="10"/>
      <c r="B856" s="11"/>
      <c r="C856" s="10"/>
      <c r="D856" s="11"/>
      <c r="E856" s="10"/>
      <c r="F856" s="1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0"/>
      <c r="V856" s="11"/>
      <c r="W856" s="10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2.75" customHeight="1">
      <c r="A857" s="10"/>
      <c r="B857" s="11"/>
      <c r="C857" s="10"/>
      <c r="D857" s="11"/>
      <c r="E857" s="10"/>
      <c r="F857" s="1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0"/>
      <c r="V857" s="11"/>
      <c r="W857" s="10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2.75" customHeight="1">
      <c r="A858" s="10"/>
      <c r="B858" s="11"/>
      <c r="C858" s="10"/>
      <c r="D858" s="11"/>
      <c r="E858" s="10"/>
      <c r="F858" s="1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0"/>
      <c r="V858" s="11"/>
      <c r="W858" s="10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2.75" customHeight="1">
      <c r="A859" s="10"/>
      <c r="B859" s="11"/>
      <c r="C859" s="10"/>
      <c r="D859" s="11"/>
      <c r="E859" s="10"/>
      <c r="F859" s="1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0"/>
      <c r="V859" s="11"/>
      <c r="W859" s="10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2.75" customHeight="1">
      <c r="A860" s="10"/>
      <c r="B860" s="11"/>
      <c r="C860" s="10"/>
      <c r="D860" s="11"/>
      <c r="E860" s="10"/>
      <c r="F860" s="1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0"/>
      <c r="V860" s="11"/>
      <c r="W860" s="10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2.75" customHeight="1">
      <c r="A861" s="10"/>
      <c r="B861" s="11"/>
      <c r="C861" s="10"/>
      <c r="D861" s="11"/>
      <c r="E861" s="10"/>
      <c r="F861" s="1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0"/>
      <c r="V861" s="11"/>
      <c r="W861" s="10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2.75" customHeight="1">
      <c r="A862" s="10"/>
      <c r="B862" s="11"/>
      <c r="C862" s="10"/>
      <c r="D862" s="11"/>
      <c r="E862" s="10"/>
      <c r="F862" s="1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0"/>
      <c r="V862" s="11"/>
      <c r="W862" s="10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2.75" customHeight="1">
      <c r="A863" s="10"/>
      <c r="B863" s="11"/>
      <c r="C863" s="10"/>
      <c r="D863" s="11"/>
      <c r="E863" s="10"/>
      <c r="F863" s="1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0"/>
      <c r="V863" s="11"/>
      <c r="W863" s="10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2.75" customHeight="1">
      <c r="A864" s="10"/>
      <c r="B864" s="11"/>
      <c r="C864" s="10"/>
      <c r="D864" s="11"/>
      <c r="E864" s="10"/>
      <c r="F864" s="1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0"/>
      <c r="V864" s="11"/>
      <c r="W864" s="10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2.75" customHeight="1">
      <c r="A865" s="10"/>
      <c r="B865" s="11"/>
      <c r="C865" s="10"/>
      <c r="D865" s="11"/>
      <c r="E865" s="10"/>
      <c r="F865" s="1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0"/>
      <c r="V865" s="11"/>
      <c r="W865" s="10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2.75" customHeight="1">
      <c r="A866" s="10"/>
      <c r="B866" s="11"/>
      <c r="C866" s="10"/>
      <c r="D866" s="11"/>
      <c r="E866" s="10"/>
      <c r="F866" s="1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0"/>
      <c r="V866" s="11"/>
      <c r="W866" s="10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2.75" customHeight="1">
      <c r="A867" s="10"/>
      <c r="B867" s="11"/>
      <c r="C867" s="10"/>
      <c r="D867" s="11"/>
      <c r="E867" s="10"/>
      <c r="F867" s="1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0"/>
      <c r="V867" s="11"/>
      <c r="W867" s="10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2.75" customHeight="1">
      <c r="A868" s="10"/>
      <c r="B868" s="11"/>
      <c r="C868" s="10"/>
      <c r="D868" s="11"/>
      <c r="E868" s="10"/>
      <c r="F868" s="1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0"/>
      <c r="V868" s="11"/>
      <c r="W868" s="10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2.75" customHeight="1">
      <c r="A869" s="10"/>
      <c r="B869" s="11"/>
      <c r="C869" s="10"/>
      <c r="D869" s="11"/>
      <c r="E869" s="10"/>
      <c r="F869" s="1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0"/>
      <c r="V869" s="11"/>
      <c r="W869" s="10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2.75" customHeight="1">
      <c r="A870" s="10"/>
      <c r="B870" s="11"/>
      <c r="C870" s="10"/>
      <c r="D870" s="11"/>
      <c r="E870" s="10"/>
      <c r="F870" s="1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0"/>
      <c r="V870" s="11"/>
      <c r="W870" s="10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2.75" customHeight="1">
      <c r="A871" s="10"/>
      <c r="B871" s="11"/>
      <c r="C871" s="10"/>
      <c r="D871" s="11"/>
      <c r="E871" s="10"/>
      <c r="F871" s="1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0"/>
      <c r="V871" s="11"/>
      <c r="W871" s="10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2.75" customHeight="1">
      <c r="A872" s="10"/>
      <c r="B872" s="11"/>
      <c r="C872" s="10"/>
      <c r="D872" s="11"/>
      <c r="E872" s="10"/>
      <c r="F872" s="1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0"/>
      <c r="V872" s="11"/>
      <c r="W872" s="10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2.75" customHeight="1">
      <c r="A873" s="10"/>
      <c r="B873" s="11"/>
      <c r="C873" s="10"/>
      <c r="D873" s="11"/>
      <c r="E873" s="10"/>
      <c r="F873" s="1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0"/>
      <c r="V873" s="11"/>
      <c r="W873" s="10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2.75" customHeight="1">
      <c r="A874" s="10"/>
      <c r="B874" s="11"/>
      <c r="C874" s="10"/>
      <c r="D874" s="11"/>
      <c r="E874" s="10"/>
      <c r="F874" s="1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0"/>
      <c r="V874" s="11"/>
      <c r="W874" s="10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2.75" customHeight="1">
      <c r="A875" s="10"/>
      <c r="B875" s="11"/>
      <c r="C875" s="10"/>
      <c r="D875" s="11"/>
      <c r="E875" s="10"/>
      <c r="F875" s="1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0"/>
      <c r="V875" s="11"/>
      <c r="W875" s="10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2.75" customHeight="1">
      <c r="A876" s="10"/>
      <c r="B876" s="11"/>
      <c r="C876" s="10"/>
      <c r="D876" s="11"/>
      <c r="E876" s="10"/>
      <c r="F876" s="1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0"/>
      <c r="V876" s="11"/>
      <c r="W876" s="10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2.75" customHeight="1">
      <c r="A877" s="10"/>
      <c r="B877" s="11"/>
      <c r="C877" s="10"/>
      <c r="D877" s="11"/>
      <c r="E877" s="10"/>
      <c r="F877" s="1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0"/>
      <c r="V877" s="11"/>
      <c r="W877" s="10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2.75" customHeight="1">
      <c r="A878" s="10"/>
      <c r="B878" s="11"/>
      <c r="C878" s="10"/>
      <c r="D878" s="11"/>
      <c r="E878" s="10"/>
      <c r="F878" s="1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0"/>
      <c r="V878" s="11"/>
      <c r="W878" s="10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2.75" customHeight="1">
      <c r="A879" s="10"/>
      <c r="B879" s="11"/>
      <c r="C879" s="10"/>
      <c r="D879" s="11"/>
      <c r="E879" s="10"/>
      <c r="F879" s="1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0"/>
      <c r="V879" s="11"/>
      <c r="W879" s="10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2.75" customHeight="1">
      <c r="A880" s="10"/>
      <c r="B880" s="11"/>
      <c r="C880" s="10"/>
      <c r="D880" s="11"/>
      <c r="E880" s="10"/>
      <c r="F880" s="1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0"/>
      <c r="V880" s="11"/>
      <c r="W880" s="10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2.75" customHeight="1">
      <c r="A881" s="10"/>
      <c r="B881" s="11"/>
      <c r="C881" s="10"/>
      <c r="D881" s="11"/>
      <c r="E881" s="10"/>
      <c r="F881" s="1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0"/>
      <c r="V881" s="11"/>
      <c r="W881" s="10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2.75" customHeight="1">
      <c r="A882" s="10"/>
      <c r="B882" s="11"/>
      <c r="C882" s="10"/>
      <c r="D882" s="11"/>
      <c r="E882" s="10"/>
      <c r="F882" s="1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0"/>
      <c r="V882" s="11"/>
      <c r="W882" s="10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2.75" customHeight="1">
      <c r="A883" s="10"/>
      <c r="B883" s="11"/>
      <c r="C883" s="10"/>
      <c r="D883" s="11"/>
      <c r="E883" s="10"/>
      <c r="F883" s="1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0"/>
      <c r="V883" s="11"/>
      <c r="W883" s="10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2.75" customHeight="1">
      <c r="A884" s="10"/>
      <c r="B884" s="11"/>
      <c r="C884" s="10"/>
      <c r="D884" s="11"/>
      <c r="E884" s="10"/>
      <c r="F884" s="1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0"/>
      <c r="V884" s="11"/>
      <c r="W884" s="10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2.75" customHeight="1">
      <c r="A885" s="10"/>
      <c r="B885" s="11"/>
      <c r="C885" s="10"/>
      <c r="D885" s="11"/>
      <c r="E885" s="10"/>
      <c r="F885" s="1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0"/>
      <c r="V885" s="11"/>
      <c r="W885" s="10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2.75" customHeight="1">
      <c r="A886" s="10"/>
      <c r="B886" s="11"/>
      <c r="C886" s="10"/>
      <c r="D886" s="11"/>
      <c r="E886" s="10"/>
      <c r="F886" s="1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0"/>
      <c r="V886" s="11"/>
      <c r="W886" s="10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2.75" customHeight="1">
      <c r="A887" s="10"/>
      <c r="B887" s="11"/>
      <c r="C887" s="10"/>
      <c r="D887" s="11"/>
      <c r="E887" s="10"/>
      <c r="F887" s="1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0"/>
      <c r="V887" s="11"/>
      <c r="W887" s="10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2.75" customHeight="1">
      <c r="A888" s="10"/>
      <c r="B888" s="11"/>
      <c r="C888" s="10"/>
      <c r="D888" s="11"/>
      <c r="E888" s="10"/>
      <c r="F888" s="1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0"/>
      <c r="V888" s="11"/>
      <c r="W888" s="10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2.75" customHeight="1">
      <c r="A889" s="10"/>
      <c r="B889" s="11"/>
      <c r="C889" s="10"/>
      <c r="D889" s="11"/>
      <c r="E889" s="10"/>
      <c r="F889" s="1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0"/>
      <c r="V889" s="11"/>
      <c r="W889" s="10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2.75" customHeight="1">
      <c r="A890" s="10"/>
      <c r="B890" s="11"/>
      <c r="C890" s="10"/>
      <c r="D890" s="11"/>
      <c r="E890" s="10"/>
      <c r="F890" s="1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0"/>
      <c r="V890" s="11"/>
      <c r="W890" s="10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2.75" customHeight="1">
      <c r="A891" s="10"/>
      <c r="B891" s="11"/>
      <c r="C891" s="10"/>
      <c r="D891" s="11"/>
      <c r="E891" s="10"/>
      <c r="F891" s="1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0"/>
      <c r="V891" s="11"/>
      <c r="W891" s="10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2.75" customHeight="1">
      <c r="A892" s="10"/>
      <c r="B892" s="11"/>
      <c r="C892" s="10"/>
      <c r="D892" s="11"/>
      <c r="E892" s="10"/>
      <c r="F892" s="1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0"/>
      <c r="V892" s="11"/>
      <c r="W892" s="10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2.75" customHeight="1">
      <c r="A893" s="10"/>
      <c r="B893" s="11"/>
      <c r="C893" s="10"/>
      <c r="D893" s="11"/>
      <c r="E893" s="10"/>
      <c r="F893" s="1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0"/>
      <c r="V893" s="11"/>
      <c r="W893" s="10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2.75" customHeight="1">
      <c r="A894" s="10"/>
      <c r="B894" s="11"/>
      <c r="C894" s="10"/>
      <c r="D894" s="11"/>
      <c r="E894" s="10"/>
      <c r="F894" s="1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0"/>
      <c r="V894" s="11"/>
      <c r="W894" s="10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2.75" customHeight="1">
      <c r="A895" s="10"/>
      <c r="B895" s="11"/>
      <c r="C895" s="10"/>
      <c r="D895" s="11"/>
      <c r="E895" s="10"/>
      <c r="F895" s="1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0"/>
      <c r="V895" s="11"/>
      <c r="W895" s="10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2.75" customHeight="1">
      <c r="A896" s="10"/>
      <c r="B896" s="11"/>
      <c r="C896" s="10"/>
      <c r="D896" s="11"/>
      <c r="E896" s="10"/>
      <c r="F896" s="1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0"/>
      <c r="V896" s="11"/>
      <c r="W896" s="10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2.75" customHeight="1">
      <c r="A897" s="10"/>
      <c r="B897" s="11"/>
      <c r="C897" s="10"/>
      <c r="D897" s="11"/>
      <c r="E897" s="10"/>
      <c r="F897" s="1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0"/>
      <c r="V897" s="11"/>
      <c r="W897" s="10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2.75" customHeight="1">
      <c r="A898" s="10"/>
      <c r="B898" s="11"/>
      <c r="C898" s="10"/>
      <c r="D898" s="11"/>
      <c r="E898" s="10"/>
      <c r="F898" s="1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0"/>
      <c r="V898" s="11"/>
      <c r="W898" s="10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2.75" customHeight="1">
      <c r="A899" s="10"/>
      <c r="B899" s="11"/>
      <c r="C899" s="10"/>
      <c r="D899" s="11"/>
      <c r="E899" s="10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0"/>
      <c r="V899" s="11"/>
      <c r="W899" s="10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2.75" customHeight="1">
      <c r="A900" s="10"/>
      <c r="B900" s="11"/>
      <c r="C900" s="10"/>
      <c r="D900" s="11"/>
      <c r="E900" s="10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0"/>
      <c r="V900" s="11"/>
      <c r="W900" s="10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2.75" customHeight="1">
      <c r="A901" s="10"/>
      <c r="B901" s="11"/>
      <c r="C901" s="10"/>
      <c r="D901" s="11"/>
      <c r="E901" s="10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0"/>
      <c r="V901" s="11"/>
      <c r="W901" s="10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2.75" customHeight="1">
      <c r="A902" s="10"/>
      <c r="B902" s="11"/>
      <c r="C902" s="10"/>
      <c r="D902" s="11"/>
      <c r="E902" s="10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0"/>
      <c r="V902" s="11"/>
      <c r="W902" s="10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2.75" customHeight="1">
      <c r="A903" s="10"/>
      <c r="B903" s="11"/>
      <c r="C903" s="10"/>
      <c r="D903" s="11"/>
      <c r="E903" s="10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0"/>
      <c r="V903" s="11"/>
      <c r="W903" s="10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2.75" customHeight="1">
      <c r="A904" s="10"/>
      <c r="B904" s="11"/>
      <c r="C904" s="10"/>
      <c r="D904" s="11"/>
      <c r="E904" s="10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0"/>
      <c r="V904" s="11"/>
      <c r="W904" s="10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2.75" customHeight="1">
      <c r="A905" s="10"/>
      <c r="B905" s="11"/>
      <c r="C905" s="10"/>
      <c r="D905" s="11"/>
      <c r="E905" s="10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0"/>
      <c r="V905" s="11"/>
      <c r="W905" s="10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2.75" customHeight="1">
      <c r="A906" s="10"/>
      <c r="B906" s="11"/>
      <c r="C906" s="10"/>
      <c r="D906" s="11"/>
      <c r="E906" s="10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0"/>
      <c r="V906" s="11"/>
      <c r="W906" s="10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2.75" customHeight="1">
      <c r="A907" s="10"/>
      <c r="B907" s="11"/>
      <c r="C907" s="10"/>
      <c r="D907" s="11"/>
      <c r="E907" s="10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0"/>
      <c r="V907" s="11"/>
      <c r="W907" s="10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2.75" customHeight="1">
      <c r="A908" s="10"/>
      <c r="B908" s="11"/>
      <c r="C908" s="10"/>
      <c r="D908" s="11"/>
      <c r="E908" s="10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0"/>
      <c r="V908" s="11"/>
      <c r="W908" s="10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2.75" customHeight="1">
      <c r="A909" s="10"/>
      <c r="B909" s="11"/>
      <c r="C909" s="10"/>
      <c r="D909" s="11"/>
      <c r="E909" s="10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0"/>
      <c r="V909" s="11"/>
      <c r="W909" s="10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2.75" customHeight="1">
      <c r="A910" s="10"/>
      <c r="B910" s="11"/>
      <c r="C910" s="10"/>
      <c r="D910" s="11"/>
      <c r="E910" s="10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0"/>
      <c r="V910" s="11"/>
      <c r="W910" s="10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2.75" customHeight="1">
      <c r="A911" s="10"/>
      <c r="B911" s="11"/>
      <c r="C911" s="10"/>
      <c r="D911" s="11"/>
      <c r="E911" s="10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0"/>
      <c r="V911" s="11"/>
      <c r="W911" s="10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2.75" customHeight="1">
      <c r="A912" s="10"/>
      <c r="B912" s="11"/>
      <c r="C912" s="10"/>
      <c r="D912" s="11"/>
      <c r="E912" s="10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0"/>
      <c r="V912" s="11"/>
      <c r="W912" s="10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2.75" customHeight="1">
      <c r="A913" s="10"/>
      <c r="B913" s="11"/>
      <c r="C913" s="10"/>
      <c r="D913" s="11"/>
      <c r="E913" s="10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0"/>
      <c r="V913" s="11"/>
      <c r="W913" s="10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2.75" customHeight="1">
      <c r="A914" s="10"/>
      <c r="B914" s="11"/>
      <c r="C914" s="10"/>
      <c r="D914" s="11"/>
      <c r="E914" s="10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0"/>
      <c r="V914" s="11"/>
      <c r="W914" s="10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2.75" customHeight="1">
      <c r="A915" s="10"/>
      <c r="B915" s="11"/>
      <c r="C915" s="10"/>
      <c r="D915" s="11"/>
      <c r="E915" s="10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0"/>
      <c r="V915" s="11"/>
      <c r="W915" s="10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2.75" customHeight="1">
      <c r="A916" s="10"/>
      <c r="B916" s="11"/>
      <c r="C916" s="10"/>
      <c r="D916" s="11"/>
      <c r="E916" s="10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0"/>
      <c r="V916" s="11"/>
      <c r="W916" s="10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2.75" customHeight="1">
      <c r="A917" s="10"/>
      <c r="B917" s="11"/>
      <c r="C917" s="10"/>
      <c r="D917" s="11"/>
      <c r="E917" s="10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0"/>
      <c r="V917" s="11"/>
      <c r="W917" s="10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2.75" customHeight="1">
      <c r="A918" s="10"/>
      <c r="B918" s="11"/>
      <c r="C918" s="10"/>
      <c r="D918" s="11"/>
      <c r="E918" s="10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0"/>
      <c r="V918" s="11"/>
      <c r="W918" s="10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2.75" customHeight="1">
      <c r="A919" s="10"/>
      <c r="B919" s="11"/>
      <c r="C919" s="10"/>
      <c r="D919" s="11"/>
      <c r="E919" s="10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0"/>
      <c r="V919" s="11"/>
      <c r="W919" s="10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2.75" customHeight="1">
      <c r="A920" s="10"/>
      <c r="B920" s="11"/>
      <c r="C920" s="10"/>
      <c r="D920" s="11"/>
      <c r="E920" s="10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0"/>
      <c r="V920" s="11"/>
      <c r="W920" s="10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2.75" customHeight="1">
      <c r="A921" s="10"/>
      <c r="B921" s="11"/>
      <c r="C921" s="10"/>
      <c r="D921" s="11"/>
      <c r="E921" s="10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0"/>
      <c r="V921" s="11"/>
      <c r="W921" s="10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2.75" customHeight="1">
      <c r="A922" s="10"/>
      <c r="B922" s="11"/>
      <c r="C922" s="10"/>
      <c r="D922" s="11"/>
      <c r="E922" s="10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0"/>
      <c r="V922" s="11"/>
      <c r="W922" s="10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2.75" customHeight="1">
      <c r="A923" s="10"/>
      <c r="B923" s="11"/>
      <c r="C923" s="10"/>
      <c r="D923" s="11"/>
      <c r="E923" s="10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0"/>
      <c r="V923" s="11"/>
      <c r="W923" s="10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2.75" customHeight="1">
      <c r="A924" s="10"/>
      <c r="B924" s="11"/>
      <c r="C924" s="10"/>
      <c r="D924" s="11"/>
      <c r="E924" s="10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0"/>
      <c r="V924" s="11"/>
      <c r="W924" s="10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2.75" customHeight="1">
      <c r="A925" s="10"/>
      <c r="B925" s="11"/>
      <c r="C925" s="10"/>
      <c r="D925" s="11"/>
      <c r="E925" s="10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0"/>
      <c r="V925" s="11"/>
      <c r="W925" s="10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2.75" customHeight="1">
      <c r="A926" s="10"/>
      <c r="B926" s="11"/>
      <c r="C926" s="10"/>
      <c r="D926" s="11"/>
      <c r="E926" s="10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0"/>
      <c r="V926" s="11"/>
      <c r="W926" s="10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2.75" customHeight="1">
      <c r="A927" s="10"/>
      <c r="B927" s="11"/>
      <c r="C927" s="10"/>
      <c r="D927" s="11"/>
      <c r="E927" s="10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0"/>
      <c r="V927" s="11"/>
      <c r="W927" s="10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2.75" customHeight="1">
      <c r="A928" s="10"/>
      <c r="B928" s="11"/>
      <c r="C928" s="10"/>
      <c r="D928" s="11"/>
      <c r="E928" s="10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0"/>
      <c r="V928" s="11"/>
      <c r="W928" s="10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2.75" customHeight="1">
      <c r="A929" s="10"/>
      <c r="B929" s="11"/>
      <c r="C929" s="10"/>
      <c r="D929" s="11"/>
      <c r="E929" s="10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0"/>
      <c r="V929" s="11"/>
      <c r="W929" s="10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2.75" customHeight="1">
      <c r="A930" s="10"/>
      <c r="B930" s="11"/>
      <c r="C930" s="10"/>
      <c r="D930" s="11"/>
      <c r="E930" s="10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0"/>
      <c r="V930" s="11"/>
      <c r="W930" s="10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2.75" customHeight="1">
      <c r="A931" s="10"/>
      <c r="B931" s="11"/>
      <c r="C931" s="10"/>
      <c r="D931" s="11"/>
      <c r="E931" s="10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0"/>
      <c r="V931" s="11"/>
      <c r="W931" s="10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2.75" customHeight="1">
      <c r="A932" s="10"/>
      <c r="B932" s="11"/>
      <c r="C932" s="10"/>
      <c r="D932" s="11"/>
      <c r="E932" s="10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0"/>
      <c r="V932" s="11"/>
      <c r="W932" s="10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2.75" customHeight="1">
      <c r="A933" s="10"/>
      <c r="B933" s="11"/>
      <c r="C933" s="10"/>
      <c r="D933" s="11"/>
      <c r="E933" s="10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0"/>
      <c r="V933" s="11"/>
      <c r="W933" s="10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2.75" customHeight="1">
      <c r="A934" s="10"/>
      <c r="B934" s="11"/>
      <c r="C934" s="10"/>
      <c r="D934" s="11"/>
      <c r="E934" s="10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0"/>
      <c r="V934" s="11"/>
      <c r="W934" s="10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2.75" customHeight="1">
      <c r="A935" s="10"/>
      <c r="B935" s="11"/>
      <c r="C935" s="10"/>
      <c r="D935" s="11"/>
      <c r="E935" s="10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0"/>
      <c r="V935" s="11"/>
      <c r="W935" s="10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2.75" customHeight="1">
      <c r="A936" s="10"/>
      <c r="B936" s="11"/>
      <c r="C936" s="10"/>
      <c r="D936" s="11"/>
      <c r="E936" s="10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0"/>
      <c r="V936" s="11"/>
      <c r="W936" s="10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2.75" customHeight="1">
      <c r="A937" s="10"/>
      <c r="B937" s="11"/>
      <c r="C937" s="10"/>
      <c r="D937" s="11"/>
      <c r="E937" s="10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0"/>
      <c r="V937" s="11"/>
      <c r="W937" s="10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2.75" customHeight="1">
      <c r="A938" s="10"/>
      <c r="B938" s="11"/>
      <c r="C938" s="10"/>
      <c r="D938" s="11"/>
      <c r="E938" s="10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0"/>
      <c r="V938" s="11"/>
      <c r="W938" s="10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2.75" customHeight="1">
      <c r="A939" s="10"/>
      <c r="B939" s="11"/>
      <c r="C939" s="10"/>
      <c r="D939" s="11"/>
      <c r="E939" s="10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0"/>
      <c r="V939" s="11"/>
      <c r="W939" s="10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2.75" customHeight="1">
      <c r="A940" s="10"/>
      <c r="B940" s="11"/>
      <c r="C940" s="10"/>
      <c r="D940" s="11"/>
      <c r="E940" s="10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0"/>
      <c r="V940" s="11"/>
      <c r="W940" s="10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2.75" customHeight="1">
      <c r="A941" s="10"/>
      <c r="B941" s="11"/>
      <c r="C941" s="10"/>
      <c r="D941" s="11"/>
      <c r="E941" s="10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0"/>
      <c r="V941" s="11"/>
      <c r="W941" s="10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2.75" customHeight="1">
      <c r="A942" s="10"/>
      <c r="B942" s="11"/>
      <c r="C942" s="10"/>
      <c r="D942" s="11"/>
      <c r="E942" s="10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0"/>
      <c r="V942" s="11"/>
      <c r="W942" s="10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2.75" customHeight="1">
      <c r="A943" s="10"/>
      <c r="B943" s="11"/>
      <c r="C943" s="10"/>
      <c r="D943" s="11"/>
      <c r="E943" s="10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0"/>
      <c r="V943" s="11"/>
      <c r="W943" s="10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2.75" customHeight="1">
      <c r="A944" s="10"/>
      <c r="B944" s="11"/>
      <c r="C944" s="10"/>
      <c r="D944" s="11"/>
      <c r="E944" s="10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0"/>
      <c r="V944" s="11"/>
      <c r="W944" s="10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2.75" customHeight="1">
      <c r="A945" s="10"/>
      <c r="B945" s="11"/>
      <c r="C945" s="10"/>
      <c r="D945" s="11"/>
      <c r="E945" s="10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0"/>
      <c r="V945" s="11"/>
      <c r="W945" s="10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2.75" customHeight="1">
      <c r="A946" s="10"/>
      <c r="B946" s="11"/>
      <c r="C946" s="10"/>
      <c r="D946" s="11"/>
      <c r="E946" s="10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0"/>
      <c r="V946" s="11"/>
      <c r="W946" s="10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2.75" customHeight="1">
      <c r="A947" s="10"/>
      <c r="B947" s="11"/>
      <c r="C947" s="10"/>
      <c r="D947" s="11"/>
      <c r="E947" s="10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0"/>
      <c r="V947" s="11"/>
      <c r="W947" s="10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2.75" customHeight="1">
      <c r="A948" s="10"/>
      <c r="B948" s="11"/>
      <c r="C948" s="10"/>
      <c r="D948" s="11"/>
      <c r="E948" s="10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0"/>
      <c r="V948" s="11"/>
      <c r="W948" s="10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2.75" customHeight="1">
      <c r="A949" s="10"/>
      <c r="B949" s="11"/>
      <c r="C949" s="10"/>
      <c r="D949" s="11"/>
      <c r="E949" s="10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0"/>
      <c r="V949" s="11"/>
      <c r="W949" s="10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2.75" customHeight="1">
      <c r="A950" s="10"/>
      <c r="B950" s="11"/>
      <c r="C950" s="10"/>
      <c r="D950" s="11"/>
      <c r="E950" s="10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0"/>
      <c r="V950" s="11"/>
      <c r="W950" s="10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2.75" customHeight="1">
      <c r="A951" s="10"/>
      <c r="B951" s="11"/>
      <c r="C951" s="10"/>
      <c r="D951" s="11"/>
      <c r="E951" s="10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0"/>
      <c r="V951" s="11"/>
      <c r="W951" s="10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2.75" customHeight="1">
      <c r="A952" s="10"/>
      <c r="B952" s="11"/>
      <c r="C952" s="10"/>
      <c r="D952" s="11"/>
      <c r="E952" s="10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0"/>
      <c r="V952" s="11"/>
      <c r="W952" s="10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2.75" customHeight="1">
      <c r="A953" s="10"/>
      <c r="B953" s="11"/>
      <c r="C953" s="10"/>
      <c r="D953" s="11"/>
      <c r="E953" s="10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0"/>
      <c r="V953" s="11"/>
      <c r="W953" s="10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2.75" customHeight="1">
      <c r="A954" s="10"/>
      <c r="B954" s="11"/>
      <c r="C954" s="10"/>
      <c r="D954" s="11"/>
      <c r="E954" s="10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0"/>
      <c r="V954" s="11"/>
      <c r="W954" s="10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2.75" customHeight="1">
      <c r="A955" s="10"/>
      <c r="B955" s="11"/>
      <c r="C955" s="10"/>
      <c r="D955" s="11"/>
      <c r="E955" s="10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0"/>
      <c r="V955" s="11"/>
      <c r="W955" s="10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2.75" customHeight="1">
      <c r="A956" s="10"/>
      <c r="B956" s="11"/>
      <c r="C956" s="10"/>
      <c r="D956" s="11"/>
      <c r="E956" s="10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0"/>
      <c r="V956" s="11"/>
      <c r="W956" s="10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2.75" customHeight="1">
      <c r="A957" s="10"/>
      <c r="B957" s="11"/>
      <c r="C957" s="10"/>
      <c r="D957" s="11"/>
      <c r="E957" s="10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0"/>
      <c r="V957" s="11"/>
      <c r="W957" s="10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2.75" customHeight="1">
      <c r="A958" s="10"/>
      <c r="B958" s="11"/>
      <c r="C958" s="10"/>
      <c r="D958" s="11"/>
      <c r="E958" s="10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0"/>
      <c r="V958" s="11"/>
      <c r="W958" s="10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2.75" customHeight="1">
      <c r="A959" s="10"/>
      <c r="B959" s="11"/>
      <c r="C959" s="10"/>
      <c r="D959" s="11"/>
      <c r="E959" s="10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0"/>
      <c r="V959" s="11"/>
      <c r="W959" s="10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2.75" customHeight="1">
      <c r="A960" s="10"/>
      <c r="B960" s="11"/>
      <c r="C960" s="10"/>
      <c r="D960" s="11"/>
      <c r="E960" s="10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0"/>
      <c r="V960" s="11"/>
      <c r="W960" s="10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2.75" customHeight="1">
      <c r="A961" s="10"/>
      <c r="B961" s="11"/>
      <c r="C961" s="10"/>
      <c r="D961" s="11"/>
      <c r="E961" s="10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0"/>
      <c r="V961" s="11"/>
      <c r="W961" s="10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2.75" customHeight="1">
      <c r="A962" s="10"/>
      <c r="B962" s="11"/>
      <c r="C962" s="10"/>
      <c r="D962" s="11"/>
      <c r="E962" s="10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0"/>
      <c r="V962" s="11"/>
      <c r="W962" s="10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2.75" customHeight="1">
      <c r="A963" s="10"/>
      <c r="B963" s="11"/>
      <c r="C963" s="10"/>
      <c r="D963" s="11"/>
      <c r="E963" s="10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0"/>
      <c r="V963" s="11"/>
      <c r="W963" s="10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2.75" customHeight="1">
      <c r="A964" s="10"/>
      <c r="B964" s="11"/>
      <c r="C964" s="10"/>
      <c r="D964" s="11"/>
      <c r="E964" s="10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0"/>
      <c r="V964" s="11"/>
      <c r="W964" s="10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2.75" customHeight="1">
      <c r="A965" s="10"/>
      <c r="B965" s="11"/>
      <c r="C965" s="10"/>
      <c r="D965" s="11"/>
      <c r="E965" s="10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0"/>
      <c r="V965" s="11"/>
      <c r="W965" s="10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2.75" customHeight="1">
      <c r="A966" s="10"/>
      <c r="B966" s="11"/>
      <c r="C966" s="10"/>
      <c r="D966" s="11"/>
      <c r="E966" s="10"/>
      <c r="F966" s="1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0"/>
      <c r="V966" s="11"/>
      <c r="W966" s="10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2.75" customHeight="1">
      <c r="A967" s="10"/>
      <c r="B967" s="11"/>
      <c r="C967" s="10"/>
      <c r="D967" s="11"/>
      <c r="E967" s="10"/>
      <c r="F967" s="1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0"/>
      <c r="V967" s="11"/>
      <c r="W967" s="10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2.75" customHeight="1">
      <c r="A968" s="10"/>
      <c r="B968" s="11"/>
      <c r="C968" s="10"/>
      <c r="D968" s="11"/>
      <c r="E968" s="10"/>
      <c r="F968" s="1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0"/>
      <c r="V968" s="11"/>
      <c r="W968" s="10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2.75" customHeight="1">
      <c r="A969" s="10"/>
      <c r="B969" s="11"/>
      <c r="C969" s="10"/>
      <c r="D969" s="11"/>
      <c r="E969" s="10"/>
      <c r="F969" s="1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0"/>
      <c r="V969" s="11"/>
      <c r="W969" s="10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2.75" customHeight="1">
      <c r="A970" s="10"/>
      <c r="B970" s="11"/>
      <c r="C970" s="10"/>
      <c r="D970" s="11"/>
      <c r="E970" s="10"/>
      <c r="F970" s="1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0"/>
      <c r="V970" s="11"/>
      <c r="W970" s="10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2.75" customHeight="1">
      <c r="A971" s="10"/>
      <c r="B971" s="11"/>
      <c r="C971" s="10"/>
      <c r="D971" s="11"/>
      <c r="E971" s="10"/>
      <c r="F971" s="1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0"/>
      <c r="V971" s="11"/>
      <c r="W971" s="10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2.75" customHeight="1">
      <c r="A972" s="10"/>
      <c r="B972" s="11"/>
      <c r="C972" s="10"/>
      <c r="D972" s="11"/>
      <c r="E972" s="10"/>
      <c r="F972" s="1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0"/>
      <c r="V972" s="11"/>
      <c r="W972" s="10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2.75" customHeight="1">
      <c r="A973" s="10"/>
      <c r="B973" s="11"/>
      <c r="C973" s="10"/>
      <c r="D973" s="11"/>
      <c r="E973" s="10"/>
      <c r="F973" s="1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0"/>
      <c r="V973" s="11"/>
      <c r="W973" s="10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2.75" customHeight="1">
      <c r="A974" s="10"/>
      <c r="B974" s="11"/>
      <c r="C974" s="10"/>
      <c r="D974" s="11"/>
      <c r="E974" s="10"/>
      <c r="F974" s="1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0"/>
      <c r="V974" s="11"/>
      <c r="W974" s="10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2.75" customHeight="1">
      <c r="A975" s="10"/>
      <c r="B975" s="11"/>
      <c r="C975" s="10"/>
      <c r="D975" s="11"/>
      <c r="E975" s="10"/>
      <c r="F975" s="1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0"/>
      <c r="V975" s="11"/>
      <c r="W975" s="10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2.75" customHeight="1">
      <c r="A976" s="10"/>
      <c r="B976" s="11"/>
      <c r="C976" s="10"/>
      <c r="D976" s="11"/>
      <c r="E976" s="10"/>
      <c r="F976" s="1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0"/>
      <c r="V976" s="11"/>
      <c r="W976" s="10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2.75" customHeight="1">
      <c r="A977" s="10"/>
      <c r="B977" s="11"/>
      <c r="C977" s="10"/>
      <c r="D977" s="11"/>
      <c r="E977" s="10"/>
      <c r="F977" s="1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0"/>
      <c r="V977" s="11"/>
      <c r="W977" s="10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2.75" customHeight="1">
      <c r="A978" s="10"/>
      <c r="B978" s="11"/>
      <c r="C978" s="10"/>
      <c r="D978" s="11"/>
      <c r="E978" s="10"/>
      <c r="F978" s="1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0"/>
      <c r="V978" s="11"/>
      <c r="W978" s="10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2.75" customHeight="1">
      <c r="A979" s="10"/>
      <c r="B979" s="11"/>
      <c r="C979" s="10"/>
      <c r="D979" s="11"/>
      <c r="E979" s="10"/>
      <c r="F979" s="1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0"/>
      <c r="V979" s="11"/>
      <c r="W979" s="10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2.75" customHeight="1">
      <c r="A980" s="10"/>
      <c r="B980" s="11"/>
      <c r="C980" s="10"/>
      <c r="D980" s="11"/>
      <c r="E980" s="10"/>
      <c r="F980" s="1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0"/>
      <c r="V980" s="11"/>
      <c r="W980" s="10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2.75" customHeight="1">
      <c r="A981" s="10"/>
      <c r="B981" s="11"/>
      <c r="C981" s="10"/>
      <c r="D981" s="11"/>
      <c r="E981" s="10"/>
      <c r="F981" s="1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0"/>
      <c r="V981" s="11"/>
      <c r="W981" s="10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2.75" customHeight="1">
      <c r="A982" s="10"/>
      <c r="B982" s="11"/>
      <c r="C982" s="10"/>
      <c r="D982" s="11"/>
      <c r="E982" s="10"/>
      <c r="F982" s="1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0"/>
      <c r="V982" s="11"/>
      <c r="W982" s="10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2.75" customHeight="1">
      <c r="A983" s="10"/>
      <c r="B983" s="11"/>
      <c r="C983" s="10"/>
      <c r="D983" s="11"/>
      <c r="E983" s="10"/>
      <c r="F983" s="1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0"/>
      <c r="V983" s="11"/>
      <c r="W983" s="10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2.75" customHeight="1">
      <c r="A984" s="10"/>
      <c r="B984" s="11"/>
      <c r="C984" s="10"/>
      <c r="D984" s="11"/>
      <c r="E984" s="10"/>
      <c r="F984" s="1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0"/>
      <c r="V984" s="11"/>
      <c r="W984" s="10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2.75" customHeight="1">
      <c r="A985" s="10"/>
      <c r="B985" s="11"/>
      <c r="C985" s="10"/>
      <c r="D985" s="11"/>
      <c r="E985" s="10"/>
      <c r="F985" s="1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0"/>
      <c r="V985" s="11"/>
      <c r="W985" s="10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2.75" customHeight="1">
      <c r="A986" s="10"/>
      <c r="B986" s="11"/>
      <c r="C986" s="10"/>
      <c r="D986" s="11"/>
      <c r="E986" s="10"/>
      <c r="F986" s="1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0"/>
      <c r="V986" s="11"/>
      <c r="W986" s="10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2.75" customHeight="1">
      <c r="A987" s="10"/>
      <c r="B987" s="11"/>
      <c r="C987" s="10"/>
      <c r="D987" s="11"/>
      <c r="E987" s="10"/>
      <c r="F987" s="1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0"/>
      <c r="V987" s="11"/>
      <c r="W987" s="10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2.75" customHeight="1">
      <c r="A988" s="10"/>
      <c r="B988" s="11"/>
      <c r="C988" s="10"/>
      <c r="D988" s="11"/>
      <c r="E988" s="10"/>
      <c r="F988" s="1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0"/>
      <c r="V988" s="11"/>
      <c r="W988" s="10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2.75" customHeight="1">
      <c r="A989" s="10"/>
      <c r="B989" s="11"/>
      <c r="C989" s="10"/>
      <c r="D989" s="11"/>
      <c r="E989" s="10"/>
      <c r="F989" s="1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0"/>
      <c r="V989" s="11"/>
      <c r="W989" s="10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2.75" customHeight="1">
      <c r="A990" s="10"/>
      <c r="B990" s="11"/>
      <c r="C990" s="10"/>
      <c r="D990" s="11"/>
      <c r="E990" s="10"/>
      <c r="F990" s="1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0"/>
      <c r="V990" s="11"/>
      <c r="W990" s="10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2.75" customHeight="1">
      <c r="A991" s="10"/>
      <c r="B991" s="11"/>
      <c r="C991" s="10"/>
      <c r="D991" s="11"/>
      <c r="E991" s="10"/>
      <c r="F991" s="1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0"/>
      <c r="V991" s="11"/>
      <c r="W991" s="10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2.75" customHeight="1">
      <c r="A992" s="10"/>
      <c r="B992" s="11"/>
      <c r="C992" s="10"/>
      <c r="D992" s="11"/>
      <c r="E992" s="10"/>
      <c r="F992" s="1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0"/>
      <c r="V992" s="11"/>
      <c r="W992" s="10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2.75" customHeight="1">
      <c r="A993" s="10"/>
      <c r="B993" s="11"/>
      <c r="C993" s="10"/>
      <c r="D993" s="11"/>
      <c r="E993" s="10"/>
      <c r="F993" s="1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0"/>
      <c r="V993" s="11"/>
      <c r="W993" s="10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2.75" customHeight="1">
      <c r="A994" s="10"/>
      <c r="B994" s="11"/>
      <c r="C994" s="10"/>
      <c r="D994" s="11"/>
      <c r="E994" s="10"/>
      <c r="F994" s="1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0"/>
      <c r="V994" s="11"/>
      <c r="W994" s="10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2.75" customHeight="1">
      <c r="A995" s="10"/>
      <c r="B995" s="11"/>
      <c r="C995" s="10"/>
      <c r="D995" s="11"/>
      <c r="E995" s="10"/>
      <c r="F995" s="1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0"/>
      <c r="V995" s="11"/>
      <c r="W995" s="10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2.75" customHeight="1">
      <c r="A996" s="10"/>
      <c r="B996" s="11"/>
      <c r="C996" s="10"/>
      <c r="D996" s="11"/>
      <c r="E996" s="10"/>
      <c r="F996" s="1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0"/>
      <c r="V996" s="11"/>
      <c r="W996" s="10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2.75" customHeight="1">
      <c r="A997" s="10"/>
      <c r="B997" s="11"/>
      <c r="C997" s="10"/>
      <c r="D997" s="11"/>
      <c r="E997" s="10"/>
      <c r="F997" s="1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0"/>
      <c r="V997" s="11"/>
      <c r="W997" s="10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2.75" customHeight="1">
      <c r="A998" s="10"/>
      <c r="B998" s="11"/>
      <c r="C998" s="10"/>
      <c r="D998" s="11"/>
      <c r="E998" s="10"/>
      <c r="F998" s="1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0"/>
      <c r="V998" s="11"/>
      <c r="W998" s="10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2.75" customHeight="1">
      <c r="A999" s="10"/>
      <c r="B999" s="11"/>
      <c r="C999" s="10"/>
      <c r="D999" s="11"/>
      <c r="E999" s="10"/>
      <c r="F999" s="1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0"/>
      <c r="V999" s="11"/>
      <c r="W999" s="10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2.75" customHeight="1">
      <c r="A1000" s="10"/>
      <c r="B1000" s="11"/>
      <c r="C1000" s="10"/>
      <c r="D1000" s="11"/>
      <c r="E1000" s="10"/>
      <c r="F1000" s="1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0"/>
      <c r="V1000" s="11"/>
      <c r="W1000" s="10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drawing r:id="rId1"/>
</worksheet>
</file>