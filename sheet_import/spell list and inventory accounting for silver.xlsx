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<sst xmlns="http://schemas.openxmlformats.org/spreadsheetml/2006/main" count="248" uniqueCount="242">
  <si>
    <t>spell lists</t>
  </si>
  <si>
    <t>sorc</t>
  </si>
  <si>
    <t>oracle</t>
  </si>
  <si>
    <t>level</t>
  </si>
  <si>
    <t>detect magic</t>
  </si>
  <si>
    <t>mending</t>
  </si>
  <si>
    <t>purify food/water</t>
  </si>
  <si>
    <t>create watewr</t>
  </si>
  <si>
    <t>read magic</t>
  </si>
  <si>
    <t>stabilize</t>
  </si>
  <si>
    <t>spark</t>
  </si>
  <si>
    <t>resistace</t>
  </si>
  <si>
    <t>guidance</t>
  </si>
  <si>
    <t>hydrolic push</t>
  </si>
  <si>
    <t>http://www.d20pfsrd.com/magic/all-spells/h/hydraulic-push</t>
  </si>
  <si>
    <t>shield of faith</t>
  </si>
  <si>
    <t>http://www.d20pfsrd.com/magic/all-spells/s/shield-of-faith</t>
  </si>
  <si>
    <t>keep watch</t>
  </si>
  <si>
    <t>http://www.d20pfsrd.com/magic/all-spells/k/keep-watch</t>
  </si>
  <si>
    <t>bless water</t>
  </si>
  <si>
    <t>http://www.d20pfsrd.com/magic/all-spells/b/bless-water</t>
  </si>
  <si>
    <t>enlarge person</t>
  </si>
  <si>
    <t>http://www.d20pfsrd.com/magic/all-spells/e/enlarge-person</t>
  </si>
  <si>
    <t>command</t>
  </si>
  <si>
    <t>http://www.d20pfsrd.com/magic/all-spells/c/command</t>
  </si>
  <si>
    <t>grease</t>
  </si>
  <si>
    <t>http://www.d20pfsrd.com/magic/all-spells/g/grease</t>
  </si>
  <si>
    <t>forbid action</t>
  </si>
  <si>
    <t>http://www.d20pfsrd.com/magic/all-spells/f/forbid-action</t>
  </si>
  <si>
    <t>mudball</t>
  </si>
  <si>
    <t>http://www.d20pfsrd.com/magic/all-spells/m/mudball</t>
  </si>
  <si>
    <t>sanctuary</t>
  </si>
  <si>
    <t>http://www.d20pfsrd.com/magic/all-spells/s/sanctuary</t>
  </si>
  <si>
    <t>twisted space</t>
  </si>
  <si>
    <t>http://www.d20pfsrd.com/magic/all-spells/t/twisted-space</t>
  </si>
  <si>
    <t>restoration, lesser</t>
  </si>
  <si>
    <t>http://www.d20pfsrd.com/magic/all-spells/r/restoration</t>
  </si>
  <si>
    <t>kinetic reverbratuon</t>
  </si>
  <si>
    <t>http://www.d20pfsrd.com/magic/all-spells/k/kinetic-reverberation</t>
  </si>
  <si>
    <t>resist energy</t>
  </si>
  <si>
    <t>http://www.d20pfsrd.com/magic/all-spells/r/resist-energy</t>
  </si>
  <si>
    <t>escaping ward</t>
  </si>
  <si>
    <t>http://www.d20pfsrd.com/magic/all-spells/e/escaping-ward</t>
  </si>
  <si>
    <t>grace</t>
  </si>
  <si>
    <t>http://www.d20pfsrd.com/magic/all-spells/g/grace</t>
  </si>
  <si>
    <t>eagles splendor</t>
  </si>
  <si>
    <t>http://www.d20pfsrd.com/magic/all-spells/e/eagle-s-splendor</t>
  </si>
  <si>
    <t>enthrall</t>
  </si>
  <si>
    <t>http://www.d20pfsrd.com/magic/all-spells/e/enthrall</t>
  </si>
  <si>
    <t>mirror image</t>
  </si>
  <si>
    <t>http://www.d20pfsrd.com/magic/all-spells/m/mirror-image</t>
  </si>
  <si>
    <t>calm emotions</t>
  </si>
  <si>
    <t>http://www.d20pfsrd.com/magic/all-spells/c/calm-emotions</t>
  </si>
  <si>
    <t>sepia snake sigil</t>
  </si>
  <si>
    <t>http://www.d20pfsrd.com/magic/all-spells/s/sepia-snake-sigil</t>
  </si>
  <si>
    <t>stone shape</t>
  </si>
  <si>
    <t>http://www.d20pfsrd.com/magic/all-spells/s/stone-shape</t>
  </si>
  <si>
    <t>3*9</t>
  </si>
  <si>
    <t>harrowing</t>
  </si>
  <si>
    <t>http://www.d20pfsrd.com/magic/all-spells/h/harrowing</t>
  </si>
  <si>
    <t>magic circle</t>
  </si>
  <si>
    <t>http://www.d20pfsrd.com/magic/all-spells/m/magic-circle-against-chaos</t>
  </si>
  <si>
    <t>call the void</t>
  </si>
  <si>
    <t>http://www.d20pfsrd.com/magic/all-spells/c/call-the-void</t>
  </si>
  <si>
    <t>dispell magic</t>
  </si>
  <si>
    <t>http://www.d20pfsrd.com/magic/all-spells/d/dispel-magic</t>
  </si>
  <si>
    <t>blacklight</t>
  </si>
  <si>
    <t>http://www.d20pfsrd.com/magic/all-spells/b/blacklight</t>
  </si>
  <si>
    <t>protection from energy</t>
  </si>
  <si>
    <t>http://www.d20pfsrd.com/magic/all-spells/p/protection-from-energy</t>
  </si>
  <si>
    <t>remove curse</t>
  </si>
  <si>
    <t>http://www.d20pfsrd.com/magic/all-spells/r/remove-curse</t>
  </si>
  <si>
    <t>dismissal</t>
  </si>
  <si>
    <t>http://www.d20pfsrd.com/magic/all-spells/d/dismissal</t>
  </si>
  <si>
    <t>charm monster</t>
  </si>
  <si>
    <t>http://www.d20pfsrd.com/magic/all-spells/c/charm-monster</t>
  </si>
  <si>
    <t>dimensional anchor</t>
  </si>
  <si>
    <t>http://www.d20pfsrd.com/magic/all-spells/d/dimensional-anchor</t>
  </si>
  <si>
    <t>confusion</t>
  </si>
  <si>
    <t>http://www.d20pfsrd.com/magic/all-spells/c/confusion</t>
  </si>
  <si>
    <t>debilitating portent</t>
  </si>
  <si>
    <t>http://www.d20pfsrd.com/magic/all-spells/d/debilitating-portent</t>
  </si>
  <si>
    <t>9*4</t>
  </si>
  <si>
    <t>ice storm</t>
  </si>
  <si>
    <t>http://www.d20pfsrd.com/magic/all-spells/i/ice-storm</t>
  </si>
  <si>
    <t>death ward</t>
  </si>
  <si>
    <t>http://www.d20pfsrd.com/magic/all-spells/d/death-ward</t>
  </si>
  <si>
    <t>8*7+</t>
  </si>
  <si>
    <t>prismatic wall</t>
  </si>
  <si>
    <t>http://www.d20pfsrd.com/magic/all-spells/p/prismatic-wall</t>
  </si>
  <si>
    <t>spell resistance</t>
  </si>
  <si>
    <t>http://www.d20pfsrd.com/magic/all-spells/s/spell-resistance</t>
  </si>
  <si>
    <t>feeblemind</t>
  </si>
  <si>
    <t>http://www.d20pfsrd.com/magic/all-spells/f/feeblemind</t>
  </si>
  <si>
    <t>true seeing</t>
  </si>
  <si>
    <t>http://www.d20pfsrd.com/magic/all-spells/t/true-seeing</t>
  </si>
  <si>
    <t>prermenancy</t>
  </si>
  <si>
    <t>http://www.d20pfsrd.com/magic/all-spells/p/permanency</t>
  </si>
  <si>
    <t>serenity</t>
  </si>
  <si>
    <t>http://www.d20pfsrd.com/magic/all-spells/s/serenity</t>
  </si>
  <si>
    <t>baleful polymorph</t>
  </si>
  <si>
    <t>http://www.d20pfsrd.com/magic/all-spells/b/baleful-polymorph</t>
  </si>
  <si>
    <t>burst of glory</t>
  </si>
  <si>
    <t>http://www.d20pfsrd.com/magic/all-spells/b/burst-of-glory</t>
  </si>
  <si>
    <t>7*5</t>
  </si>
  <si>
    <t>cloak of dreams</t>
  </si>
  <si>
    <t>http://www.d20pfsrd.com/magic/all-spells/c/cloak-of-dreams</t>
  </si>
  <si>
    <t>word of recall</t>
  </si>
  <si>
    <t>http://www.d20pfsrd.com/magic/all-spells/w/word-of-recall</t>
  </si>
  <si>
    <t>6*6</t>
  </si>
  <si>
    <t>disintegrate</t>
  </si>
  <si>
    <t>http://www.d20pfsrd.com/magic/all-spells/d/disintegrate</t>
  </si>
  <si>
    <t>dust form</t>
  </si>
  <si>
    <t>http://www.d20pfsrd.com/magic/all-spells/d/dust-form</t>
  </si>
  <si>
    <t>wall of iron</t>
  </si>
  <si>
    <t>http://www.d20pfsrd.com/magic/all-spells/w/wall-of-iron</t>
  </si>
  <si>
    <t>banishment</t>
  </si>
  <si>
    <t>http://www.d20pfsrd.com/magic/all-spells/b/banishment</t>
  </si>
  <si>
    <t>statue</t>
  </si>
  <si>
    <t>http://www.d20pfsrd.com/magic/all-spells/s/statue</t>
  </si>
  <si>
    <t>control weather</t>
  </si>
  <si>
    <t>http://www.d20pfsrd.com/magic/all-spells/c/control-weather</t>
  </si>
  <si>
    <t>DB fireball</t>
  </si>
  <si>
    <t>http://www.d20pfsrd.com/magic/all-spells/d/delayed-blast-fireball</t>
  </si>
  <si>
    <t>repulsion</t>
  </si>
  <si>
    <t>http://www.d20pfsrd.com/magic/all-spells/r/repulsion</t>
  </si>
  <si>
    <t>rampart</t>
  </si>
  <si>
    <t>http://www.d20pfsrd.com/magic/all-spells/r/rampart</t>
  </si>
  <si>
    <t>destruction</t>
  </si>
  <si>
    <t>http://www.d20pfsrd.com/magic/all-spells/d/destruction</t>
  </si>
  <si>
    <t>stormbolts</t>
  </si>
  <si>
    <t>http://www.d20pfsrd.com/magic/all-spells/s/stormbolts</t>
  </si>
  <si>
    <t>holy aura</t>
  </si>
  <si>
    <t>http://www.d20pfsrd.com/magic/all-spells/h/holy-aura</t>
  </si>
  <si>
    <t>scintilating Pattern</t>
  </si>
  <si>
    <t>http://www.d20pfsrd.com/magic/all-spells/s/scintillating-pattern</t>
  </si>
  <si>
    <t>divne vessel</t>
  </si>
  <si>
    <t>http://www.d20pfsrd.com/magic/all-spells/d/divine-vessel</t>
  </si>
  <si>
    <t>wall of lava</t>
  </si>
  <si>
    <t>http://www.d20pfsrd.com/magic/all-spells/w/wall-of-lava</t>
  </si>
  <si>
    <t>antimagic field</t>
  </si>
  <si>
    <t>http://www.d20pfsrd.com/magic/all-spells/a/antimagic-field</t>
  </si>
  <si>
    <t>clashing rocks</t>
  </si>
  <si>
    <t>http://www.d20pfsrd.com/magic/all-spells/c/clashing-rocks</t>
  </si>
  <si>
    <t>teleportation circle</t>
  </si>
  <si>
    <t>http://www.d20pfsrd.com/magic/all-spells/t/teleportation-circle</t>
  </si>
  <si>
    <t>heal, mass</t>
  </si>
  <si>
    <t>http://www.d20pfsrd.com/magic/all-spells/h/heal</t>
  </si>
  <si>
    <t>interplanetary teleport</t>
  </si>
  <si>
    <t>http://www.d20pfsrd.com/magic/all-spells/i/interplanetary-teleport</t>
  </si>
  <si>
    <t>gate</t>
  </si>
  <si>
    <t>http://www.d20pfsrd.com/magic/all-spells/g/gate</t>
  </si>
  <si>
    <t>bloodline</t>
  </si>
  <si>
    <t>mystery</t>
  </si>
  <si>
    <t>unseen servant</t>
  </si>
  <si>
    <t>http://www.d20pfsrd.com/magic/all-spells/u/unseen-servant</t>
  </si>
  <si>
    <t>color spray</t>
  </si>
  <si>
    <t>http://www.d20pfsrd.com/magic/all-spells/c/color-spray</t>
  </si>
  <si>
    <t>glitterdust</t>
  </si>
  <si>
    <t>http://www.d20pfsrd.com/magic/all-spells/g/glitterdust</t>
  </si>
  <si>
    <t>hypnotic pattern</t>
  </si>
  <si>
    <t>http://www.d20pfsrd.com/magic/all-spells/h/hypnotic-pattern</t>
  </si>
  <si>
    <t>blink</t>
  </si>
  <si>
    <t>http://www.d20pfsrd.com/magic/all-spells/b/blink</t>
  </si>
  <si>
    <t>daylight</t>
  </si>
  <si>
    <t>http://www.d20pfsrd.com/magic/all-spells/d/daylight</t>
  </si>
  <si>
    <t>call lightning storm</t>
  </si>
  <si>
    <t>http://www.d20pfsrd.com/magic/all-spells/c/call-lightning-storm</t>
  </si>
  <si>
    <t>rainbow pattern</t>
  </si>
  <si>
    <t>http://www.d20pfsrd.com/magic/all-spells/r/rainbow-pattern</t>
  </si>
  <si>
    <t>overland flight</t>
  </si>
  <si>
    <t>http://www.d20pfsrd.com/magic/all-spells/o/overland-flight</t>
  </si>
  <si>
    <t>overland Flight</t>
  </si>
  <si>
    <t>chain lightning</t>
  </si>
  <si>
    <t>http://www.d20pfsrd.com/magic/all-spells/c/chain-lightning</t>
  </si>
  <si>
    <t>reverse gravity</t>
  </si>
  <si>
    <t>http://www.d20pfsrd.com/magic/all-spells/r/reverse-gravity</t>
  </si>
  <si>
    <t>prismatic spray</t>
  </si>
  <si>
    <t>http://www.d20pfsrd.com/magic/all-spells/p/prismatic-spray</t>
  </si>
  <si>
    <t>greater prying eyes</t>
  </si>
  <si>
    <t>http://www.d20pfsrd.com/magic/all-spells/p/prying-eyes</t>
  </si>
  <si>
    <t>sunburst</t>
  </si>
  <si>
    <t>http://www.d20pfsrd.com/magic/all-spells/s/sunburst</t>
  </si>
  <si>
    <t>Meteor Swarm</t>
  </si>
  <si>
    <t>meteor swarm</t>
  </si>
  <si>
    <t>http://www.d20pfsrd.com/magic/all-spells/m/meteor-swarm</t>
  </si>
  <si>
    <t>inventory</t>
  </si>
  <si>
    <t>cost</t>
  </si>
  <si>
    <t>linnwyrm armor</t>
  </si>
  <si>
    <t>elven chain +5 mirrored barding</t>
  </si>
  <si>
    <t>dusty rose ion stone +5</t>
  </si>
  <si>
    <t>headband of mental supuriority</t>
  </si>
  <si>
    <t>2x teleport circle</t>
  </si>
  <si>
    <t>tome understanding +5</t>
  </si>
  <si>
    <t>battles</t>
  </si>
  <si>
    <t>tome leadership +5</t>
  </si>
  <si>
    <t>loots</t>
  </si>
  <si>
    <t>manual exercise +5</t>
  </si>
  <si>
    <t>+6 ring loots</t>
  </si>
  <si>
    <t>new shopping costs</t>
  </si>
  <si>
    <t>cloak of resistance +5</t>
  </si>
  <si>
    <t>+6 cloak protection</t>
  </si>
  <si>
    <t>headband</t>
  </si>
  <si>
    <t>belt of physical perfection +6</t>
  </si>
  <si>
    <t>selling other stuff</t>
  </si>
  <si>
    <t>belt</t>
  </si>
  <si>
    <t>deathward ring</t>
  </si>
  <si>
    <t>more loot</t>
  </si>
  <si>
    <t>cloak</t>
  </si>
  <si>
    <t>even more</t>
  </si>
  <si>
    <t>lair stuff</t>
  </si>
  <si>
    <t>yet more (selling tomes)</t>
  </si>
  <si>
    <t>amulet natural armor +5</t>
  </si>
  <si>
    <t>perm phase door</t>
  </si>
  <si>
    <t>front door (keyed?)</t>
  </si>
  <si>
    <t>more (payed off from others)</t>
  </si>
  <si>
    <t>ring of protection +5</t>
  </si>
  <si>
    <t>perm gust of wind</t>
  </si>
  <si>
    <t>circulate air through all the caverns</t>
  </si>
  <si>
    <t>store credit</t>
  </si>
  <si>
    <t>celestial full plate +5, fort heavy</t>
  </si>
  <si>
    <t>perm wall of force</t>
  </si>
  <si>
    <t>glass dome' for observatory cavern</t>
  </si>
  <si>
    <t>more cash</t>
  </si>
  <si>
    <t>ioun stone +2 spell level</t>
  </si>
  <si>
    <t>perm teleport circle</t>
  </si>
  <si>
    <t>emergency exit to outside</t>
  </si>
  <si>
    <t>more loot again</t>
  </si>
  <si>
    <t xml:space="preserve">ion stone +5 ac </t>
  </si>
  <si>
    <t>decanter of endless water</t>
  </si>
  <si>
    <t>even more bigger loots</t>
  </si>
  <si>
    <t>everful larder</t>
  </si>
  <si>
    <t>simple food to feed 5/day</t>
  </si>
  <si>
    <t>shopping to replace missing stuff</t>
  </si>
  <si>
    <t>chamber of comfort</t>
  </si>
  <si>
    <t>chamber kept comfortable, w fresh breeze, smoke vanishes</t>
  </si>
  <si>
    <t>pool of scrying</t>
  </si>
  <si>
    <t>secure cavern</t>
  </si>
  <si>
    <t>perm mindblank on cavern</t>
  </si>
  <si>
    <t>wonderous absence</t>
  </si>
  <si>
    <t>conceals all magical auras</t>
  </si>
  <si>
    <t>bracers of catalyst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</si>
</sst>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quotePrefix="1"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d20pfsrd.com/magic/all-spells/t/true-seeing" TargetMode="External"/><Relationship Id="rId84" Type="http://schemas.openxmlformats.org/officeDocument/2006/relationships/hyperlink" Target="http://www.d20pfsrd.com/magic/all-spells/m/meteor-swarm" TargetMode="External"/><Relationship Id="rId83" Type="http://schemas.openxmlformats.org/officeDocument/2006/relationships/hyperlink" Target="http://www.d20pfsrd.com/magic/all-spells/s/sunburst" TargetMode="External"/><Relationship Id="rId42" Type="http://schemas.openxmlformats.org/officeDocument/2006/relationships/hyperlink" Target="http://www.d20pfsrd.com/magic/all-spells/s/serenity" TargetMode="External"/><Relationship Id="rId41" Type="http://schemas.openxmlformats.org/officeDocument/2006/relationships/hyperlink" Target="http://www.d20pfsrd.com/magic/all-spells/p/permanency" TargetMode="External"/><Relationship Id="rId85" Type="http://schemas.openxmlformats.org/officeDocument/2006/relationships/drawing" Target="../drawings/drawing1.xml"/><Relationship Id="rId44" Type="http://schemas.openxmlformats.org/officeDocument/2006/relationships/hyperlink" Target="http://www.d20pfsrd.com/magic/all-spells/b/burst-of-glory" TargetMode="External"/><Relationship Id="rId43" Type="http://schemas.openxmlformats.org/officeDocument/2006/relationships/hyperlink" Target="http://www.d20pfsrd.com/magic/all-spells/b/baleful-polymorph" TargetMode="External"/><Relationship Id="rId46" Type="http://schemas.openxmlformats.org/officeDocument/2006/relationships/hyperlink" Target="http://www.d20pfsrd.com/magic/all-spells/w/word-of-recall" TargetMode="External"/><Relationship Id="rId45" Type="http://schemas.openxmlformats.org/officeDocument/2006/relationships/hyperlink" Target="http://www.d20pfsrd.com/magic/all-spells/c/cloak-of-dreams" TargetMode="External"/><Relationship Id="rId80" Type="http://schemas.openxmlformats.org/officeDocument/2006/relationships/hyperlink" Target="http://www.d20pfsrd.com/magic/all-spells/r/reverse-gravity" TargetMode="External"/><Relationship Id="rId82" Type="http://schemas.openxmlformats.org/officeDocument/2006/relationships/hyperlink" Target="http://www.d20pfsrd.com/magic/all-spells/p/prying-eyes" TargetMode="External"/><Relationship Id="rId81" Type="http://schemas.openxmlformats.org/officeDocument/2006/relationships/hyperlink" Target="http://www.d20pfsrd.com/magic/all-spells/p/prismatic-spray" TargetMode="External"/><Relationship Id="rId1" Type="http://schemas.openxmlformats.org/officeDocument/2006/relationships/hyperlink" Target="http://www.d20pfsrd.com/magic/all-spells/h/hydraulic-push" TargetMode="External"/><Relationship Id="rId2" Type="http://schemas.openxmlformats.org/officeDocument/2006/relationships/hyperlink" Target="http://www.d20pfsrd.com/magic/all-spells/s/shield-of-faith" TargetMode="External"/><Relationship Id="rId3" Type="http://schemas.openxmlformats.org/officeDocument/2006/relationships/hyperlink" Target="http://www.d20pfsrd.com/magic/all-spells/k/keep-watch" TargetMode="External"/><Relationship Id="rId4" Type="http://schemas.openxmlformats.org/officeDocument/2006/relationships/hyperlink" Target="http://www.d20pfsrd.com/magic/all-spells/b/bless-water" TargetMode="External"/><Relationship Id="rId9" Type="http://schemas.openxmlformats.org/officeDocument/2006/relationships/hyperlink" Target="http://www.d20pfsrd.com/magic/all-spells/m/mudball" TargetMode="External"/><Relationship Id="rId48" Type="http://schemas.openxmlformats.org/officeDocument/2006/relationships/hyperlink" Target="http://www.d20pfsrd.com/magic/all-spells/d/dust-form" TargetMode="External"/><Relationship Id="rId47" Type="http://schemas.openxmlformats.org/officeDocument/2006/relationships/hyperlink" Target="http://www.d20pfsrd.com/magic/all-spells/d/disintegrate" TargetMode="External"/><Relationship Id="rId49" Type="http://schemas.openxmlformats.org/officeDocument/2006/relationships/hyperlink" Target="http://www.d20pfsrd.com/magic/all-spells/w/wall-of-iron" TargetMode="External"/><Relationship Id="rId5" Type="http://schemas.openxmlformats.org/officeDocument/2006/relationships/hyperlink" Target="http://www.d20pfsrd.com/magic/all-spells/e/enlarge-person" TargetMode="External"/><Relationship Id="rId6" Type="http://schemas.openxmlformats.org/officeDocument/2006/relationships/hyperlink" Target="http://www.d20pfsrd.com/magic/all-spells/c/command" TargetMode="External"/><Relationship Id="rId7" Type="http://schemas.openxmlformats.org/officeDocument/2006/relationships/hyperlink" Target="http://www.d20pfsrd.com/magic/all-spells/g/grease" TargetMode="External"/><Relationship Id="rId8" Type="http://schemas.openxmlformats.org/officeDocument/2006/relationships/hyperlink" Target="http://www.d20pfsrd.com/magic/all-spells/f/forbid-action" TargetMode="External"/><Relationship Id="rId73" Type="http://schemas.openxmlformats.org/officeDocument/2006/relationships/hyperlink" Target="http://www.d20pfsrd.com/magic/all-spells/d/daylight" TargetMode="External"/><Relationship Id="rId72" Type="http://schemas.openxmlformats.org/officeDocument/2006/relationships/hyperlink" Target="http://www.d20pfsrd.com/magic/all-spells/b/blink" TargetMode="External"/><Relationship Id="rId31" Type="http://schemas.openxmlformats.org/officeDocument/2006/relationships/hyperlink" Target="http://www.d20pfsrd.com/magic/all-spells/c/charm-monster" TargetMode="External"/><Relationship Id="rId75" Type="http://schemas.openxmlformats.org/officeDocument/2006/relationships/hyperlink" Target="http://www.d20pfsrd.com/magic/all-spells/r/rainbow-pattern" TargetMode="External"/><Relationship Id="rId30" Type="http://schemas.openxmlformats.org/officeDocument/2006/relationships/hyperlink" Target="http://www.d20pfsrd.com/magic/all-spells/d/dismissal" TargetMode="External"/><Relationship Id="rId74" Type="http://schemas.openxmlformats.org/officeDocument/2006/relationships/hyperlink" Target="http://www.d20pfsrd.com/magic/all-spells/c/call-lightning-storm" TargetMode="External"/><Relationship Id="rId33" Type="http://schemas.openxmlformats.org/officeDocument/2006/relationships/hyperlink" Target="http://www.d20pfsrd.com/magic/all-spells/c/confusion" TargetMode="External"/><Relationship Id="rId77" Type="http://schemas.openxmlformats.org/officeDocument/2006/relationships/hyperlink" Target="http://www.d20pfsrd.com/magic/all-spells/o/overland-flight" TargetMode="External"/><Relationship Id="rId32" Type="http://schemas.openxmlformats.org/officeDocument/2006/relationships/hyperlink" Target="http://www.d20pfsrd.com/magic/all-spells/d/dimensional-anchor" TargetMode="External"/><Relationship Id="rId76" Type="http://schemas.openxmlformats.org/officeDocument/2006/relationships/hyperlink" Target="http://www.d20pfsrd.com/magic/all-spells/o/overland-flight" TargetMode="External"/><Relationship Id="rId35" Type="http://schemas.openxmlformats.org/officeDocument/2006/relationships/hyperlink" Target="http://www.d20pfsrd.com/magic/all-spells/i/ice-storm" TargetMode="External"/><Relationship Id="rId79" Type="http://schemas.openxmlformats.org/officeDocument/2006/relationships/hyperlink" Target="http://www.d20pfsrd.com/magic/all-spells/c/chain-lightning" TargetMode="External"/><Relationship Id="rId34" Type="http://schemas.openxmlformats.org/officeDocument/2006/relationships/hyperlink" Target="http://www.d20pfsrd.com/magic/all-spells/d/debilitating-portent" TargetMode="External"/><Relationship Id="rId78" Type="http://schemas.openxmlformats.org/officeDocument/2006/relationships/hyperlink" Target="http://www.d20pfsrd.com/magic/all-spells/r/repulsion" TargetMode="External"/><Relationship Id="rId71" Type="http://schemas.openxmlformats.org/officeDocument/2006/relationships/hyperlink" Target="http://www.d20pfsrd.com/magic/all-spells/h/hypnotic-pattern" TargetMode="External"/><Relationship Id="rId70" Type="http://schemas.openxmlformats.org/officeDocument/2006/relationships/hyperlink" Target="http://www.d20pfsrd.com/magic/all-spells/g/glitterdust" TargetMode="External"/><Relationship Id="rId37" Type="http://schemas.openxmlformats.org/officeDocument/2006/relationships/hyperlink" Target="http://www.d20pfsrd.com/magic/all-spells/p/prismatic-wall" TargetMode="External"/><Relationship Id="rId36" Type="http://schemas.openxmlformats.org/officeDocument/2006/relationships/hyperlink" Target="http://www.d20pfsrd.com/magic/all-spells/d/death-ward" TargetMode="External"/><Relationship Id="rId39" Type="http://schemas.openxmlformats.org/officeDocument/2006/relationships/hyperlink" Target="http://www.d20pfsrd.com/magic/all-spells/f/feeblemind" TargetMode="External"/><Relationship Id="rId38" Type="http://schemas.openxmlformats.org/officeDocument/2006/relationships/hyperlink" Target="http://www.d20pfsrd.com/magic/all-spells/s/spell-resistance" TargetMode="External"/><Relationship Id="rId62" Type="http://schemas.openxmlformats.org/officeDocument/2006/relationships/hyperlink" Target="http://www.d20pfsrd.com/magic/all-spells/a/antimagic-field" TargetMode="External"/><Relationship Id="rId61" Type="http://schemas.openxmlformats.org/officeDocument/2006/relationships/hyperlink" Target="http://www.d20pfsrd.com/magic/all-spells/w/wall-of-lava" TargetMode="External"/><Relationship Id="rId20" Type="http://schemas.openxmlformats.org/officeDocument/2006/relationships/hyperlink" Target="http://www.d20pfsrd.com/magic/all-spells/c/calm-emotions" TargetMode="External"/><Relationship Id="rId64" Type="http://schemas.openxmlformats.org/officeDocument/2006/relationships/hyperlink" Target="http://www.d20pfsrd.com/magic/all-spells/t/teleportation-circle" TargetMode="External"/><Relationship Id="rId63" Type="http://schemas.openxmlformats.org/officeDocument/2006/relationships/hyperlink" Target="http://www.d20pfsrd.com/magic/all-spells/c/clashing-rocks" TargetMode="External"/><Relationship Id="rId22" Type="http://schemas.openxmlformats.org/officeDocument/2006/relationships/hyperlink" Target="http://www.d20pfsrd.com/magic/all-spells/s/stone-shape" TargetMode="External"/><Relationship Id="rId66" Type="http://schemas.openxmlformats.org/officeDocument/2006/relationships/hyperlink" Target="http://www.d20pfsrd.com/magic/all-spells/i/interplanetary-teleport" TargetMode="External"/><Relationship Id="rId21" Type="http://schemas.openxmlformats.org/officeDocument/2006/relationships/hyperlink" Target="http://www.d20pfsrd.com/magic/all-spells/s/sepia-snake-sigil" TargetMode="External"/><Relationship Id="rId65" Type="http://schemas.openxmlformats.org/officeDocument/2006/relationships/hyperlink" Target="http://www.d20pfsrd.com/magic/all-spells/h/heal" TargetMode="External"/><Relationship Id="rId24" Type="http://schemas.openxmlformats.org/officeDocument/2006/relationships/hyperlink" Target="http://www.d20pfsrd.com/magic/all-spells/m/magic-circle-against-chaos" TargetMode="External"/><Relationship Id="rId68" Type="http://schemas.openxmlformats.org/officeDocument/2006/relationships/hyperlink" Target="http://www.d20pfsrd.com/magic/all-spells/u/unseen-servant" TargetMode="External"/><Relationship Id="rId23" Type="http://schemas.openxmlformats.org/officeDocument/2006/relationships/hyperlink" Target="http://www.d20pfsrd.com/magic/all-spells/h/harrowing" TargetMode="External"/><Relationship Id="rId67" Type="http://schemas.openxmlformats.org/officeDocument/2006/relationships/hyperlink" Target="http://www.d20pfsrd.com/magic/all-spells/g/gate" TargetMode="External"/><Relationship Id="rId60" Type="http://schemas.openxmlformats.org/officeDocument/2006/relationships/hyperlink" Target="http://www.d20pfsrd.com/magic/all-spells/d/divine-vessel" TargetMode="External"/><Relationship Id="rId26" Type="http://schemas.openxmlformats.org/officeDocument/2006/relationships/hyperlink" Target="http://www.d20pfsrd.com/magic/all-spells/d/dispel-magic" TargetMode="External"/><Relationship Id="rId25" Type="http://schemas.openxmlformats.org/officeDocument/2006/relationships/hyperlink" Target="http://www.d20pfsrd.com/magic/all-spells/c/call-the-void" TargetMode="External"/><Relationship Id="rId69" Type="http://schemas.openxmlformats.org/officeDocument/2006/relationships/hyperlink" Target="http://www.d20pfsrd.com/magic/all-spells/c/color-spray" TargetMode="External"/><Relationship Id="rId28" Type="http://schemas.openxmlformats.org/officeDocument/2006/relationships/hyperlink" Target="http://www.d20pfsrd.com/magic/all-spells/p/protection-from-energy" TargetMode="External"/><Relationship Id="rId27" Type="http://schemas.openxmlformats.org/officeDocument/2006/relationships/hyperlink" Target="http://www.d20pfsrd.com/magic/all-spells/b/blacklight" TargetMode="External"/><Relationship Id="rId29" Type="http://schemas.openxmlformats.org/officeDocument/2006/relationships/hyperlink" Target="http://www.d20pfsrd.com/magic/all-spells/r/remove-curse" TargetMode="External"/><Relationship Id="rId51" Type="http://schemas.openxmlformats.org/officeDocument/2006/relationships/hyperlink" Target="http://www.d20pfsrd.com/magic/all-spells/s/statue" TargetMode="External"/><Relationship Id="rId50" Type="http://schemas.openxmlformats.org/officeDocument/2006/relationships/hyperlink" Target="http://www.d20pfsrd.com/magic/all-spells/b/banishment" TargetMode="External"/><Relationship Id="rId53" Type="http://schemas.openxmlformats.org/officeDocument/2006/relationships/hyperlink" Target="http://www.d20pfsrd.com/magic/all-spells/d/delayed-blast-fireball" TargetMode="External"/><Relationship Id="rId52" Type="http://schemas.openxmlformats.org/officeDocument/2006/relationships/hyperlink" Target="http://www.d20pfsrd.com/magic/all-spells/c/control-weather" TargetMode="External"/><Relationship Id="rId11" Type="http://schemas.openxmlformats.org/officeDocument/2006/relationships/hyperlink" Target="http://www.d20pfsrd.com/magic/all-spells/t/twisted-space" TargetMode="External"/><Relationship Id="rId55" Type="http://schemas.openxmlformats.org/officeDocument/2006/relationships/hyperlink" Target="http://www.d20pfsrd.com/magic/all-spells/r/rampart" TargetMode="External"/><Relationship Id="rId10" Type="http://schemas.openxmlformats.org/officeDocument/2006/relationships/hyperlink" Target="http://www.d20pfsrd.com/magic/all-spells/s/sanctuary" TargetMode="External"/><Relationship Id="rId54" Type="http://schemas.openxmlformats.org/officeDocument/2006/relationships/hyperlink" Target="http://www.d20pfsrd.com/magic/all-spells/r/repulsion" TargetMode="External"/><Relationship Id="rId13" Type="http://schemas.openxmlformats.org/officeDocument/2006/relationships/hyperlink" Target="http://www.d20pfsrd.com/magic/all-spells/k/kinetic-reverberation" TargetMode="External"/><Relationship Id="rId57" Type="http://schemas.openxmlformats.org/officeDocument/2006/relationships/hyperlink" Target="http://www.d20pfsrd.com/magic/all-spells/s/stormbolts" TargetMode="External"/><Relationship Id="rId12" Type="http://schemas.openxmlformats.org/officeDocument/2006/relationships/hyperlink" Target="http://www.d20pfsrd.com/magic/all-spells/r/restoration" TargetMode="External"/><Relationship Id="rId56" Type="http://schemas.openxmlformats.org/officeDocument/2006/relationships/hyperlink" Target="http://www.d20pfsrd.com/magic/all-spells/d/destruction" TargetMode="External"/><Relationship Id="rId15" Type="http://schemas.openxmlformats.org/officeDocument/2006/relationships/hyperlink" Target="http://www.d20pfsrd.com/magic/all-spells/e/escaping-ward" TargetMode="External"/><Relationship Id="rId59" Type="http://schemas.openxmlformats.org/officeDocument/2006/relationships/hyperlink" Target="http://www.d20pfsrd.com/magic/all-spells/s/scintillating-pattern" TargetMode="External"/><Relationship Id="rId14" Type="http://schemas.openxmlformats.org/officeDocument/2006/relationships/hyperlink" Target="http://www.d20pfsrd.com/magic/all-spells/r/resist-energy" TargetMode="External"/><Relationship Id="rId58" Type="http://schemas.openxmlformats.org/officeDocument/2006/relationships/hyperlink" Target="http://www.d20pfsrd.com/magic/all-spells/h/holy-aura" TargetMode="External"/><Relationship Id="rId17" Type="http://schemas.openxmlformats.org/officeDocument/2006/relationships/hyperlink" Target="http://www.d20pfsrd.com/magic/all-spells/e/eagle-s-splendor" TargetMode="External"/><Relationship Id="rId16" Type="http://schemas.openxmlformats.org/officeDocument/2006/relationships/hyperlink" Target="http://www.d20pfsrd.com/magic/all-spells/g/grace" TargetMode="External"/><Relationship Id="rId19" Type="http://schemas.openxmlformats.org/officeDocument/2006/relationships/hyperlink" Target="http://www.d20pfsrd.com/magic/all-spells/m/mirror-image" TargetMode="External"/><Relationship Id="rId18" Type="http://schemas.openxmlformats.org/officeDocument/2006/relationships/hyperlink" Target="http://www.d20pfsrd.com/magic/all-spells/e/enthral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sheetData>
    <row r="1">
      <c r="A1" s="1" t="s">
        <v>0</v>
      </c>
    </row>
    <row r="2">
      <c r="A2" s="1" t="s">
        <v>1</v>
      </c>
      <c r="D2" s="1" t="s">
        <v>2</v>
      </c>
    </row>
    <row r="3">
      <c r="A3" s="1" t="s">
        <v>3</v>
      </c>
      <c r="D3" s="1" t="s">
        <v>3</v>
      </c>
    </row>
    <row r="4">
      <c r="A4" s="1">
        <v>0.0</v>
      </c>
      <c r="D4" s="1">
        <v>0.0</v>
      </c>
      <c r="E4" s="1" t="s">
        <v>4</v>
      </c>
    </row>
    <row r="5">
      <c r="A5" s="1">
        <v>0.0</v>
      </c>
      <c r="D5" s="1">
        <v>0.0</v>
      </c>
      <c r="E5" s="1" t="s">
        <v>5</v>
      </c>
    </row>
    <row r="6">
      <c r="A6" s="1">
        <v>0.0</v>
      </c>
      <c r="D6" s="1">
        <v>0.0</v>
      </c>
      <c r="E6" s="1" t="s">
        <v>6</v>
      </c>
    </row>
    <row r="7">
      <c r="A7" s="1">
        <v>0.0</v>
      </c>
      <c r="D7" s="1">
        <v>0.0</v>
      </c>
      <c r="E7" s="1" t="s">
        <v>7</v>
      </c>
    </row>
    <row r="8">
      <c r="A8" s="1">
        <v>0.0</v>
      </c>
      <c r="D8" s="1">
        <v>0.0</v>
      </c>
      <c r="E8" s="1" t="s">
        <v>8</v>
      </c>
    </row>
    <row r="9">
      <c r="A9" s="1">
        <v>0.0</v>
      </c>
      <c r="D9" s="1">
        <v>0.0</v>
      </c>
      <c r="E9" s="1" t="s">
        <v>9</v>
      </c>
    </row>
    <row r="10">
      <c r="A10" s="1">
        <v>0.0</v>
      </c>
      <c r="D10" s="1">
        <v>0.0</v>
      </c>
      <c r="E10" s="1" t="s">
        <v>10</v>
      </c>
    </row>
    <row r="11">
      <c r="A11" s="1">
        <v>0.0</v>
      </c>
      <c r="D11" s="1">
        <v>0.0</v>
      </c>
      <c r="E11" s="1" t="s">
        <v>11</v>
      </c>
    </row>
    <row r="12">
      <c r="A12" s="1">
        <v>0.0</v>
      </c>
      <c r="D12" s="1">
        <v>0.0</v>
      </c>
      <c r="E12" s="1" t="s">
        <v>12</v>
      </c>
    </row>
    <row r="14">
      <c r="A14" s="1">
        <v>1.0</v>
      </c>
      <c r="B14" s="1" t="s">
        <v>13</v>
      </c>
      <c r="C14" s="2" t="s">
        <v>14</v>
      </c>
      <c r="D14" s="1">
        <v>1.0</v>
      </c>
      <c r="E14" s="1" t="s">
        <v>15</v>
      </c>
      <c r="F14" s="2" t="s">
        <v>16</v>
      </c>
    </row>
    <row r="15">
      <c r="A15" s="1">
        <v>1.0</v>
      </c>
      <c r="B15" s="1" t="s">
        <v>17</v>
      </c>
      <c r="C15" s="2" t="s">
        <v>18</v>
      </c>
      <c r="D15" s="1">
        <v>1.0</v>
      </c>
      <c r="E15" s="1" t="s">
        <v>19</v>
      </c>
      <c r="F15" s="2" t="s">
        <v>20</v>
      </c>
    </row>
    <row r="16">
      <c r="A16" s="1">
        <v>1.0</v>
      </c>
      <c r="B16" s="1" t="s">
        <v>21</v>
      </c>
      <c r="C16" s="2" t="s">
        <v>22</v>
      </c>
      <c r="D16" s="1">
        <v>1.0</v>
      </c>
      <c r="E16" s="1" t="s">
        <v>23</v>
      </c>
      <c r="F16" s="2" t="s">
        <v>24</v>
      </c>
    </row>
    <row r="17">
      <c r="A17" s="1">
        <v>1.0</v>
      </c>
      <c r="B17" s="1" t="s">
        <v>25</v>
      </c>
      <c r="C17" s="2" t="s">
        <v>26</v>
      </c>
      <c r="D17" s="1">
        <v>1.0</v>
      </c>
      <c r="E17" s="1" t="s">
        <v>27</v>
      </c>
      <c r="F17" s="2" t="s">
        <v>28</v>
      </c>
    </row>
    <row r="18">
      <c r="A18" s="1">
        <v>1.0</v>
      </c>
      <c r="B18" s="1" t="s">
        <v>29</v>
      </c>
      <c r="C18" s="2" t="s">
        <v>30</v>
      </c>
      <c r="D18" s="1">
        <v>1.0</v>
      </c>
      <c r="E18" s="1" t="s">
        <v>31</v>
      </c>
      <c r="F18" s="2" t="s">
        <v>32</v>
      </c>
    </row>
    <row r="20">
      <c r="A20" s="1">
        <v>2.0</v>
      </c>
      <c r="B20" s="1" t="s">
        <v>33</v>
      </c>
      <c r="C20" s="2" t="s">
        <v>34</v>
      </c>
      <c r="D20" s="1">
        <v>2.0</v>
      </c>
      <c r="E20" s="1" t="s">
        <v>35</v>
      </c>
      <c r="F20" s="2" t="s">
        <v>36</v>
      </c>
    </row>
    <row r="21">
      <c r="A21" s="1">
        <v>2.0</v>
      </c>
      <c r="B21" s="1" t="s">
        <v>37</v>
      </c>
      <c r="C21" s="2" t="s">
        <v>38</v>
      </c>
      <c r="D21" s="1">
        <v>2.0</v>
      </c>
      <c r="E21" s="1" t="s">
        <v>39</v>
      </c>
      <c r="F21" s="2" t="s">
        <v>40</v>
      </c>
    </row>
    <row r="22">
      <c r="A22" s="1">
        <v>2.0</v>
      </c>
      <c r="B22" s="1" t="s">
        <v>41</v>
      </c>
      <c r="C22" s="2" t="s">
        <v>42</v>
      </c>
      <c r="D22" s="1">
        <v>2.0</v>
      </c>
      <c r="E22" s="1" t="s">
        <v>43</v>
      </c>
      <c r="F22" s="2" t="s">
        <v>44</v>
      </c>
    </row>
    <row r="23">
      <c r="A23" s="1">
        <v>2.0</v>
      </c>
      <c r="B23" s="1" t="s">
        <v>45</v>
      </c>
      <c r="C23" s="2" t="s">
        <v>46</v>
      </c>
      <c r="D23" s="1">
        <v>2.0</v>
      </c>
      <c r="E23" s="1" t="s">
        <v>47</v>
      </c>
      <c r="F23" s="2" t="s">
        <v>48</v>
      </c>
    </row>
    <row r="24">
      <c r="A24" s="1">
        <v>2.0</v>
      </c>
      <c r="B24" s="1" t="s">
        <v>49</v>
      </c>
      <c r="C24" s="2" t="s">
        <v>50</v>
      </c>
      <c r="D24" s="1">
        <v>2.0</v>
      </c>
      <c r="E24" s="1" t="s">
        <v>51</v>
      </c>
      <c r="F24" s="2" t="s">
        <v>52</v>
      </c>
    </row>
    <row r="26">
      <c r="A26" s="1">
        <v>3.0</v>
      </c>
      <c r="B26" s="1" t="s">
        <v>53</v>
      </c>
      <c r="C26" s="2" t="s">
        <v>54</v>
      </c>
      <c r="D26" s="1">
        <v>3.0</v>
      </c>
      <c r="E26" s="1" t="s">
        <v>55</v>
      </c>
      <c r="F26" s="2" t="s">
        <v>56</v>
      </c>
      <c r="H26" s="1" t="s">
        <v>57</v>
      </c>
    </row>
    <row r="27">
      <c r="A27" s="1">
        <v>3.0</v>
      </c>
      <c r="B27" s="1" t="s">
        <v>58</v>
      </c>
      <c r="C27" s="2" t="s">
        <v>59</v>
      </c>
      <c r="D27" s="1">
        <v>3.0</v>
      </c>
      <c r="E27" s="1" t="s">
        <v>60</v>
      </c>
      <c r="F27" s="2" t="s">
        <v>61</v>
      </c>
    </row>
    <row r="28">
      <c r="A28" s="1">
        <v>3.0</v>
      </c>
      <c r="B28" s="1" t="s">
        <v>62</v>
      </c>
      <c r="C28" s="2" t="s">
        <v>63</v>
      </c>
      <c r="D28" s="1">
        <v>3.0</v>
      </c>
      <c r="E28" s="1" t="s">
        <v>64</v>
      </c>
      <c r="F28" s="2" t="s">
        <v>65</v>
      </c>
    </row>
    <row r="29">
      <c r="A29" s="1">
        <v>3.0</v>
      </c>
      <c r="B29" s="1" t="s">
        <v>66</v>
      </c>
      <c r="C29" s="2" t="s">
        <v>67</v>
      </c>
      <c r="D29" s="1">
        <v>3.0</v>
      </c>
      <c r="E29" s="1" t="s">
        <v>68</v>
      </c>
      <c r="F29" s="2" t="s">
        <v>69</v>
      </c>
    </row>
    <row r="31">
      <c r="A31" s="1">
        <v>4.0</v>
      </c>
      <c r="B31" s="1" t="s">
        <v>70</v>
      </c>
      <c r="C31" s="2" t="s">
        <v>71</v>
      </c>
      <c r="D31" s="1">
        <v>4.0</v>
      </c>
      <c r="E31" s="1" t="s">
        <v>72</v>
      </c>
      <c r="F31" s="2" t="s">
        <v>73</v>
      </c>
    </row>
    <row r="32">
      <c r="A32" s="1">
        <v>4.0</v>
      </c>
      <c r="B32" s="1" t="s">
        <v>74</v>
      </c>
      <c r="C32" s="2" t="s">
        <v>75</v>
      </c>
      <c r="D32" s="1">
        <v>4.0</v>
      </c>
      <c r="E32" s="1" t="s">
        <v>76</v>
      </c>
      <c r="F32" s="2" t="s">
        <v>77</v>
      </c>
    </row>
    <row r="33">
      <c r="A33" s="1">
        <v>4.0</v>
      </c>
      <c r="B33" s="1" t="s">
        <v>78</v>
      </c>
      <c r="C33" s="2" t="s">
        <v>79</v>
      </c>
      <c r="D33" s="1">
        <v>4.0</v>
      </c>
      <c r="E33" s="1" t="s">
        <v>80</v>
      </c>
      <c r="F33" s="2" t="s">
        <v>81</v>
      </c>
      <c r="H33" s="1" t="s">
        <v>82</v>
      </c>
    </row>
    <row r="34">
      <c r="A34" s="1">
        <v>4.0</v>
      </c>
      <c r="B34" s="1" t="s">
        <v>83</v>
      </c>
      <c r="C34" s="2" t="s">
        <v>84</v>
      </c>
      <c r="D34" s="1">
        <v>4.0</v>
      </c>
      <c r="E34" s="1" t="s">
        <v>85</v>
      </c>
      <c r="F34" s="2" t="s">
        <v>86</v>
      </c>
      <c r="H34" s="1" t="s">
        <v>87</v>
      </c>
    </row>
    <row r="36">
      <c r="A36" s="1">
        <v>5.0</v>
      </c>
      <c r="B36" s="1" t="s">
        <v>88</v>
      </c>
      <c r="C36" s="2" t="s">
        <v>89</v>
      </c>
      <c r="D36" s="1">
        <v>5.0</v>
      </c>
      <c r="E36" s="1" t="s">
        <v>90</v>
      </c>
      <c r="F36" s="2" t="s">
        <v>91</v>
      </c>
    </row>
    <row r="37">
      <c r="A37" s="1">
        <v>5.0</v>
      </c>
      <c r="B37" s="1" t="s">
        <v>92</v>
      </c>
      <c r="C37" s="2" t="s">
        <v>93</v>
      </c>
      <c r="D37" s="1">
        <v>5.0</v>
      </c>
      <c r="E37" s="1" t="s">
        <v>94</v>
      </c>
      <c r="F37" s="2" t="s">
        <v>95</v>
      </c>
    </row>
    <row r="38">
      <c r="A38" s="1">
        <v>5.0</v>
      </c>
      <c r="B38" s="1" t="s">
        <v>96</v>
      </c>
      <c r="C38" s="2" t="s">
        <v>97</v>
      </c>
      <c r="D38" s="1">
        <v>5.0</v>
      </c>
      <c r="E38" s="1" t="s">
        <v>98</v>
      </c>
      <c r="F38" s="2" t="s">
        <v>99</v>
      </c>
    </row>
    <row r="39">
      <c r="A39" s="1">
        <v>5.0</v>
      </c>
      <c r="B39" s="1" t="s">
        <v>100</v>
      </c>
      <c r="C39" s="2" t="s">
        <v>101</v>
      </c>
      <c r="D39" s="1">
        <v>5.0</v>
      </c>
      <c r="E39" s="1" t="s">
        <v>102</v>
      </c>
      <c r="F39" s="2" t="s">
        <v>103</v>
      </c>
      <c r="H39" s="1" t="s">
        <v>104</v>
      </c>
    </row>
    <row r="41">
      <c r="A41" s="1">
        <v>6.0</v>
      </c>
      <c r="B41" s="1" t="s">
        <v>105</v>
      </c>
      <c r="C41" s="2" t="s">
        <v>106</v>
      </c>
      <c r="D41" s="1">
        <v>6.0</v>
      </c>
      <c r="E41" s="1" t="s">
        <v>107</v>
      </c>
      <c r="F41" s="2" t="s">
        <v>108</v>
      </c>
      <c r="H41" s="1" t="s">
        <v>109</v>
      </c>
    </row>
    <row r="42">
      <c r="A42" s="1">
        <v>6.0</v>
      </c>
      <c r="B42" s="1" t="s">
        <v>110</v>
      </c>
      <c r="C42" s="2" t="s">
        <v>111</v>
      </c>
      <c r="D42" s="1">
        <v>6.0</v>
      </c>
      <c r="E42" s="1" t="s">
        <v>112</v>
      </c>
      <c r="F42" s="2" t="s">
        <v>113</v>
      </c>
    </row>
    <row r="43">
      <c r="A43" s="1">
        <v>6.0</v>
      </c>
      <c r="B43" s="1" t="s">
        <v>114</v>
      </c>
      <c r="C43" s="2" t="s">
        <v>115</v>
      </c>
      <c r="D43" s="1">
        <v>6.0</v>
      </c>
      <c r="E43" s="1" t="s">
        <v>116</v>
      </c>
      <c r="F43" s="2" t="s">
        <v>117</v>
      </c>
    </row>
    <row r="45">
      <c r="A45" s="1">
        <v>7.0</v>
      </c>
      <c r="B45" s="1" t="s">
        <v>118</v>
      </c>
      <c r="C45" s="2" t="s">
        <v>119</v>
      </c>
      <c r="D45" s="1">
        <v>7.0</v>
      </c>
      <c r="E45" s="1" t="s">
        <v>120</v>
      </c>
      <c r="F45" s="2" t="s">
        <v>121</v>
      </c>
      <c r="H45" s="1">
        <v>8.0</v>
      </c>
    </row>
    <row r="46">
      <c r="A46" s="1">
        <v>7.0</v>
      </c>
      <c r="B46" s="1" t="s">
        <v>122</v>
      </c>
      <c r="C46" s="2" t="s">
        <v>123</v>
      </c>
      <c r="D46" s="1">
        <v>7.0</v>
      </c>
      <c r="E46" s="1" t="s">
        <v>124</v>
      </c>
      <c r="F46" s="2" t="s">
        <v>125</v>
      </c>
    </row>
    <row r="47">
      <c r="A47" s="1">
        <v>7.0</v>
      </c>
      <c r="B47" s="1" t="s">
        <v>126</v>
      </c>
      <c r="C47" s="2" t="s">
        <v>127</v>
      </c>
      <c r="D47" s="1">
        <v>7.0</v>
      </c>
      <c r="E47" s="1" t="s">
        <v>128</v>
      </c>
      <c r="F47" s="2" t="s">
        <v>129</v>
      </c>
    </row>
    <row r="49">
      <c r="A49" s="1">
        <v>8.0</v>
      </c>
      <c r="B49" s="1" t="s">
        <v>130</v>
      </c>
      <c r="C49" s="2" t="s">
        <v>131</v>
      </c>
      <c r="D49" s="1">
        <v>8.0</v>
      </c>
      <c r="E49" s="1" t="s">
        <v>132</v>
      </c>
      <c r="F49" s="2" t="s">
        <v>133</v>
      </c>
    </row>
    <row r="50">
      <c r="A50" s="1">
        <v>8.0</v>
      </c>
      <c r="B50" s="1" t="s">
        <v>134</v>
      </c>
      <c r="C50" s="2" t="s">
        <v>135</v>
      </c>
      <c r="D50" s="1">
        <v>8.0</v>
      </c>
      <c r="E50" s="1" t="s">
        <v>136</v>
      </c>
      <c r="F50" s="2" t="s">
        <v>137</v>
      </c>
    </row>
    <row r="51">
      <c r="A51" s="1">
        <v>8.0</v>
      </c>
      <c r="B51" s="1" t="s">
        <v>138</v>
      </c>
      <c r="C51" s="2" t="s">
        <v>139</v>
      </c>
      <c r="D51" s="1">
        <v>8.0</v>
      </c>
      <c r="E51" s="1" t="s">
        <v>140</v>
      </c>
      <c r="F51" s="2" t="s">
        <v>141</v>
      </c>
    </row>
    <row r="54">
      <c r="A54" s="1">
        <v>9.0</v>
      </c>
      <c r="B54" s="1" t="s">
        <v>142</v>
      </c>
      <c r="C54" s="2" t="s">
        <v>143</v>
      </c>
      <c r="D54" s="1">
        <v>9.0</v>
      </c>
    </row>
    <row r="55">
      <c r="A55" s="1">
        <v>9.0</v>
      </c>
      <c r="B55" s="1" t="s">
        <v>144</v>
      </c>
      <c r="C55" s="2" t="s">
        <v>145</v>
      </c>
      <c r="D55" s="1">
        <v>9.0</v>
      </c>
      <c r="E55" s="1" t="s">
        <v>146</v>
      </c>
      <c r="F55" s="2" t="s">
        <v>147</v>
      </c>
    </row>
    <row r="56">
      <c r="D56" s="1">
        <v>9.0</v>
      </c>
      <c r="E56" s="1" t="s">
        <v>148</v>
      </c>
      <c r="F56" s="2" t="s">
        <v>149</v>
      </c>
    </row>
    <row r="57">
      <c r="D57" s="1">
        <v>9.0</v>
      </c>
      <c r="E57" s="1" t="s">
        <v>150</v>
      </c>
      <c r="F57" s="2" t="s">
        <v>151</v>
      </c>
    </row>
    <row r="60">
      <c r="A60" s="1" t="s">
        <v>152</v>
      </c>
      <c r="D60" s="1" t="s">
        <v>153</v>
      </c>
    </row>
    <row r="61">
      <c r="A61" s="1">
        <v>1.0</v>
      </c>
      <c r="B61" s="1" t="s">
        <v>154</v>
      </c>
      <c r="C61" s="2" t="s">
        <v>155</v>
      </c>
      <c r="D61" s="1">
        <v>1.0</v>
      </c>
      <c r="E61" s="1" t="s">
        <v>156</v>
      </c>
      <c r="F61" s="2" t="s">
        <v>157</v>
      </c>
    </row>
    <row r="62">
      <c r="A62" s="1">
        <v>2.0</v>
      </c>
      <c r="B62" s="1" t="s">
        <v>158</v>
      </c>
      <c r="C62" s="2" t="s">
        <v>159</v>
      </c>
      <c r="D62" s="1">
        <v>2.0</v>
      </c>
      <c r="E62" s="1" t="s">
        <v>160</v>
      </c>
      <c r="F62" s="2" t="s">
        <v>161</v>
      </c>
    </row>
    <row r="63">
      <c r="A63" s="1">
        <v>3.0</v>
      </c>
      <c r="B63" s="1" t="s">
        <v>162</v>
      </c>
      <c r="C63" s="2" t="s">
        <v>163</v>
      </c>
      <c r="D63" s="1">
        <v>3.0</v>
      </c>
      <c r="E63" s="1" t="s">
        <v>164</v>
      </c>
      <c r="F63" s="2" t="s">
        <v>165</v>
      </c>
    </row>
    <row r="64">
      <c r="A64" s="1">
        <v>4.0</v>
      </c>
      <c r="B64" s="1" t="s">
        <v>166</v>
      </c>
      <c r="C64" s="2" t="s">
        <v>167</v>
      </c>
      <c r="D64" s="1">
        <v>4.0</v>
      </c>
      <c r="E64" s="1" t="s">
        <v>168</v>
      </c>
      <c r="F64" s="2" t="s">
        <v>169</v>
      </c>
    </row>
    <row r="65">
      <c r="A65" s="1">
        <v>5.0</v>
      </c>
      <c r="B65" s="1" t="s">
        <v>170</v>
      </c>
      <c r="C65" s="2" t="s">
        <v>171</v>
      </c>
      <c r="D65" s="1">
        <v>5.0</v>
      </c>
      <c r="E65" s="1" t="s">
        <v>172</v>
      </c>
      <c r="F65" s="2" t="s">
        <v>171</v>
      </c>
    </row>
    <row r="66">
      <c r="A66" s="1">
        <v>6.0</v>
      </c>
      <c r="B66" s="1" t="s">
        <v>124</v>
      </c>
      <c r="C66" s="2" t="s">
        <v>125</v>
      </c>
      <c r="D66" s="1">
        <v>6.0</v>
      </c>
      <c r="E66" s="1" t="s">
        <v>173</v>
      </c>
      <c r="F66" s="2" t="s">
        <v>174</v>
      </c>
    </row>
    <row r="67">
      <c r="A67" s="1">
        <v>7.0</v>
      </c>
      <c r="B67" s="1" t="s">
        <v>175</v>
      </c>
      <c r="C67" s="2" t="s">
        <v>176</v>
      </c>
      <c r="D67" s="1">
        <v>7.0</v>
      </c>
      <c r="E67" s="1" t="s">
        <v>177</v>
      </c>
      <c r="F67" s="2" t="s">
        <v>178</v>
      </c>
    </row>
    <row r="68">
      <c r="A68" s="1">
        <v>8.0</v>
      </c>
      <c r="B68" s="1" t="s">
        <v>179</v>
      </c>
      <c r="C68" s="2" t="s">
        <v>180</v>
      </c>
      <c r="D68" s="1">
        <v>8.0</v>
      </c>
      <c r="E68" s="1" t="s">
        <v>181</v>
      </c>
      <c r="F68" s="2" t="s">
        <v>182</v>
      </c>
    </row>
    <row r="69">
      <c r="A69" s="1">
        <v>9.0</v>
      </c>
      <c r="B69" s="1" t="s">
        <v>183</v>
      </c>
      <c r="D69" s="1">
        <v>9.0</v>
      </c>
      <c r="E69" s="1" t="s">
        <v>184</v>
      </c>
      <c r="F69" s="2" t="s">
        <v>185</v>
      </c>
    </row>
  </sheetData>
  <hyperlinks>
    <hyperlink r:id="rId1" ref="C14"/>
    <hyperlink r:id="rId2" ref="F14"/>
    <hyperlink r:id="rId3" ref="C15"/>
    <hyperlink r:id="rId4" ref="F15"/>
    <hyperlink r:id="rId5" ref="C16"/>
    <hyperlink r:id="rId6" ref="F16"/>
    <hyperlink r:id="rId7" ref="C17"/>
    <hyperlink r:id="rId8" ref="F17"/>
    <hyperlink r:id="rId9" ref="C18"/>
    <hyperlink r:id="rId10" ref="F18"/>
    <hyperlink r:id="rId11" ref="C20"/>
    <hyperlink r:id="rId12" ref="F20"/>
    <hyperlink r:id="rId13" ref="C21"/>
    <hyperlink r:id="rId14" ref="F21"/>
    <hyperlink r:id="rId15" ref="C22"/>
    <hyperlink r:id="rId16" ref="F22"/>
    <hyperlink r:id="rId17" ref="C23"/>
    <hyperlink r:id="rId18" ref="F23"/>
    <hyperlink r:id="rId19" ref="C24"/>
    <hyperlink r:id="rId20" ref="F24"/>
    <hyperlink r:id="rId21" ref="C26"/>
    <hyperlink r:id="rId22" ref="F26"/>
    <hyperlink r:id="rId23" ref="C27"/>
    <hyperlink r:id="rId24" ref="F27"/>
    <hyperlink r:id="rId25" ref="C28"/>
    <hyperlink r:id="rId26" ref="F28"/>
    <hyperlink r:id="rId27" ref="C29"/>
    <hyperlink r:id="rId28" ref="F29"/>
    <hyperlink r:id="rId29" ref="C31"/>
    <hyperlink r:id="rId30" ref="F31"/>
    <hyperlink r:id="rId31" ref="C32"/>
    <hyperlink r:id="rId32" ref="F32"/>
    <hyperlink r:id="rId33" ref="C33"/>
    <hyperlink r:id="rId34" ref="F33"/>
    <hyperlink r:id="rId35" ref="C34"/>
    <hyperlink r:id="rId36" ref="F34"/>
    <hyperlink r:id="rId37" ref="C36"/>
    <hyperlink r:id="rId38" ref="F36"/>
    <hyperlink r:id="rId39" ref="C37"/>
    <hyperlink r:id="rId40" ref="F37"/>
    <hyperlink r:id="rId41" ref="C38"/>
    <hyperlink r:id="rId42" ref="F38"/>
    <hyperlink r:id="rId43" ref="C39"/>
    <hyperlink r:id="rId44" ref="F39"/>
    <hyperlink r:id="rId45" ref="C41"/>
    <hyperlink r:id="rId46" ref="F41"/>
    <hyperlink r:id="rId47" ref="C42"/>
    <hyperlink r:id="rId48" ref="F42"/>
    <hyperlink r:id="rId49" ref="C43"/>
    <hyperlink r:id="rId50" ref="F43"/>
    <hyperlink r:id="rId51" ref="C45"/>
    <hyperlink r:id="rId52" ref="F45"/>
    <hyperlink r:id="rId53" ref="C46"/>
    <hyperlink r:id="rId54" ref="F46"/>
    <hyperlink r:id="rId55" ref="C47"/>
    <hyperlink r:id="rId56" ref="F47"/>
    <hyperlink r:id="rId57" ref="C49"/>
    <hyperlink r:id="rId58" ref="F49"/>
    <hyperlink r:id="rId59" ref="C50"/>
    <hyperlink r:id="rId60" ref="F50"/>
    <hyperlink r:id="rId61" ref="C51"/>
    <hyperlink r:id="rId62" ref="F51"/>
    <hyperlink r:id="rId63" ref="C54"/>
    <hyperlink r:id="rId64" ref="C55"/>
    <hyperlink r:id="rId65" ref="F55"/>
    <hyperlink r:id="rId66" ref="F56"/>
    <hyperlink r:id="rId67" ref="F57"/>
    <hyperlink r:id="rId68" ref="C61"/>
    <hyperlink r:id="rId69" ref="F61"/>
    <hyperlink r:id="rId70" ref="C62"/>
    <hyperlink r:id="rId71" ref="F62"/>
    <hyperlink r:id="rId72" ref="C63"/>
    <hyperlink r:id="rId73" ref="F63"/>
    <hyperlink r:id="rId74" ref="C64"/>
    <hyperlink r:id="rId75" ref="F64"/>
    <hyperlink r:id="rId76" ref="C65"/>
    <hyperlink r:id="rId77" ref="F65"/>
    <hyperlink r:id="rId78" ref="C66"/>
    <hyperlink r:id="rId79" ref="F66"/>
    <hyperlink r:id="rId80" ref="C67"/>
    <hyperlink r:id="rId81" ref="F67"/>
    <hyperlink r:id="rId82" ref="C68"/>
    <hyperlink r:id="rId83" ref="F68"/>
    <hyperlink r:id="rId84" ref="F69"/>
  </hyperlinks>
  <drawing r:id="rId8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sheetData>
    <row r="1">
      <c r="A1" s="1" t="s">
        <v>186</v>
      </c>
      <c r="B1" s="1" t="s">
        <v>187</v>
      </c>
      <c r="C1" s="1">
        <v>1000000.0</v>
      </c>
      <c r="D1">
        <f>C1-(sum(C2:C100))</f>
        <v>12550</v>
      </c>
      <c r="G1" s="1">
        <v>750000.0</v>
      </c>
    </row>
    <row r="2">
      <c r="E2" s="1" t="s">
        <v>188</v>
      </c>
      <c r="F2">
        <f>168750+13000</f>
        <v>181750</v>
      </c>
      <c r="G2">
        <f t="shared" ref="G2:G23" si="1">G1-F2</f>
        <v>568250</v>
      </c>
    </row>
    <row r="3">
      <c r="A3" s="1" t="s">
        <v>189</v>
      </c>
      <c r="C3">
        <f>36000+5150</f>
        <v>41150</v>
      </c>
      <c r="E3" s="1" t="s">
        <v>190</v>
      </c>
      <c r="F3" s="1">
        <v>125000.0</v>
      </c>
      <c r="G3">
        <f t="shared" si="1"/>
        <v>443250</v>
      </c>
    </row>
    <row r="4">
      <c r="A4" s="1" t="s">
        <v>191</v>
      </c>
      <c r="C4" s="1">
        <v>144000.0</v>
      </c>
      <c r="E4" s="1" t="s">
        <v>192</v>
      </c>
      <c r="F4" s="1">
        <v>2000.0</v>
      </c>
      <c r="G4">
        <f t="shared" si="1"/>
        <v>441250</v>
      </c>
    </row>
    <row r="5">
      <c r="A5" s="1" t="s">
        <v>193</v>
      </c>
      <c r="C5" s="1">
        <v>137500.0</v>
      </c>
      <c r="E5" s="1" t="s">
        <v>194</v>
      </c>
      <c r="F5" s="1">
        <v>-30000.0</v>
      </c>
      <c r="G5">
        <f t="shared" si="1"/>
        <v>471250</v>
      </c>
    </row>
    <row r="6">
      <c r="A6" s="1" t="s">
        <v>195</v>
      </c>
      <c r="C6" s="1">
        <v>137500.0</v>
      </c>
      <c r="E6" s="1" t="s">
        <v>196</v>
      </c>
      <c r="F6" s="1">
        <v>-1153500.0</v>
      </c>
      <c r="G6">
        <f t="shared" si="1"/>
        <v>1624750</v>
      </c>
    </row>
    <row r="7">
      <c r="A7" s="1" t="s">
        <v>197</v>
      </c>
      <c r="C7" s="1">
        <v>137500.0</v>
      </c>
      <c r="E7" s="3" t="s">
        <v>198</v>
      </c>
      <c r="F7" s="1">
        <v>0.0</v>
      </c>
      <c r="G7">
        <f t="shared" si="1"/>
        <v>1624750</v>
      </c>
      <c r="I7" s="1" t="s">
        <v>199</v>
      </c>
    </row>
    <row r="8">
      <c r="A8" s="1" t="s">
        <v>200</v>
      </c>
      <c r="C8" s="1">
        <v>25000.0</v>
      </c>
      <c r="E8" s="3" t="s">
        <v>201</v>
      </c>
      <c r="F8" s="1">
        <v>265500.0</v>
      </c>
      <c r="G8">
        <f t="shared" si="1"/>
        <v>1359250</v>
      </c>
      <c r="I8" s="1" t="s">
        <v>202</v>
      </c>
      <c r="J8" s="1">
        <v>144000.0</v>
      </c>
    </row>
    <row r="9">
      <c r="A9" s="1" t="s">
        <v>203</v>
      </c>
      <c r="C9" s="1">
        <v>144000.0</v>
      </c>
      <c r="E9" s="1" t="s">
        <v>204</v>
      </c>
      <c r="F9" s="1">
        <v>-25000.0</v>
      </c>
      <c r="G9">
        <f t="shared" si="1"/>
        <v>1384250</v>
      </c>
      <c r="I9" s="1" t="s">
        <v>205</v>
      </c>
      <c r="J9" s="1">
        <v>144000.0</v>
      </c>
    </row>
    <row r="10">
      <c r="A10" s="1" t="s">
        <v>206</v>
      </c>
      <c r="C10">
        <f>4*7*2000</f>
        <v>56000</v>
      </c>
      <c r="E10" s="1" t="s">
        <v>207</v>
      </c>
      <c r="F10" s="1">
        <v>-275000.0</v>
      </c>
      <c r="G10">
        <f t="shared" si="1"/>
        <v>1659250</v>
      </c>
      <c r="I10" s="1" t="s">
        <v>208</v>
      </c>
      <c r="J10" s="1">
        <v>25000.0</v>
      </c>
    </row>
    <row r="11">
      <c r="E11" s="1" t="s">
        <v>209</v>
      </c>
      <c r="F11" s="1">
        <v>-22857.0</v>
      </c>
      <c r="G11">
        <f t="shared" si="1"/>
        <v>1682107</v>
      </c>
      <c r="I11" s="1" t="s">
        <v>206</v>
      </c>
      <c r="J11" s="1">
        <v>56000.0</v>
      </c>
    </row>
    <row r="12">
      <c r="A12" s="1" t="s">
        <v>210</v>
      </c>
      <c r="E12" s="1" t="s">
        <v>211</v>
      </c>
      <c r="F12" s="1">
        <v>-33500.0</v>
      </c>
      <c r="G12">
        <f t="shared" si="1"/>
        <v>1715607</v>
      </c>
      <c r="I12" s="1" t="s">
        <v>212</v>
      </c>
      <c r="J12" s="1">
        <v>50000.0</v>
      </c>
    </row>
    <row r="13">
      <c r="A13" s="1" t="s">
        <v>213</v>
      </c>
      <c r="C13" s="1">
        <v>18250.0</v>
      </c>
      <c r="D13" s="1" t="s">
        <v>214</v>
      </c>
      <c r="E13" s="1" t="s">
        <v>215</v>
      </c>
      <c r="F13" s="1">
        <v>-100000.0</v>
      </c>
      <c r="G13">
        <f t="shared" si="1"/>
        <v>1815607</v>
      </c>
      <c r="I13" s="1" t="s">
        <v>216</v>
      </c>
      <c r="J13" s="1">
        <v>25000.0</v>
      </c>
    </row>
    <row r="14">
      <c r="A14" s="1" t="s">
        <v>217</v>
      </c>
      <c r="C14" s="1">
        <v>8050.0</v>
      </c>
      <c r="D14" s="1" t="s">
        <v>218</v>
      </c>
      <c r="E14" s="1" t="s">
        <v>219</v>
      </c>
      <c r="F14" s="1">
        <v>-230000.0</v>
      </c>
      <c r="G14">
        <f t="shared" si="1"/>
        <v>2045607</v>
      </c>
      <c r="I14" s="1" t="s">
        <v>220</v>
      </c>
      <c r="J14" s="1">
        <v>116000.0</v>
      </c>
    </row>
    <row r="15">
      <c r="A15" s="1" t="s">
        <v>221</v>
      </c>
      <c r="C15" s="1">
        <v>13150.0</v>
      </c>
      <c r="D15" s="3" t="s">
        <v>222</v>
      </c>
      <c r="E15" s="1" t="s">
        <v>223</v>
      </c>
      <c r="F15" s="1">
        <v>-211625.0</v>
      </c>
      <c r="G15">
        <f t="shared" si="1"/>
        <v>2257232</v>
      </c>
      <c r="I15" s="1" t="s">
        <v>224</v>
      </c>
      <c r="J15" s="1">
        <v>120000.0</v>
      </c>
    </row>
    <row r="16">
      <c r="A16" s="1" t="s">
        <v>225</v>
      </c>
      <c r="C16" s="1">
        <v>23350.0</v>
      </c>
      <c r="D16" s="1" t="s">
        <v>226</v>
      </c>
      <c r="E16" s="1" t="s">
        <v>227</v>
      </c>
      <c r="F16" s="1">
        <v>-620000.0</v>
      </c>
      <c r="G16">
        <f t="shared" si="1"/>
        <v>2877232</v>
      </c>
      <c r="I16" s="1" t="s">
        <v>228</v>
      </c>
      <c r="J16" s="1">
        <v>100000.0</v>
      </c>
    </row>
    <row r="17">
      <c r="A17" s="1" t="s">
        <v>229</v>
      </c>
      <c r="C17" s="1">
        <v>9000.0</v>
      </c>
      <c r="E17" s="1" t="s">
        <v>230</v>
      </c>
      <c r="F17" s="1">
        <v>-3831250.0</v>
      </c>
      <c r="G17">
        <f t="shared" si="1"/>
        <v>6708482</v>
      </c>
    </row>
    <row r="18">
      <c r="A18" s="1" t="s">
        <v>231</v>
      </c>
      <c r="C18" s="1">
        <v>15000.0</v>
      </c>
      <c r="D18" s="1" t="s">
        <v>232</v>
      </c>
      <c r="E18" s="1" t="s">
        <v>233</v>
      </c>
      <c r="F18" s="1">
        <v>780000.0</v>
      </c>
      <c r="G18">
        <f t="shared" si="1"/>
        <v>5928482</v>
      </c>
    </row>
    <row r="19">
      <c r="A19" s="1" t="s">
        <v>234</v>
      </c>
      <c r="C19" s="1">
        <v>7500.0</v>
      </c>
      <c r="D19" s="1" t="s">
        <v>235</v>
      </c>
      <c r="E19" s="1" t="s">
        <v>196</v>
      </c>
      <c r="F19" s="1">
        <v>-16750.0</v>
      </c>
      <c r="G19">
        <f t="shared" si="1"/>
        <v>5945232</v>
      </c>
      <c r="J19">
        <f>sum(J8:J16)</f>
        <v>780000</v>
      </c>
    </row>
    <row r="20">
      <c r="A20" s="1" t="s">
        <v>236</v>
      </c>
      <c r="C20" s="1">
        <v>7500.0</v>
      </c>
      <c r="G20">
        <f t="shared" si="1"/>
        <v>5945232</v>
      </c>
    </row>
    <row r="21">
      <c r="A21" s="1" t="s">
        <v>237</v>
      </c>
      <c r="C21" s="1">
        <v>60000.0</v>
      </c>
      <c r="D21" s="1" t="s">
        <v>238</v>
      </c>
      <c r="G21">
        <f t="shared" si="1"/>
        <v>5945232</v>
      </c>
    </row>
    <row r="22">
      <c r="G22">
        <f t="shared" si="1"/>
        <v>5945232</v>
      </c>
    </row>
    <row r="23">
      <c r="A23" s="1" t="s">
        <v>239</v>
      </c>
      <c r="C23" s="1">
        <v>3000.0</v>
      </c>
      <c r="D23" s="1" t="s">
        <v>240</v>
      </c>
      <c r="G23">
        <f t="shared" si="1"/>
        <v>5945232</v>
      </c>
    </row>
    <row r="27">
      <c r="A27" s="1" t="s">
        <v>241</v>
      </c>
    </row>
  </sheetData>
  <drawing r:id="rId1"/>
</worksheet>
</file>