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Page" sheetId="1" r:id="rId4"/>
    <sheet state="visible" name="Species &amp; Traits" sheetId="2" r:id="rId5"/>
    <sheet state="visible" name="Personal Info" sheetId="3" r:id="rId6"/>
    <sheet state="visible" name="Ledger" sheetId="4" r:id="rId7"/>
    <sheet state="visible" name="Combat Info" sheetId="5" r:id="rId8"/>
    <sheet state="visible" name="Other Info" sheetId="6" r:id="rId9"/>
    <sheet state="visible" name="Credits" sheetId="7" r:id="rId10"/>
  </sheets>
  <definedNames>
    <definedName name="Excel_BuiltIn_Print_Area">'Front Page'!$A$1:$BL$114</definedName>
    <definedName localSheetId="2" name="Excel_BuiltIn_Print_Area">'Personal Info'!$A$1:$BL$95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12">
      <text>
        <t xml:space="preserve">Edit this if your GM deems a different amount for Base Aptitude scores.
This cell will notify you if you spend too much, or too little. If it's red, then the excess is coming from CP/RPs
</t>
      </text>
    </comment>
    <comment authorId="0" ref="BM19">
      <text>
        <t xml:space="preserve">AptitudeCPCost</t>
      </text>
    </comment>
    <comment authorId="0" ref="BN19">
      <text>
        <t xml:space="preserve">AptitudeTotal</t>
      </text>
    </comment>
    <comment authorId="0" ref="I27">
      <text>
        <t xml:space="preserve">Note: Positives require '+ notation. Negative Motivations require - notation</t>
      </text>
    </comment>
    <comment authorId="0" ref="BI27">
      <text>
        <t xml:space="preserve">Base = 1; For any abilities or biological traits which change this, notate on Pg 2 under Speed Modifier</t>
      </text>
    </comment>
    <comment authorId="0" ref="I29">
      <text>
        <t xml:space="preserve">Note: Positives require '+ notation. Negative Motivations require - notation</t>
      </text>
    </comment>
    <comment authorId="0" ref="I31">
      <text>
        <t xml:space="preserve">Note: Positives require '+ notation. Negative Motivations require - notation</t>
      </text>
    </comment>
    <comment authorId="0" ref="BA31">
      <text>
        <t xml:space="preserve">How many wounds can You ignore from all traits and other sources? Enter that number here.</t>
      </text>
    </comment>
    <comment authorId="0" ref="BC31">
      <text>
        <t xml:space="preserve">How much trauma can You ignore from all traits and other sources? Enter that number here.</t>
      </text>
    </comment>
    <comment authorId="0" ref="AB37">
      <text>
        <t xml:space="preserve">StuffEncumbrance</t>
      </text>
    </comment>
    <comment authorId="0" ref="AE37">
      <text>
        <t xml:space="preserve">OtherPagesCPRPCost</t>
      </text>
    </comment>
    <comment authorId="0" ref="AB38">
      <text>
        <t xml:space="preserve">FrontPageCPRPCost</t>
      </text>
    </comment>
    <comment authorId="0" ref="AE38">
      <text>
        <t xml:space="preserve">TotalCharacterCPRPCost</t>
      </text>
    </comment>
    <comment authorId="0" ref="A45">
      <text>
        <t xml:space="preserve">SpecCPCostTotal</t>
      </text>
    </comment>
    <comment authorId="0" ref="A46">
      <text>
        <t xml:space="preserve">SpecSource</t>
      </text>
    </comment>
    <comment authorId="0" ref="A47">
      <text>
        <t xml:space="preserve">SpecSource2</t>
      </text>
    </comment>
    <comment authorId="0" ref="M47">
      <text>
        <t xml:space="preserve">Place the number of Rez Points you're spending on skills here
</t>
      </text>
    </comment>
    <comment authorId="0" ref="P47">
      <text>
        <t xml:space="preserve">Place the number of CP you're spending on skills here
</t>
      </text>
    </comment>
    <comment authorId="0" ref="AC47">
      <text>
        <t xml:space="preserve">Just enter what the specialization is; It will automatically calculate costs</t>
      </text>
    </comment>
    <comment authorId="0" ref="AG47">
      <text>
        <t xml:space="preserve">MoxCost
</t>
      </text>
    </comment>
    <comment authorId="0" ref="AS47">
      <text>
        <t xml:space="preserve">Place the number of Rez Points you're spending on skills here
</t>
      </text>
    </comment>
    <comment authorId="0" ref="AV47">
      <text>
        <t xml:space="preserve">Place the number of CP you're spending on skills here
</t>
      </text>
    </comment>
    <comment authorId="0" ref="BI47">
      <text>
        <t xml:space="preserve">Just enter what the specialization is; It will automatically calculate costs</t>
      </text>
    </comment>
    <comment authorId="0" ref="A48">
      <text>
        <t xml:space="preserve">SpecSource3</t>
      </text>
    </comment>
    <comment authorId="0" ref="AG48">
      <text>
        <t xml:space="preserve">DO NOT EDIT THESE CELLS!!!
</t>
      </text>
    </comment>
    <comment authorId="0" ref="BM49">
      <text>
        <t xml:space="preserve">Block1RateAdjust</t>
      </text>
    </comment>
    <comment authorId="0" ref="BN49">
      <text>
        <t xml:space="preserve">Block2RateAdjust</t>
      </text>
    </comment>
    <comment authorId="0" ref="BN63">
      <text>
        <t xml:space="preserve">RefSomPenaltyCore</t>
      </text>
    </comment>
    <comment authorId="0" ref="BN64">
      <text>
        <t xml:space="preserve">NatLangNotation</t>
      </text>
    </comment>
    <comment authorId="0" ref="AS65">
      <text>
        <t xml:space="preserve">Place the number of Rez Points you're spending on skills here
</t>
      </text>
    </comment>
    <comment authorId="0" ref="AV65">
      <text>
        <t xml:space="preserve">Place the number of CP you're spending on skills here
</t>
      </text>
    </comment>
    <comment authorId="0" ref="BI65">
      <text>
        <t xml:space="preserve">Just enter what the specialization is; It will automatically calculate costs</t>
      </text>
    </comment>
    <comment authorId="0" ref="BN65">
      <text>
        <t xml:space="preserve">RefSomPenaltyTrue</t>
      </text>
    </comment>
    <comment authorId="0" ref="BN66">
      <text>
        <t xml:space="preserve">ArmorPenaltyCombined</t>
      </text>
    </comment>
    <comment authorId="0" ref="BN67">
      <text>
        <t xml:space="preserve">Block3RateAdjust</t>
      </text>
    </comment>
    <comment authorId="0" ref="A87">
      <text>
        <t xml:space="preserve">Block1CP</t>
      </text>
    </comment>
    <comment authorId="0" ref="A88">
      <text>
        <t xml:space="preserve">Block2CP</t>
      </text>
    </comment>
    <comment authorId="0" ref="A89">
      <text>
        <t xml:space="preserve">Block3CP</t>
      </text>
    </comment>
    <comment authorId="0" ref="A90">
      <text>
        <t xml:space="preserve">Block1RP</t>
      </text>
    </comment>
    <comment authorId="0" ref="A91">
      <text>
        <t xml:space="preserve">Block2RP</t>
      </text>
    </comment>
    <comment authorId="0" ref="A92">
      <text>
        <t xml:space="preserve">Block3RP</t>
      </text>
    </comment>
    <comment authorId="0" ref="A93">
      <text>
        <t xml:space="preserve">SkillsCPSpent</t>
      </text>
    </comment>
    <comment authorId="0" ref="A94">
      <text>
        <t xml:space="preserve">SkillRPSpent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T&amp;EBaseCost(NotForCosts)</t>
      </text>
    </comment>
    <comment authorId="0" ref="A6">
      <text>
        <t xml:space="preserve">T&amp;E Cost</t>
      </text>
    </comment>
    <comment authorId="0" ref="A7">
      <text>
        <t xml:space="preserve">RaceCost</t>
      </text>
    </comment>
    <comment authorId="0" ref="A8">
      <text>
        <t xml:space="preserve">TraitsCost</t>
      </text>
    </comment>
    <comment authorId="0" ref="A9">
      <text>
        <t xml:space="preserve">Spell/SleightsCost</t>
      </text>
    </comment>
    <comment authorId="0" ref="A10">
      <text>
        <t xml:space="preserve">MiscCost</t>
      </text>
    </comment>
    <comment authorId="0" ref="A11">
      <text>
        <t xml:space="preserve">AlterationsCost</t>
      </text>
    </comment>
    <comment authorId="0" ref="A12">
      <text>
        <t xml:space="preserve">RPTTotalCost</t>
      </text>
    </comment>
    <comment authorId="0" ref="AD17">
      <text>
        <t xml:space="preserve">If Positive Trait: Raw number
If Negative Trait: Negative number</t>
      </text>
    </comment>
    <comment authorId="0" ref="AD19">
      <text>
        <t xml:space="preserve">If Positive Trait: Raw number
If Negative Trait: Negative number</t>
      </text>
    </comment>
    <comment authorId="0" ref="AD21">
      <text>
        <t xml:space="preserve">If Positive Trait: Raw number
If Negative Trait: Negative number</t>
      </text>
    </comment>
    <comment authorId="0" ref="AD23">
      <text>
        <t xml:space="preserve">If Positive Trait: Raw number
If Negative Trait: Negative number</t>
      </text>
    </comment>
    <comment authorId="0" ref="AD25">
      <text>
        <t xml:space="preserve">If Positive Trait: Raw number
If Negative Trait: Negative number</t>
      </text>
    </comment>
    <comment authorId="0" ref="AD27">
      <text>
        <t xml:space="preserve">If Positive Trait: Raw number
If Negative Trait: Negative number</t>
      </text>
    </comment>
    <comment authorId="0" ref="AD29">
      <text>
        <t xml:space="preserve">If Positive Trait: Raw number
If Negative Trait: Negative number</t>
      </text>
    </comment>
    <comment authorId="0" ref="AD31">
      <text>
        <t xml:space="preserve">If Positive Trait: Raw number
If Negative Trait: Negative number</t>
      </text>
    </comment>
    <comment authorId="0" ref="AD33">
      <text>
        <t xml:space="preserve">If Positive Trait: Raw number
If Negative Trait: Negative number</t>
      </text>
    </comment>
    <comment authorId="0" ref="AD35">
      <text>
        <t xml:space="preserve">If Positive Trait: Raw number
If Negative Trait: Negative number</t>
      </text>
    </comment>
    <comment authorId="0" ref="AD37">
      <text>
        <t xml:space="preserve">If Positive Trait: Raw number
If Negative Trait: Negative number</t>
      </text>
    </comment>
    <comment authorId="0" ref="AD39">
      <text>
        <t xml:space="preserve">If Positive Trait: Raw number
If Negative Trait: Negative number</t>
      </text>
    </comment>
    <comment authorId="0" ref="AD41">
      <text>
        <t xml:space="preserve">If Positive Trait: Raw number
If Negative Trait: Negative number</t>
      </text>
    </comment>
    <comment authorId="0" ref="AD43">
      <text>
        <t xml:space="preserve">If Positive Trait: Raw number
If Negative Trait: Negative number</t>
      </text>
    </comment>
    <comment authorId="0" ref="AD45">
      <text>
        <t xml:space="preserve">If Positive Trait: Raw number
If Negative Trait: Negative number</t>
      </text>
    </comment>
    <comment authorId="0" ref="AD47">
      <text>
        <t xml:space="preserve">If Positive Trait: Raw number
If Negative Trait: Negative number</t>
      </text>
    </comment>
    <comment authorId="0" ref="AD49">
      <text>
        <t xml:space="preserve">If Positive Trait: Raw number
If Negative Trait: Negative number</t>
      </text>
    </comment>
    <comment authorId="0" ref="BK54">
      <text>
        <t xml:space="preserve">If Positive Trait: Raw number
If Negative Trait: Negative number</t>
      </text>
    </comment>
    <comment authorId="0" ref="BK56">
      <text>
        <t xml:space="preserve">If Positive Trait: Raw number
If Negative Trait: Negative number</t>
      </text>
    </comment>
    <comment authorId="0" ref="BK58">
      <text>
        <t xml:space="preserve">If Positive Trait: Raw number
If Negative Trait: Negative number</t>
      </text>
    </comment>
    <comment authorId="0" ref="BK60">
      <text>
        <t xml:space="preserve">If Positive Trait: Raw number
If Negative Trait: Negative number</t>
      </text>
    </comment>
    <comment authorId="0" ref="BK62">
      <text>
        <t xml:space="preserve">If Positive Trait: Raw number
If Negative Trait: Negative number</t>
      </text>
    </comment>
    <comment authorId="0" ref="BK64">
      <text>
        <t xml:space="preserve">If Positive Trait: Raw number
If Negative Trait: Negative number</t>
      </text>
    </comment>
    <comment authorId="0" ref="BK66">
      <text>
        <t xml:space="preserve">If Positive Trait: Raw number
If Negative Trait: Negative number</t>
      </text>
    </comment>
    <comment authorId="0" ref="BK68">
      <text>
        <t xml:space="preserve">If Positive Trait: Raw number
If Negative Trait: Negative number</t>
      </text>
    </comment>
    <comment authorId="0" ref="BK70">
      <text>
        <t xml:space="preserve">If Positive Trait: Raw number
If Negative Trait: Negative number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Your base starting funds. 
Change this number as needed</t>
      </text>
    </comment>
    <comment authorId="0" ref="Q3">
      <text>
        <t xml:space="preserve">Total amount of gold you have spent</t>
      </text>
    </comment>
    <comment authorId="0" ref="AK3">
      <text>
        <t xml:space="preserve">If Positive; Raw integer(re; +10 = 10)
If Negative; Raw integer(re; -10 = -10)</t>
      </text>
    </comment>
    <comment authorId="0" ref="Q4">
      <text>
        <t xml:space="preserve">Total amount of CP needed to purchase the required gold.
Note: This cell turns red when the cost is deducted automatically from your CP/RP count.</t>
      </text>
    </comment>
    <comment authorId="0" ref="AG9">
      <text>
        <t xml:space="preserve">SomEncumbranceCompositeValue</t>
      </text>
    </comment>
    <comment authorId="0" ref="AG10">
      <text>
        <t xml:space="preserve">EQweightTallyBlock1</t>
      </text>
    </comment>
    <comment authorId="0" ref="AG11">
      <text>
        <t xml:space="preserve">EQweightTallyBlock2</t>
      </text>
    </comment>
    <comment authorId="0" ref="AG12">
      <text>
        <t xml:space="preserve">EncumbranceCoreEndValue</t>
      </text>
    </comment>
    <comment authorId="0" ref="AG13">
      <text>
        <t xml:space="preserve">SumWeightValue</t>
      </text>
    </comment>
    <comment authorId="0" ref="AG14">
      <text>
        <t xml:space="preserve">GoldBlock1</t>
      </text>
    </comment>
    <comment authorId="0" ref="AG15">
      <text>
        <t xml:space="preserve">GoldBlock2</t>
      </text>
    </comment>
    <comment authorId="0" ref="AG16">
      <text>
        <t xml:space="preserve">GoldBlock3</t>
      </text>
    </comment>
    <comment authorId="0" ref="AG17">
      <text>
        <t xml:space="preserve">GoldBlock4</t>
      </text>
    </comment>
    <comment authorId="0" ref="AG18">
      <text>
        <t xml:space="preserve">SomBaseValue</t>
      </text>
    </comment>
    <comment authorId="0" ref="AG19">
      <text>
        <t xml:space="preserve">CreditCPCost</t>
      </text>
    </comment>
    <comment authorId="0" ref="AG20">
      <text>
        <t xml:space="preserve">BonusGoldCPRPTally</t>
      </text>
    </comment>
  </commentList>
</comments>
</file>

<file path=xl/sharedStrings.xml><?xml version="1.0" encoding="utf-8"?>
<sst xmlns="http://schemas.openxmlformats.org/spreadsheetml/2006/main" count="837" uniqueCount="609">
  <si>
    <r>
      <rPr>
        <b/>
      </rPr>
      <t>How to use this sheet!</t>
    </r>
    <r>
      <rPr/>
      <t xml:space="preserve">
</t>
    </r>
    <r>
      <rPr>
        <b/>
      </rPr>
      <t>READ. EVERY. PAGE. FIRST.</t>
    </r>
    <r>
      <rPr/>
      <t xml:space="preserve"> Much of this is automated; if you read the pages first, you should have an easier time of not cocking this up.
Gray Cells contain formula which will automatically reference the necessary areas, so, DO NOT TOUCH THEM.
Make sure to use a ' before anything with a mathmatical symbol infront of it, + - / *, otherwise it will think you're trying to do maths and will barf with text. 
Red Cells are a head's up. 
</t>
    </r>
  </si>
  <si>
    <t>CHARACTER:</t>
  </si>
  <si>
    <t>Aranaea</t>
  </si>
  <si>
    <t>PLAYER:</t>
  </si>
  <si>
    <t>BACKGROUND:</t>
  </si>
  <si>
    <t xml:space="preserve"> Outer Colonial</t>
  </si>
  <si>
    <t>Eclipse</t>
  </si>
  <si>
    <t>CHARACTER SHEET</t>
  </si>
  <si>
    <t>FACTION:</t>
  </si>
  <si>
    <t>Terran</t>
  </si>
  <si>
    <t>Phase</t>
  </si>
  <si>
    <t>APTITUDES:</t>
  </si>
  <si>
    <t>Species/Morph:</t>
  </si>
  <si>
    <t>POINTS</t>
  </si>
  <si>
    <t>COG</t>
  </si>
  <si>
    <t>COO</t>
  </si>
  <si>
    <t>INT</t>
  </si>
  <si>
    <t>REF</t>
  </si>
  <si>
    <t>SAV</t>
  </si>
  <si>
    <t>SOM</t>
  </si>
  <si>
    <t>WILL</t>
  </si>
  <si>
    <t>Gender Identity:</t>
  </si>
  <si>
    <t>Base Aptitudes:</t>
  </si>
  <si>
    <t>Racial Bonus:</t>
  </si>
  <si>
    <t>Actual Age:</t>
  </si>
  <si>
    <t>Total:</t>
  </si>
  <si>
    <t>Aptitude Max:</t>
  </si>
  <si>
    <t>Current Moxie Points:</t>
  </si>
  <si>
    <t>Permanent Moxie Points:</t>
  </si>
  <si>
    <t>Psychic?</t>
  </si>
  <si>
    <t>Vitals and Statistics:</t>
  </si>
  <si>
    <t>WIL
x2</t>
  </si>
  <si>
    <t>From Morph</t>
  </si>
  <si>
    <t>(INT+REF)/5</t>
  </si>
  <si>
    <t>Character Points:</t>
  </si>
  <si>
    <t>Resolution Points:</t>
  </si>
  <si>
    <t>Available Points:</t>
  </si>
  <si>
    <t>MOX</t>
  </si>
  <si>
    <t>TT</t>
  </si>
  <si>
    <t>LUC</t>
  </si>
  <si>
    <t>IR</t>
  </si>
  <si>
    <t>WT</t>
  </si>
  <si>
    <t>DUR</t>
  </si>
  <si>
    <t>DR</t>
  </si>
  <si>
    <t>INIT</t>
  </si>
  <si>
    <t>SPD</t>
  </si>
  <si>
    <t>DAM+</t>
  </si>
  <si>
    <t>Motivations:
Pro = '+
Anti = -</t>
  </si>
  <si>
    <t>`+ Exploration</t>
  </si>
  <si>
    <t>LUC 
/5</t>
  </si>
  <si>
    <t>LUC 
x2</t>
  </si>
  <si>
    <t>DUR 
/5</t>
  </si>
  <si>
    <t>Normal: DUR x1.5
Synthetic: DUR x2.0</t>
  </si>
  <si>
    <t>SOM
/5</t>
  </si>
  <si>
    <t>Armor Notes:</t>
  </si>
  <si>
    <t>Penalty Mitigators:</t>
  </si>
  <si>
    <t>Wounds</t>
  </si>
  <si>
    <t>Trauma</t>
  </si>
  <si>
    <t>DAMAGE &amp; STRESS</t>
  </si>
  <si>
    <t>Nat:</t>
  </si>
  <si>
    <t>Under:</t>
  </si>
  <si>
    <t>Outer:</t>
  </si>
  <si>
    <t>Mod:</t>
  </si>
  <si>
    <t>Energy</t>
  </si>
  <si>
    <t>Kinetic</t>
  </si>
  <si>
    <t>Armor(Worn):</t>
  </si>
  <si>
    <t>DAMAGE</t>
  </si>
  <si>
    <t>WOUNDS</t>
  </si>
  <si>
    <t>STRESS</t>
  </si>
  <si>
    <t>TRAUMA</t>
  </si>
  <si>
    <t>Armor(Held):</t>
  </si>
  <si>
    <t>/</t>
  </si>
  <si>
    <t>Armor Penalty:</t>
  </si>
  <si>
    <t>Wound/Trauma Penalties:</t>
  </si>
  <si>
    <t>Worn</t>
  </si>
  <si>
    <t>Held</t>
  </si>
  <si>
    <t>Primary Weapon:</t>
  </si>
  <si>
    <t>WEAPON</t>
  </si>
  <si>
    <t>SKILL</t>
  </si>
  <si>
    <t>DV:</t>
  </si>
  <si>
    <t>AP:</t>
  </si>
  <si>
    <t>Modes:</t>
  </si>
  <si>
    <t>Short:</t>
  </si>
  <si>
    <t>Medium:</t>
  </si>
  <si>
    <t>Long:</t>
  </si>
  <si>
    <t>Extreme:</t>
  </si>
  <si>
    <t>Notes:</t>
  </si>
  <si>
    <t>RP Spent -&gt;</t>
  </si>
  <si>
    <t>CP Spent -&gt;</t>
  </si>
  <si>
    <t>ACTIVE SKILLS</t>
  </si>
  <si>
    <t>ATTRIBUTE</t>
  </si>
  <si>
    <t>RZ POINTS</t>
  </si>
  <si>
    <t>SKILL
POINTS</t>
  </si>
  <si>
    <t>Morph Bonus:</t>
  </si>
  <si>
    <t>TOTAL</t>
  </si>
  <si>
    <t>OTHER BONUSES</t>
  </si>
  <si>
    <t>SPECIALIZATION</t>
  </si>
  <si>
    <t>Animal Handling</t>
  </si>
  <si>
    <t>Pilot: (flight)</t>
  </si>
  <si>
    <t>Beam Weapons</t>
  </si>
  <si>
    <t>Pilot: (ground)</t>
  </si>
  <si>
    <t>Blades</t>
  </si>
  <si>
    <t>Programming</t>
  </si>
  <si>
    <t>Climbing</t>
  </si>
  <si>
    <t>Protocol</t>
  </si>
  <si>
    <t>Clubs</t>
  </si>
  <si>
    <t>Psi Assault(PSI)*</t>
  </si>
  <si>
    <t>Control(PSI)*</t>
  </si>
  <si>
    <t>Psychosurgery</t>
  </si>
  <si>
    <t>Deception</t>
  </si>
  <si>
    <t>Research</t>
  </si>
  <si>
    <t>Demolitions</t>
  </si>
  <si>
    <t>Scrounging</t>
  </si>
  <si>
    <t>ruins</t>
  </si>
  <si>
    <t>Disguise</t>
  </si>
  <si>
    <t>Seeker Weapons</t>
  </si>
  <si>
    <t>Exotic Melee:</t>
  </si>
  <si>
    <t>Sense(PSI)*</t>
  </si>
  <si>
    <t>Spray Weapons</t>
  </si>
  <si>
    <t>Exotic Ranged:</t>
  </si>
  <si>
    <t>Swimming</t>
  </si>
  <si>
    <t>Throwing</t>
  </si>
  <si>
    <t>Flight</t>
  </si>
  <si>
    <t>Unarmed Combat</t>
  </si>
  <si>
    <t>Fray</t>
  </si>
  <si>
    <t>* = no defaulting</t>
  </si>
  <si>
    <t>Free Fall</t>
  </si>
  <si>
    <t>Freerunning</t>
  </si>
  <si>
    <t>KNOWLEDGE SKILLS</t>
  </si>
  <si>
    <t>Gunnery</t>
  </si>
  <si>
    <t>Hardware: (Electronics)</t>
  </si>
  <si>
    <t>Academics: (engineering)</t>
  </si>
  <si>
    <t>Hardware: (Robotics)</t>
  </si>
  <si>
    <t>Academics: (architecture)</t>
  </si>
  <si>
    <t>Impersonation</t>
  </si>
  <si>
    <t>Academics: (math)</t>
  </si>
  <si>
    <t>Infiltration</t>
  </si>
  <si>
    <t>Academics: (physics)</t>
  </si>
  <si>
    <t>Infosec*</t>
  </si>
  <si>
    <t>Art: (fireworks)</t>
  </si>
  <si>
    <t>Interfacing</t>
  </si>
  <si>
    <t>Art: (sculpture)</t>
  </si>
  <si>
    <t>Intimidation</t>
  </si>
  <si>
    <t>Art: (FIELD)</t>
  </si>
  <si>
    <t>Investigation</t>
  </si>
  <si>
    <t>Kinesics</t>
  </si>
  <si>
    <t>Interest:  (DnD)</t>
  </si>
  <si>
    <t>Kinetic Weapons</t>
  </si>
  <si>
    <t>Interest:  (alien trinket collection)</t>
  </si>
  <si>
    <t>Medicine: (First Aid)</t>
  </si>
  <si>
    <t>Interest:  (FIELD)</t>
  </si>
  <si>
    <t>Medicine: (FIELD)</t>
  </si>
  <si>
    <t>Navigation</t>
  </si>
  <si>
    <t>Nat. Language: (English)</t>
  </si>
  <si>
    <t>Networking: (Archaeology)</t>
  </si>
  <si>
    <t>Language: (PICK)</t>
  </si>
  <si>
    <t>Networking: (FIELD)</t>
  </si>
  <si>
    <t>Language: (Summerian)</t>
  </si>
  <si>
    <t>Language: (Low-Kiirutani)</t>
  </si>
  <si>
    <t>Archaeology</t>
  </si>
  <si>
    <t>Palming</t>
  </si>
  <si>
    <t>Xeno-Archaeology</t>
  </si>
  <si>
    <t>Perception</t>
  </si>
  <si>
    <t>Xeno-Linguistics</t>
  </si>
  <si>
    <t>Persuasion</t>
  </si>
  <si>
    <t>Geology</t>
  </si>
  <si>
    <t>Secondary Weapon:</t>
  </si>
  <si>
    <t>Cyberclaws</t>
  </si>
  <si>
    <t>Unarmed</t>
  </si>
  <si>
    <t>2d10+3+(som/10)</t>
  </si>
  <si>
    <t>SA</t>
  </si>
  <si>
    <t>Tertiary Weapon:</t>
  </si>
  <si>
    <t>Other Items of Importance: 
(Eq, skills, etc)</t>
  </si>
  <si>
    <t>Reputation:</t>
  </si>
  <si>
    <t>Rating:</t>
  </si>
  <si>
    <t>Details of who/where</t>
  </si>
  <si>
    <t>Base Rep:</t>
  </si>
  <si>
    <t>FANTASY</t>
  </si>
  <si>
    <t>Terran Acclaim</t>
  </si>
  <si>
    <t>HSE Esteem</t>
  </si>
  <si>
    <t>PHASE</t>
  </si>
  <si>
    <t>Street Cred</t>
  </si>
  <si>
    <t>Morningstar Acclaim</t>
  </si>
  <si>
    <t>CP/RP Cost:</t>
  </si>
  <si>
    <t>PSI Sleights:</t>
  </si>
  <si>
    <t>Peoples' Acclaim</t>
  </si>
  <si>
    <t>StelComm Airtime</t>
  </si>
  <si>
    <t>Research Points</t>
  </si>
  <si>
    <t>Bonus Rep:</t>
  </si>
  <si>
    <t>Positive &amp; Negative Traits, Extra Abilities:</t>
  </si>
  <si>
    <t>Tough, +5 durability, +1 wound</t>
  </si>
  <si>
    <t>Miscellaneous:</t>
  </si>
  <si>
    <t xml:space="preserve">Race/Morph: </t>
  </si>
  <si>
    <t>Arachnoid</t>
  </si>
  <si>
    <t>CP Cost:</t>
  </si>
  <si>
    <t>Type(Bio/Synth):</t>
  </si>
  <si>
    <t>Synth</t>
  </si>
  <si>
    <t>APTITUDE BONUSES</t>
  </si>
  <si>
    <t>Sex / 
Visible Gender:</t>
  </si>
  <si>
    <t>High G?</t>
  </si>
  <si>
    <t>Apparent Age/ Actual Age:</t>
  </si>
  <si>
    <t>Racial Bonuses:</t>
  </si>
  <si>
    <t>Note: Include Profession/Background/Other bonuses here</t>
  </si>
  <si>
    <t>Description:</t>
  </si>
  <si>
    <t>Racial Biological Traits / Advantages &amp; Disadvantages:</t>
  </si>
  <si>
    <t>APTITUDE MAX:</t>
  </si>
  <si>
    <t>SPD Mod from All Sources:</t>
  </si>
  <si>
    <t>MOVEMENT RATE &amp; TYPES:</t>
  </si>
  <si>
    <t>walker 4/24</t>
  </si>
  <si>
    <t>Thrust Vector 8/40</t>
  </si>
  <si>
    <t>Init+:</t>
  </si>
  <si>
    <t>DURABILITY:</t>
  </si>
  <si>
    <t>Wheeled 8/40</t>
  </si>
  <si>
    <t>Additional Biological Traits, Surgical, Alchemical and Exceptional Alterations:</t>
  </si>
  <si>
    <t>Credit Cost:</t>
  </si>
  <si>
    <t>Access Jacks, Basic Mesh Inserts, Cortical Stack, Cyberbrain, Enhanced Vision, Extra Limbs (10), Lidar, Mnemonic Augmentation, Pneumatic Limbs, Radar</t>
  </si>
  <si>
    <t>History:</t>
  </si>
  <si>
    <t>Journal In Brief:</t>
  </si>
  <si>
    <t>Ledger Balance, Services Paid and Equipment Owned</t>
  </si>
  <si>
    <t>Starting Coffer:</t>
  </si>
  <si>
    <t>Credits</t>
  </si>
  <si>
    <t>Trivial</t>
  </si>
  <si>
    <t>Pay for Services:</t>
  </si>
  <si>
    <t>Credits Spent:</t>
  </si>
  <si>
    <t>Weight of Carried Goods:</t>
  </si>
  <si>
    <t>Somatics Modifier of Worn/Used Equipment:</t>
  </si>
  <si>
    <t>Low</t>
  </si>
  <si>
    <t xml:space="preserve">      CP Required:</t>
  </si>
  <si>
    <t>Moderate</t>
  </si>
  <si>
    <t>Liquidity:</t>
  </si>
  <si>
    <t>CP Set Aside:</t>
  </si>
  <si>
    <t>High</t>
  </si>
  <si>
    <t>Expensive</t>
  </si>
  <si>
    <t>Equipped/Carried Goods and Items:</t>
  </si>
  <si>
    <t>Item:</t>
  </si>
  <si>
    <t>Weight(kg):</t>
  </si>
  <si>
    <t>Cost:</t>
  </si>
  <si>
    <t>Light Combat Armor 14/12, Chameleon coating +30 visual stealth, fireproofing, +2/+0  +10 vs fire, self healing, shock proof +10 vs shocks, Thermal Dampening, +30 against thermal spotting</t>
  </si>
  <si>
    <t>Access Jacks, Basic Mesh Inserts, Cortical Stack, Cyberbrain, Enhanced Vision, Extra Limbs (10), Lidar, Mnemonic Augmentation, Radar</t>
  </si>
  <si>
    <t>Fractal Digits, +20 coo for fine manipulation</t>
  </si>
  <si>
    <t>Hidden Compartment</t>
  </si>
  <si>
    <t>Magnetic System, +30 when holding onto something magnetic</t>
  </si>
  <si>
    <t>implanted nanotoxin (necrosis)</t>
  </si>
  <si>
    <t>Pneumatic Limbs, +20 Freerunning, +1d10 melee damage</t>
  </si>
  <si>
    <t>free</t>
  </si>
  <si>
    <t>Structural Enhancement, +10 dur, +2 wound</t>
  </si>
  <si>
    <t>Utilitool</t>
  </si>
  <si>
    <t>weapon mount, concealed, articulated</t>
  </si>
  <si>
    <t>Viewer</t>
  </si>
  <si>
    <t>360 vision</t>
  </si>
  <si>
    <t>Electronic rope (200 ft)</t>
  </si>
  <si>
    <t>Chemichal Sniffer</t>
  </si>
  <si>
    <t>spindle and climber</t>
  </si>
  <si>
    <t>Lidar</t>
  </si>
  <si>
    <t>Nanoscopic Vision</t>
  </si>
  <si>
    <t xml:space="preserve">Radar </t>
  </si>
  <si>
    <t>Free</t>
  </si>
  <si>
    <t>Fiber Eye</t>
  </si>
  <si>
    <t>Traction Pads</t>
  </si>
  <si>
    <t>X-ray Emmitter</t>
  </si>
  <si>
    <t>Direction sense, echolocation, enhanced hearing, enhanced smell</t>
  </si>
  <si>
    <t>Math Boost</t>
  </si>
  <si>
    <t>eelware</t>
  </si>
  <si>
    <t>laser/microwave link</t>
  </si>
  <si>
    <t>radio booster</t>
  </si>
  <si>
    <t>Owned Goods/Properties and Services Procured:</t>
  </si>
  <si>
    <t>Location:</t>
  </si>
  <si>
    <t>Combat Modifiers (p. 193)</t>
  </si>
  <si>
    <t>Firing Modes (p. 198)</t>
  </si>
  <si>
    <t>Charging (Melee) (p. 197)</t>
  </si>
  <si>
    <t>General</t>
  </si>
  <si>
    <t>Mod</t>
  </si>
  <si>
    <t>Single Shot (SS)</t>
  </si>
  <si>
    <t>1 shot</t>
  </si>
  <si>
    <t>Charge</t>
  </si>
  <si>
    <t>-10 running, +1d10DV melee.</t>
  </si>
  <si>
    <t>Using off-hand</t>
  </si>
  <si>
    <t>-20</t>
  </si>
  <si>
    <t>Semi-Automatic (SA)</t>
  </si>
  <si>
    <t>2 shots, 2 separate attacks</t>
  </si>
  <si>
    <t>Receive</t>
  </si>
  <si>
    <t>If delaying action, +20 attacking charging opponent.</t>
  </si>
  <si>
    <t>Wounded</t>
  </si>
  <si>
    <t>-10/wound</t>
  </si>
  <si>
    <t>Burst Fire (BF)</t>
  </si>
  <si>
    <t>3 shots/burst, 2 bursts. Can hit 2 targets 1 meter apart. If 1 target, +1d10DV.</t>
  </si>
  <si>
    <t>Traumatized</t>
  </si>
  <si>
    <t>Knockback/Knockdown (Melee) (p. 202)</t>
  </si>
  <si>
    <t>Superior position</t>
  </si>
  <si>
    <t>+20</t>
  </si>
  <si>
    <t>Full Auto (FA)</t>
  </si>
  <si>
    <t>10 shots, 1 attack. Can hit 3 targets each 1 meter apart. If 1 target, +1d10+10DV.</t>
  </si>
  <si>
    <t>Knockback</t>
  </si>
  <si>
    <t>Attack. 1 meter/MoS 10. Normal DV if critical.</t>
  </si>
  <si>
    <t>Touch-only attack</t>
  </si>
  <si>
    <t>Knockdown</t>
  </si>
  <si>
    <t>Attack. MoS 30+. Normal DV if critical.</t>
  </si>
  <si>
    <t>Called shot</t>
  </si>
  <si>
    <t>-10</t>
  </si>
  <si>
    <t>Wielding 2-H weapon with one hand</t>
  </si>
  <si>
    <t>Suppressive Fire (p. 204)</t>
  </si>
  <si>
    <t>Subdual (Melee) (p. 204)</t>
  </si>
  <si>
    <t>Very small target (mouse or insect)</t>
  </si>
  <si>
    <t>-30</t>
  </si>
  <si>
    <t>FA mode, 20 shots. Lasts until char's next action turn. 20 meter wide cone. Chars in open or moving out from cover of firing range get attacked by single shot.</t>
  </si>
  <si>
    <t>Attack with melee skill MoS 30+. Choose to do DV if critical. Grappled may communicate or use mental skills/mesh. -30 physical actions. Free Opposed Unarmed Combat or SOM x3.</t>
  </si>
  <si>
    <t>Small target (child-sized)</t>
  </si>
  <si>
    <t>Large target (car sized)</t>
  </si>
  <si>
    <t>+10</t>
  </si>
  <si>
    <t>Very large target (side of a barn)</t>
  </si>
  <si>
    <t>+30</t>
  </si>
  <si>
    <t>Visibility impaired (minor)</t>
  </si>
  <si>
    <t>Attack Multiple Targets (p. 202)</t>
  </si>
  <si>
    <t>Shock (biomoprhs/pods) (p. 204)</t>
  </si>
  <si>
    <t>Visibility impaired (major)</t>
  </si>
  <si>
    <t>Melee</t>
  </si>
  <si>
    <t>Declare up to 3 targets ea 1 meter apart. -20/target.</t>
  </si>
  <si>
    <t>DUR (current) + E Armor Test. Fail = Fall and incapacitiated for 1 action turn/MoF (min 3). Afterward, -30/-20/-10 for 1 minute each. Success = half DV -30/-20/-10 for each action turn. If hit again, not cumulative, boost shock levels to max.</t>
  </si>
  <si>
    <t>Blind attack</t>
  </si>
  <si>
    <t>Ranged</t>
  </si>
  <si>
    <t>-20 2nd target for sa and bf if targets &gt; 1 meter apart.</t>
  </si>
  <si>
    <t>Reach advantage</t>
  </si>
  <si>
    <t>Attack with Multiple Weapons (p. 206)</t>
  </si>
  <si>
    <t>Character charging</t>
  </si>
  <si>
    <t>If same target, +1d10DV for each additional weapon (max 3d10). Treat as 1 attack.</t>
  </si>
  <si>
    <t>Receiving a charge</t>
  </si>
  <si>
    <t>&gt;&gt;&gt; MoS DAMAGE BONUS (p. 192) &lt;&lt;&lt;</t>
  </si>
  <si>
    <t>Can fire all at 1 target. Add -20/weapon after 1st.</t>
  </si>
  <si>
    <t>On successful hit (melee or ranged), deal extra damage if exceed MoS.</t>
  </si>
  <si>
    <t>MoS 30+</t>
  </si>
  <si>
    <t>+5 DV</t>
  </si>
  <si>
    <t>Attacker using smartlink/laser sight</t>
  </si>
  <si>
    <t>MoS 60+</t>
  </si>
  <si>
    <t>+10 DV</t>
  </si>
  <si>
    <t>Attacker behind cover</t>
  </si>
  <si>
    <t>Called Shot (-10 mod, MoS 30+) (p. 197)</t>
  </si>
  <si>
    <t>Attacker running</t>
  </si>
  <si>
    <t>Bypassing Armor</t>
  </si>
  <si>
    <t>Ignore armor rating.</t>
  </si>
  <si>
    <t>Full Defense (p. 198)</t>
  </si>
  <si>
    <t>Attacker in melee combat</t>
  </si>
  <si>
    <t>Disarming</t>
  </si>
  <si>
    <t>Half DV. Make SOM x3 -30 or drop weapon.</t>
  </si>
  <si>
    <t>+30 against all attacks. May use Freerunning or Fray.</t>
  </si>
  <si>
    <t>Defender has minor cover</t>
  </si>
  <si>
    <t>Specifying Target</t>
  </si>
  <si>
    <t>GM decides.</t>
  </si>
  <si>
    <t>Defender has moderate cover</t>
  </si>
  <si>
    <t>Physical Aptitude Tests (p. 175)</t>
  </si>
  <si>
    <t>Defender has major cover</t>
  </si>
  <si>
    <t>Grenades/Seekers (p. 199)</t>
  </si>
  <si>
    <t>Test</t>
  </si>
  <si>
    <t>Roll</t>
  </si>
  <si>
    <t>Defender prone and far (10+ meters)</t>
  </si>
  <si>
    <t>Airburst</t>
  </si>
  <si>
    <t>Explode when traveled distance.</t>
  </si>
  <si>
    <t>Brute Strength</t>
  </si>
  <si>
    <t>SOM x3</t>
  </si>
  <si>
    <t>Defender hidden</t>
  </si>
  <si>
    <t>-60</t>
  </si>
  <si>
    <t>Impact</t>
  </si>
  <si>
    <t>Explode on impact.</t>
  </si>
  <si>
    <t>Catching Thrown Object</t>
  </si>
  <si>
    <t>COO x2 + REF</t>
  </si>
  <si>
    <t>Aimed shot (quick)</t>
  </si>
  <si>
    <t>Signal</t>
  </si>
  <si>
    <t>Explode when signal received.</t>
  </si>
  <si>
    <t>Escape Artist</t>
  </si>
  <si>
    <t>COO + SOM</t>
  </si>
  <si>
    <t>Aimed shot (complex)</t>
  </si>
  <si>
    <t>Timer</t>
  </si>
  <si>
    <t>Explode when timer runs out. 1 second delay = 1 action phase.</t>
  </si>
  <si>
    <t>Sweeping fire with beam weapon</t>
  </si>
  <si>
    <t>+10 on second shot</t>
  </si>
  <si>
    <t>Other Combat-Related Topics</t>
  </si>
  <si>
    <t>Multiple targets in same Action Phase</t>
  </si>
  <si>
    <t>-20/additional target</t>
  </si>
  <si>
    <t>Throw grenade back</t>
  </si>
  <si>
    <t>Topic</t>
  </si>
  <si>
    <t>Page</t>
  </si>
  <si>
    <t>Indirect fire</t>
  </si>
  <si>
    <t>Jump on grenade</t>
  </si>
  <si>
    <t>COO + REF + WIL or WIL x3 to fall on grenade. +1d10DV when explode. Reduce DV to others by armor +10.</t>
  </si>
  <si>
    <t>Asphyxiation</t>
  </si>
  <si>
    <t>p. 194</t>
  </si>
  <si>
    <t>Improvised Weapons</t>
  </si>
  <si>
    <t>p. 202</t>
  </si>
  <si>
    <t>Point-blank range (2 meters or less)</t>
  </si>
  <si>
    <t>Blind Attack</t>
  </si>
  <si>
    <t>p. 195</t>
  </si>
  <si>
    <t>Indirect Fire</t>
  </si>
  <si>
    <t>Short range</t>
  </si>
  <si>
    <t>+0</t>
  </si>
  <si>
    <t>p. 197</t>
  </si>
  <si>
    <t>Objects/Structures</t>
  </si>
  <si>
    <t>Medium range</t>
  </si>
  <si>
    <t>Scatter (p. 204)</t>
  </si>
  <si>
    <t>Falling</t>
  </si>
  <si>
    <t>Surprise Attack</t>
  </si>
  <si>
    <t>p. 204</t>
  </si>
  <si>
    <t>Long range</t>
  </si>
  <si>
    <t>If miss with blast weapon, d10 to determine direction. Number determines distance in meters. MoF 30+ double, MoF 60+ triple.</t>
  </si>
  <si>
    <t>Fire</t>
  </si>
  <si>
    <t>p. 198</t>
  </si>
  <si>
    <t>Tactical Networks</t>
  </si>
  <si>
    <t>p. 205</t>
  </si>
  <si>
    <t>Extreme range</t>
  </si>
  <si>
    <t>Gravity</t>
  </si>
  <si>
    <t>Weapon Range</t>
  </si>
  <si>
    <t>p. 203</t>
  </si>
  <si>
    <t>Area Effect (p. 193)</t>
  </si>
  <si>
    <t>Wound Effects (p. 207)</t>
  </si>
  <si>
    <t>Blast</t>
  </si>
  <si>
    <t>-2 DV/m away from center</t>
  </si>
  <si>
    <t>-10 to all actions per wound.</t>
  </si>
  <si>
    <t>Uniform Blast</t>
  </si>
  <si>
    <t>-2 DV/m away from blast sphere</t>
  </si>
  <si>
    <t>When receive wound, SOM x3 -mod or knocked down. Bots/vehicles avoid crash.</t>
  </si>
  <si>
    <t>Cone</t>
  </si>
  <si>
    <t>Short 1 target, +1d10DV; Medium 2 targets; Long/Extreme 3 targets -1d10DV.</t>
  </si>
  <si>
    <t>Unconscious</t>
  </si>
  <si>
    <t>When receive 2+ wounds at once, SOM x3 -mod or unconscious. Bots/vehicles automatically crash.</t>
  </si>
  <si>
    <t>Bleeding</t>
  </si>
  <si>
    <t>Durability exceeded, -1 DV/action turn until medical care or death.</t>
  </si>
  <si>
    <t>Beam Weapons (p. 194)</t>
  </si>
  <si>
    <t>Trauma Effects (p. 209)</t>
  </si>
  <si>
    <t>Sweeping Fire</t>
  </si>
  <si>
    <t>Semi-auto: If 1st roll misses, +10 free aim on 2nd roll if attack same target.</t>
  </si>
  <si>
    <t>-10 to all actions per trauma.</t>
  </si>
  <si>
    <t>Disorientation</t>
  </si>
  <si>
    <t>When receive trauma, WIL x3 -mod or stunned. Spend complex action to regain wits.</t>
  </si>
  <si>
    <t>Concentrated Fire</t>
  </si>
  <si>
    <t>Semi-auto: if 1st roll hits, can give up 2nd roll to increase DV to 1.5DV (RU) before DV roll.</t>
  </si>
  <si>
    <t>Derangement</t>
  </si>
  <si>
    <t>Anytime suffer trauma, temporary derangement. Can upgrade from minor&gt;moderate&gt;major.</t>
  </si>
  <si>
    <t>Disorder</t>
  </si>
  <si>
    <t>4+ traumas, major derangement upgrades to disorder.</t>
  </si>
  <si>
    <t>Moxie (p. 122)</t>
  </si>
  <si>
    <t>Stress Test (p. 214)</t>
  </si>
  <si>
    <t>Movement (Earth's Gravity) (p. 190)</t>
  </si>
  <si>
    <t>Ignore mods for test. Spent before dice rolled.</t>
  </si>
  <si>
    <t>WIL x3. Fail = SV XP chart. Success = Hardening.</t>
  </si>
  <si>
    <t>Type</t>
  </si>
  <si>
    <t>Action</t>
  </si>
  <si>
    <t>Meters/Action Turn</t>
  </si>
  <si>
    <t>Notes</t>
  </si>
  <si>
    <t>Flip-flop a d100 roll result. 83 becomes 38.</t>
  </si>
  <si>
    <t>Walk</t>
  </si>
  <si>
    <t>Quick</t>
  </si>
  <si>
    <t>4</t>
  </si>
  <si>
    <t>Upgrade a success to critical success.</t>
  </si>
  <si>
    <t>Stress Values (p. 215)</t>
  </si>
  <si>
    <t>Run</t>
  </si>
  <si>
    <t>20</t>
  </si>
  <si>
    <t>-10 all actions</t>
  </si>
  <si>
    <t>Downgrade critical failure, to regular failure.</t>
  </si>
  <si>
    <t>Situation</t>
  </si>
  <si>
    <t>SV (RD)</t>
  </si>
  <si>
    <t>Sprint</t>
  </si>
  <si>
    <t>Complex</t>
  </si>
  <si>
    <t>5</t>
  </si>
  <si>
    <t>Freerunning (+1m/10 MoS, max 5)</t>
  </si>
  <si>
    <t>Go first for action phase, but after crits.</t>
  </si>
  <si>
    <t>Failing horribly in pursuit of motivational goal</t>
  </si>
  <si>
    <t>1d10/2</t>
  </si>
  <si>
    <t>Jump (Standing)</t>
  </si>
  <si>
    <t>SOM/20 (RU)</t>
  </si>
  <si>
    <t>Freerunning (+0.25m/10 MoS)</t>
  </si>
  <si>
    <t>Helplessness</t>
  </si>
  <si>
    <t>Jump (Running)</t>
  </si>
  <si>
    <t>SOM/5 (RU)</t>
  </si>
  <si>
    <t>Freerunning (+1m/MoS)</t>
  </si>
  <si>
    <t>Networking Mods (p. 287)</t>
  </si>
  <si>
    <t>Betrayal by trusted friend</t>
  </si>
  <si>
    <t>Jump (Vertical)</t>
  </si>
  <si>
    <t>1</t>
  </si>
  <si>
    <t>Extended isolation</t>
  </si>
  <si>
    <t>Swim</t>
  </si>
  <si>
    <t>Favor level exceeds rep level</t>
  </si>
  <si>
    <t>-10 per level</t>
  </si>
  <si>
    <t>Extreme violence (viewing)</t>
  </si>
  <si>
    <t>Crawl</t>
  </si>
  <si>
    <t>Rep level exceeds favor level</t>
  </si>
  <si>
    <t>+10 per level</t>
  </si>
  <si>
    <t>Extreme violence (committing)</t>
  </si>
  <si>
    <t>1d10</t>
  </si>
  <si>
    <t>Keeping quiet</t>
  </si>
  <si>
    <t>-variable</t>
  </si>
  <si>
    <t>Awareness that your death is imminent</t>
  </si>
  <si>
    <t>What Your Muse Can Do For You (p. 245)</t>
  </si>
  <si>
    <t>Burning rep</t>
  </si>
  <si>
    <t>+rep burned</t>
  </si>
  <si>
    <t>Experiencing someone’s death via XP</t>
  </si>
  <si>
    <t>Make Research Tests to find information for you.</t>
  </si>
  <si>
    <t>Paying extra</t>
  </si>
  <si>
    <t>Losing loved one</t>
  </si>
  <si>
    <t>Scan newsfeeds and mesh updates for keyword alerts.</t>
  </si>
  <si>
    <t>Watching loved one die</t>
  </si>
  <si>
    <t>1d10+2</t>
  </si>
  <si>
    <t>Monitor your mesh inserts/ecto/PAN and slaved devices for intrusion.</t>
  </si>
  <si>
    <t>Ectos (p. 246)</t>
  </si>
  <si>
    <t>Being responsible for death of loved one</t>
  </si>
  <si>
    <t>1d10+5</t>
  </si>
  <si>
    <t>Launch countermeasures against intruders.</t>
  </si>
  <si>
    <t>-10 when rushed (combat/pressure)
25% long for task actions.</t>
  </si>
  <si>
    <t>Encountering gruesome murder scene</t>
  </si>
  <si>
    <t>Teleoperate and command robots.</t>
  </si>
  <si>
    <t>Torture (viewing)</t>
  </si>
  <si>
    <t>Monitor your Rep score and alert you to drastic changes.</t>
  </si>
  <si>
    <t>Torture (moderate suffering)</t>
  </si>
  <si>
    <t>2d10+3</t>
  </si>
  <si>
    <t>Automatically provide feedback for other people’s Rep scores.</t>
  </si>
  <si>
    <t>Resleeving (p. 271)</t>
  </si>
  <si>
    <t>Torture (severe suffering)</t>
  </si>
  <si>
    <t>3d10+5</t>
  </si>
  <si>
    <t>Run audio input through an online, real-time language translation system.</t>
  </si>
  <si>
    <t>Encountering aliens (non-sentient)</t>
  </si>
  <si>
    <t>Put you in privacy mode and/or proactively stealth your wireless signal.</t>
  </si>
  <si>
    <t>Integration</t>
  </si>
  <si>
    <t>SOM * 3 + mods (see chart)</t>
  </si>
  <si>
    <t>Encountering aliens (sentient)</t>
  </si>
  <si>
    <t>Falsify/fluctuate your mesh ID.</t>
  </si>
  <si>
    <t>Alienation</t>
  </si>
  <si>
    <t>INT * 3 + mods (see chart)</t>
  </si>
  <si>
    <t>Encountering hostile aliens</t>
  </si>
  <si>
    <t>1d10+3</t>
  </si>
  <si>
    <t>Track people for you.</t>
  </si>
  <si>
    <t>Continuity</t>
  </si>
  <si>
    <t>WIL * 3 (see stress chart)</t>
  </si>
  <si>
    <t>Encountering highly-advanced technology</t>
  </si>
  <si>
    <t>Anticipate your needs and act accordingly, pre-empting your requests.</t>
  </si>
  <si>
    <t>Forks</t>
  </si>
  <si>
    <t>See page 273.</t>
  </si>
  <si>
    <t>Encountering Exsurgent-modified technology</t>
  </si>
  <si>
    <t>Merging</t>
  </si>
  <si>
    <t>See page 275.</t>
  </si>
  <si>
    <t>Encountering Exsurgent-infected transhumans</t>
  </si>
  <si>
    <t>Psychosurgery Modifiers (p. 232)</t>
  </si>
  <si>
    <t>Encountering Exsurgent life forms</t>
  </si>
  <si>
    <t>Test Mod</t>
  </si>
  <si>
    <t>SV Mod</t>
  </si>
  <si>
    <t>Other Important Topics</t>
  </si>
  <si>
    <t>Exsurgent virus infection</t>
  </si>
  <si>
    <t>p. 366</t>
  </si>
  <si>
    <t>Improper Perparatory Diagnosis</t>
  </si>
  <si>
    <t>+1</t>
  </si>
  <si>
    <t>Witnessing psi-epsilon sleights</t>
  </si>
  <si>
    <t>Safety Protocols Ignored</t>
  </si>
  <si>
    <t>*2</t>
  </si>
  <si>
    <t>Acquiring Goods/Services</t>
  </si>
  <si>
    <t>p. 289</t>
  </si>
  <si>
    <t>Simulspace Time Acceleration</t>
  </si>
  <si>
    <t>+2</t>
  </si>
  <si>
    <t>Complimentary Skills</t>
  </si>
  <si>
    <t>p. 173</t>
  </si>
  <si>
    <t>Non-Physical Aptitude Tests (p. 175)</t>
  </si>
  <si>
    <t>Subject is an AI, AGI, or Uplift</t>
  </si>
  <si>
    <t>Derangements</t>
  </si>
  <si>
    <t>p. 210</t>
  </si>
  <si>
    <t>Disorders</t>
  </si>
  <si>
    <t>p. 211</t>
  </si>
  <si>
    <t>Composure and Resolve</t>
  </si>
  <si>
    <t>WIL x3</t>
  </si>
  <si>
    <t>Psychosurgery Mechanics (p. 230)</t>
  </si>
  <si>
    <t>Game Rules Summary</t>
  </si>
  <si>
    <t>p. 127</t>
  </si>
  <si>
    <t>Having An Idea</t>
  </si>
  <si>
    <t>INT x3 or COG x3</t>
  </si>
  <si>
    <t>Success</t>
  </si>
  <si>
    <t>Duration</t>
  </si>
  <si>
    <t>Hacking</t>
  </si>
  <si>
    <t>p. 393</t>
  </si>
  <si>
    <t>Memorizing/Remembering</t>
  </si>
  <si>
    <t>COG x3</t>
  </si>
  <si>
    <t>Psychosurgeon Succeeds/Patient Fails</t>
  </si>
  <si>
    <t>Permanent</t>
  </si>
  <si>
    <t>Healing</t>
  </si>
  <si>
    <t>p. 208</t>
  </si>
  <si>
    <t>Psychosurgeon Succeeds Higher</t>
  </si>
  <si>
    <t>Temporary: 1 week/MoS</t>
  </si>
  <si>
    <t>Hostile Environments</t>
  </si>
  <si>
    <t>p. 200</t>
  </si>
  <si>
    <t>Psychosurgeon Succeeds Lower/Fails</t>
  </si>
  <si>
    <t>No effect</t>
  </si>
  <si>
    <t>Mental Healing/Psychotherapy</t>
  </si>
  <si>
    <t>p. 215</t>
  </si>
  <si>
    <t>Mesh Gear Quality</t>
  </si>
  <si>
    <t>p. 247</t>
  </si>
  <si>
    <t>Object/Synthmorph Repair</t>
  </si>
  <si>
    <t>Psi Mechanics</t>
  </si>
  <si>
    <t>p. 220</t>
  </si>
  <si>
    <t>Skill Categories</t>
  </si>
  <si>
    <t>Category</t>
  </si>
  <si>
    <t>Skills</t>
  </si>
  <si>
    <t>Combat</t>
  </si>
  <si>
    <t>Beam Weapon, Blades, Clubs, Exotic Melee Weapon, Exotic Ranged Weapon, Fray, Gunnery, Kinetic Weapon, Seeker Weapon, Spray Weapon, Thrown Weapon, Unarmed Combat</t>
  </si>
  <si>
    <t>Mental</t>
  </si>
  <si>
    <t>Control, Investigation, Navigation, Perception, Psi Assault, Scrounging, Sense</t>
  </si>
  <si>
    <t>Physical</t>
  </si>
  <si>
    <t>Climbing, Disguise, Flight, Free Fall, Freerunning, Infiltration, Palming, Swimming</t>
  </si>
  <si>
    <t>Psi</t>
  </si>
  <si>
    <t>Control, Psi Assault, Sense</t>
  </si>
  <si>
    <t>Social</t>
  </si>
  <si>
    <t>Animal Handling, Deception, Impersonation, Intimidation, Kinesics, Networking, Persuasion, Protocol</t>
  </si>
  <si>
    <t>Technical</t>
  </si>
  <si>
    <t>Demolition, Hardware, Infosec, Interfacing, Medicine, Programming, Psychosurgery, Research</t>
  </si>
  <si>
    <t>Vehicle</t>
  </si>
  <si>
    <t>Pilot</t>
  </si>
  <si>
    <t xml:space="preserve">Credits go out to;
Rob Boyle and Transhuman Studios for Eclipse Phase and related texts
Fiona Moore for laying the groundwork for this character sheet
XB-88A for creating and developing The Sundered Galaxy setting
Alerana Lasserin for contributions to TSG
Engineer Raysh for contributions to TSG
Ashes Darius for, well, she knows
Shizuka K. for contributions to TSG
A bunch of others for various and sundry contributions
That fucking asshole that modified this shit-tier sheet from Fiona's initial contribution
Revision History:
Uhm, some time ago, Fiona Moore created the basic sheet. v. 1
Some time later, Zath modified the basic sheet to v. 1.2 or some shit, to include front-page rezpoint tabulations and so on, plus restructuring
After that, the present version, effectively v. 2.0 is as it is seen now. Now includes Specialization autotabulation and automated Bio vs. Synth DUR tabulation. 
v.2.1 now includes autocalculation for Aptitude Costs taken from the Front Page, streamlined Moxie Costs and totals, automatic conversion of CP 
overages to RP costs, in addition to Idiot Lights for RP costs and Aptitude Points on the front page.
Fantasy Phase effectively becomes Sheet Ver. 3; This features a greatly-condensed spreadsheet format, cutting down on the amount of tabbing. 
It also features something neat and never seen before in this line of sheets; On-the-fly adjustment of skills according to what you select for the attribute.
This will eventually serve as an Eclipse Phase(1e) ver. 3.1 sheet basis, but for now it is operational for Fantasy PhaseFar Kingdoms purposes.
You're welcome, people.
 Whelp, this is it. This is Eclipse Phase Sheet Ver. 3.0. 
 </t>
  </si>
</sst>
</file>

<file path=xl/styles.xml><?xml version="1.0" encoding="utf-8"?>
<styleSheet xmlns="http://schemas.openxmlformats.org/spreadsheetml/2006/main" xmlns:x14ac="http://schemas.microsoft.com/office/spreadsheetml/2009/9/ac" xmlns:mc="http://schemas.openxmlformats.org/markup-compatibility/2006">
  <fonts count="72">
    <font>
      <sz val="10.0"/>
      <color rgb="FF000000"/>
      <name val="Arial"/>
    </font>
    <font/>
    <font>
      <b/>
      <sz val="14.0"/>
      <color rgb="FFFFFFFF"/>
      <name val="Calibri"/>
    </font>
    <font>
      <sz val="20.0"/>
      <color rgb="FF000000"/>
      <name val="Arial"/>
    </font>
    <font>
      <sz val="8.0"/>
      <color rgb="FF000000"/>
      <name val="Calibri"/>
    </font>
    <font>
      <b/>
      <sz val="18.0"/>
      <color rgb="FFFFFFFF"/>
      <name val="Calibri"/>
    </font>
    <font>
      <sz val="20.0"/>
      <color rgb="FF000000"/>
      <name val="Calibri"/>
    </font>
    <font>
      <sz val="14.0"/>
    </font>
    <font>
      <sz val="14.0"/>
      <color rgb="FF000000"/>
      <name val="Arial"/>
    </font>
    <font>
      <b/>
      <sz val="16.0"/>
      <color rgb="FF000000"/>
      <name val="Calibri"/>
    </font>
    <font>
      <b/>
      <sz val="36.0"/>
      <color rgb="FF000000"/>
      <name val="Calibri"/>
    </font>
    <font>
      <sz val="14.0"/>
      <color rgb="FF000000"/>
      <name val="Calibri"/>
    </font>
    <font>
      <b/>
      <sz val="14.0"/>
      <color rgb="FF000000"/>
      <name val="Calibri"/>
    </font>
    <font>
      <b/>
      <sz val="12.0"/>
      <color rgb="FF000000"/>
      <name val="Calibri"/>
    </font>
    <font>
      <b/>
      <sz val="12.0"/>
      <color rgb="FFFFFFFF"/>
      <name val="Calibri"/>
    </font>
    <font>
      <b/>
      <sz val="11.0"/>
      <color rgb="FF000000"/>
      <name val="Arial"/>
    </font>
    <font>
      <b/>
      <sz val="11.0"/>
      <color rgb="FF000000"/>
      <name val="Calibri"/>
    </font>
    <font>
      <b/>
      <sz val="8.0"/>
      <color rgb="FFFFFFFF"/>
      <name val="Calibri"/>
    </font>
    <font>
      <b/>
      <sz val="11.0"/>
      <color rgb="FFFFFFFF"/>
    </font>
    <font>
      <b/>
      <sz val="10.0"/>
      <color rgb="FF000000"/>
    </font>
    <font>
      <sz val="11.0"/>
      <color rgb="FFB95C5C"/>
      <name val="Inconsolata"/>
    </font>
    <font>
      <sz val="9.0"/>
    </font>
    <font>
      <b/>
      <sz val="8.0"/>
      <color rgb="FFFFFFFF"/>
    </font>
    <font>
      <b/>
      <sz val="18.0"/>
    </font>
    <font>
      <b/>
      <sz val="14.0"/>
      <color rgb="FF000000"/>
    </font>
    <font>
      <sz val="10.0"/>
      <color rgb="FF000000"/>
      <name val="Calibri"/>
    </font>
    <font>
      <sz val="10.0"/>
      <color rgb="FFFFFFFF"/>
    </font>
    <font>
      <b/>
      <sz val="10.0"/>
      <color rgb="FFFFFFFF"/>
      <name val="Calibri"/>
    </font>
    <font>
      <b/>
    </font>
    <font>
      <sz val="11.0"/>
    </font>
    <font>
      <b/>
      <sz val="9.0"/>
      <color rgb="FFFFFFFF"/>
      <name val="Calibri"/>
    </font>
    <font>
      <sz val="6.0"/>
      <color rgb="FFB95C5C"/>
      <name val="Calibri"/>
    </font>
    <font>
      <b/>
      <sz val="14.0"/>
    </font>
    <font>
      <b/>
      <sz val="10.0"/>
      <color rgb="FF000000"/>
      <name val="Arial"/>
    </font>
    <font>
      <b/>
      <sz val="10.0"/>
      <color rgb="FF000000"/>
      <name val="Calibri"/>
    </font>
    <font>
      <sz val="20.0"/>
      <color rgb="FFFFFFFF"/>
      <name val="Calibri"/>
    </font>
    <font>
      <b/>
      <sz val="6.0"/>
      <color rgb="FFB95C5C"/>
    </font>
    <font>
      <color rgb="FFB95C5C"/>
    </font>
    <font>
      <b/>
      <color rgb="FFB95C5C"/>
    </font>
    <font>
      <b/>
      <sz val="11.0"/>
      <color rgb="FFFFFFFF"/>
      <name val="Calibri"/>
    </font>
    <font>
      <b/>
      <sz val="14.0"/>
      <color rgb="FF000000"/>
      <name val="Arial"/>
    </font>
    <font>
      <sz val="18.0"/>
    </font>
    <font>
      <color rgb="FF000000"/>
    </font>
    <font>
      <sz val="11.0"/>
      <color rgb="FF000000"/>
      <name val="Inconsolata"/>
    </font>
    <font>
      <sz val="11.0"/>
      <color rgb="FFD9D9D9"/>
      <name val="Inconsolata"/>
    </font>
    <font>
      <color rgb="FFD9D9D9"/>
    </font>
    <font>
      <b/>
      <sz val="7.0"/>
      <color rgb="FFFFFFFF"/>
      <name val="Calibri"/>
    </font>
    <font>
      <sz val="6.0"/>
      <color rgb="FFD9D9D9"/>
      <name val="Calibri"/>
    </font>
    <font>
      <sz val="8.0"/>
      <color rgb="FFD9D9D9"/>
      <name val="Calibri"/>
    </font>
    <font>
      <sz val="9.0"/>
      <color rgb="FF000000"/>
      <name val="Calibri"/>
    </font>
    <font>
      <sz val="10.0"/>
      <color rgb="FFD9D9D9"/>
      <name val="Calibri"/>
    </font>
    <font>
      <b/>
      <sz val="12.0"/>
      <color rgb="FF000000"/>
      <name val="Inconsolata"/>
    </font>
    <font>
      <color rgb="FFD9D9D9"/>
      <name val="Arial"/>
    </font>
    <font>
      <sz val="9.0"/>
      <color rgb="FF000000"/>
      <name val="Arial"/>
    </font>
    <font>
      <b/>
      <sz val="10.0"/>
      <color rgb="FFD9D9D9"/>
      <name val="Calibri"/>
    </font>
    <font>
      <sz val="8.0"/>
      <color rgb="FF000000"/>
      <name val="Arial"/>
    </font>
    <font>
      <sz val="12.0"/>
      <color rgb="FF000000"/>
      <name val="Arial"/>
    </font>
    <font>
      <b/>
      <sz val="11.0"/>
      <color rgb="FFFFFFFF"/>
      <name val="Inconsolata"/>
    </font>
    <font>
      <b/>
      <sz val="10.0"/>
      <color rgb="FFFFFFFF"/>
      <name val="Arial"/>
    </font>
    <font>
      <b/>
      <sz val="10.0"/>
      <color rgb="FFFFFFFF"/>
    </font>
    <font>
      <sz val="12.0"/>
      <color rgb="FF000000"/>
      <name val="Calibri"/>
    </font>
    <font>
      <b/>
      <sz val="12.0"/>
      <color rgb="FFFFFFFF"/>
    </font>
    <font>
      <b/>
      <sz val="18.0"/>
      <color rgb="FFFFFFFF"/>
    </font>
    <font>
      <i/>
      <sz val="10.0"/>
    </font>
    <font>
      <sz val="10.0"/>
    </font>
    <font>
      <b/>
      <sz val="9.0"/>
      <color rgb="FFFFFFFF"/>
    </font>
    <font>
      <b/>
      <sz val="10.0"/>
    </font>
    <font>
      <b/>
      <color rgb="FFFFFFFF"/>
    </font>
    <font>
      <sz val="9.0"/>
      <color rgb="FF000000"/>
    </font>
    <font>
      <sz val="8.0"/>
    </font>
    <font>
      <sz val="10.0"/>
      <color rgb="FF000000"/>
    </font>
    <font>
      <b/>
      <u/>
      <sz val="10.0"/>
      <color rgb="FF000000"/>
    </font>
  </fonts>
  <fills count="12">
    <fill>
      <patternFill patternType="none"/>
    </fill>
    <fill>
      <patternFill patternType="lightGray"/>
    </fill>
    <fill>
      <patternFill patternType="solid">
        <fgColor rgb="FFB95C5C"/>
        <bgColor rgb="FFB95C5C"/>
      </patternFill>
    </fill>
    <fill>
      <patternFill patternType="solid">
        <fgColor rgb="FFFFFFFF"/>
        <bgColor rgb="FFFFFFFF"/>
      </patternFill>
    </fill>
    <fill>
      <patternFill patternType="solid">
        <fgColor rgb="FFD9D9D9"/>
        <bgColor rgb="FFD9D9D9"/>
      </patternFill>
    </fill>
    <fill>
      <patternFill patternType="solid">
        <fgColor rgb="FFA61C00"/>
        <bgColor rgb="FFA61C00"/>
      </patternFill>
    </fill>
    <fill>
      <patternFill patternType="solid">
        <fgColor rgb="FFF3F3F3"/>
        <bgColor rgb="FFF3F3F3"/>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B7E1CD"/>
        <bgColor rgb="FFB7E1CD"/>
      </patternFill>
    </fill>
    <fill>
      <patternFill patternType="solid">
        <fgColor rgb="FF000000"/>
        <bgColor rgb="FF000000"/>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24">
    <xf borderId="0" fillId="0" fontId="0" numFmtId="0" xfId="0" applyAlignment="1" applyFont="1">
      <alignment readingOrder="0" shrinkToFit="0" vertical="bottom" wrapText="1"/>
    </xf>
    <xf borderId="0" fillId="0" fontId="1" numFmtId="0" xfId="0" applyAlignment="1" applyFont="1">
      <alignment readingOrder="0" shrinkToFit="0" vertical="top" wrapText="1"/>
    </xf>
    <xf borderId="1" fillId="2" fontId="2" numFmtId="0" xfId="0" applyAlignment="1" applyBorder="1" applyFill="1" applyFont="1">
      <alignment horizontal="right" readingOrder="0" shrinkToFit="0" vertical="center" wrapText="1"/>
    </xf>
    <xf borderId="2" fillId="0" fontId="1" numFmtId="0" xfId="0" applyAlignment="1" applyBorder="1" applyFont="1">
      <alignment shrinkToFit="0" wrapText="1"/>
    </xf>
    <xf borderId="2" fillId="3" fontId="3" numFmtId="0" xfId="0" applyAlignment="1" applyBorder="1" applyFill="1" applyFont="1">
      <alignment horizontal="center" readingOrder="0" shrinkToFit="0" vertical="center" wrapText="0"/>
    </xf>
    <xf borderId="3" fillId="0" fontId="1" numFmtId="0" xfId="0" applyAlignment="1" applyBorder="1" applyFont="1">
      <alignment shrinkToFit="0" wrapText="1"/>
    </xf>
    <xf borderId="4" fillId="0" fontId="1" numFmtId="0" xfId="0" applyAlignment="1" applyBorder="1" applyFont="1">
      <alignment shrinkToFit="0" wrapText="1"/>
    </xf>
    <xf borderId="0" fillId="0" fontId="4" numFmtId="0" xfId="0" applyAlignment="1" applyFont="1">
      <alignment shrinkToFit="0" vertical="center" wrapText="0"/>
    </xf>
    <xf borderId="1" fillId="2" fontId="5" numFmtId="0" xfId="0" applyAlignment="1" applyBorder="1" applyFont="1">
      <alignment horizontal="right" readingOrder="0" shrinkToFit="0" vertical="center" wrapText="0"/>
    </xf>
    <xf borderId="2" fillId="3" fontId="6" numFmtId="0" xfId="0" applyAlignment="1" applyBorder="1" applyFont="1">
      <alignment horizontal="center" readingOrder="0" shrinkToFit="0" vertical="center" wrapText="0"/>
    </xf>
    <xf borderId="0" fillId="3" fontId="6" numFmtId="0" xfId="0" applyAlignment="1" applyFont="1">
      <alignment horizontal="center" readingOrder="0" shrinkToFit="0" vertical="center" wrapText="0"/>
    </xf>
    <xf borderId="5" fillId="0" fontId="1" numFmtId="0" xfId="0" applyAlignment="1" applyBorder="1" applyFont="1">
      <alignment shrinkToFit="0" wrapText="1"/>
    </xf>
    <xf borderId="6" fillId="0" fontId="1" numFmtId="0" xfId="0" applyAlignment="1" applyBorder="1" applyFont="1">
      <alignment shrinkToFit="0" wrapText="1"/>
    </xf>
    <xf borderId="7" fillId="0" fontId="1" numFmtId="0" xfId="0" applyAlignment="1" applyBorder="1" applyFont="1">
      <alignment shrinkToFit="0" wrapText="1"/>
    </xf>
    <xf borderId="4" fillId="2" fontId="7" numFmtId="0" xfId="0" applyAlignment="1" applyBorder="1" applyFont="1">
      <alignment shrinkToFit="0" wrapText="1"/>
    </xf>
    <xf borderId="0" fillId="2" fontId="7" numFmtId="0" xfId="0" applyAlignment="1" applyFont="1">
      <alignment shrinkToFit="0" wrapText="1"/>
    </xf>
    <xf borderId="8" fillId="2" fontId="7" numFmtId="0" xfId="0" applyAlignment="1" applyBorder="1" applyFont="1">
      <alignment shrinkToFit="0" wrapText="1"/>
    </xf>
    <xf borderId="9" fillId="0" fontId="1" numFmtId="0" xfId="0" applyAlignment="1" applyBorder="1" applyFont="1">
      <alignment shrinkToFit="0" wrapText="1"/>
    </xf>
    <xf borderId="4" fillId="2" fontId="2" numFmtId="0" xfId="0" applyAlignment="1" applyBorder="1" applyFont="1">
      <alignment horizontal="right" readingOrder="0" shrinkToFit="0" vertical="center" wrapText="1"/>
    </xf>
    <xf borderId="2" fillId="3" fontId="8" numFmtId="0" xfId="0" applyAlignment="1" applyBorder="1" applyFont="1">
      <alignment horizontal="center"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center" readingOrder="0" shrinkToFit="0" vertical="center" wrapText="0"/>
    </xf>
    <xf borderId="4" fillId="2" fontId="11" numFmtId="0" xfId="0" applyAlignment="1" applyBorder="1" applyFont="1">
      <alignment horizontal="right" shrinkToFit="0" vertical="center" wrapText="1"/>
    </xf>
    <xf borderId="0" fillId="2" fontId="11" numFmtId="0" xfId="0" applyAlignment="1" applyFont="1">
      <alignment horizontal="right" shrinkToFit="0" vertical="center" wrapText="1"/>
    </xf>
    <xf borderId="8" fillId="2" fontId="11" numFmtId="0" xfId="0" applyAlignment="1" applyBorder="1" applyFont="1">
      <alignment horizontal="right" shrinkToFit="0" vertical="center" wrapText="1"/>
    </xf>
    <xf borderId="9" fillId="0" fontId="4" numFmtId="0" xfId="0" applyAlignment="1" applyBorder="1" applyFont="1">
      <alignment horizontal="center" shrinkToFit="0" vertical="center" wrapText="0"/>
    </xf>
    <xf borderId="0" fillId="0" fontId="9" numFmtId="0" xfId="0" applyAlignment="1" applyFont="1">
      <alignment horizontal="right" readingOrder="0" shrinkToFit="0" vertical="center" wrapText="0"/>
    </xf>
    <xf borderId="0" fillId="0" fontId="12" numFmtId="0" xfId="0" applyAlignment="1" applyFont="1">
      <alignment horizontal="right" readingOrder="0" shrinkToFit="0" vertical="center" wrapText="0"/>
    </xf>
    <xf borderId="0" fillId="0" fontId="12" numFmtId="0" xfId="0" applyAlignment="1" applyFont="1">
      <alignment horizontal="right" readingOrder="0" shrinkToFit="0" vertical="center" wrapText="0"/>
    </xf>
    <xf borderId="2" fillId="4" fontId="6" numFmtId="0" xfId="0" applyAlignment="1" applyBorder="1" applyFill="1" applyFont="1">
      <alignment horizontal="center" shrinkToFit="0" vertical="center" wrapText="0"/>
    </xf>
    <xf borderId="5" fillId="0" fontId="13" numFmtId="0" xfId="0" applyAlignment="1" applyBorder="1" applyFont="1">
      <alignment horizontal="center" readingOrder="0" shrinkToFit="0" vertical="center" wrapText="0"/>
    </xf>
    <xf borderId="5" fillId="0" fontId="13" numFmtId="0" xfId="0" applyAlignment="1" applyBorder="1" applyFont="1">
      <alignment horizontal="left" readingOrder="0" shrinkToFit="0" vertical="center" wrapText="0"/>
    </xf>
    <xf borderId="0" fillId="0" fontId="4" numFmtId="0" xfId="0" applyAlignment="1" applyFont="1">
      <alignment horizontal="center" shrinkToFit="0" vertical="center" wrapText="0"/>
    </xf>
    <xf borderId="1" fillId="2" fontId="14" numFmtId="0" xfId="0" applyAlignment="1" applyBorder="1" applyFont="1">
      <alignment horizontal="center" readingOrder="0" shrinkToFit="0" vertical="center" wrapText="0"/>
    </xf>
    <xf borderId="2" fillId="5" fontId="14" numFmtId="0" xfId="0" applyAlignment="1" applyBorder="1" applyFill="1" applyFont="1">
      <alignment horizontal="center" readingOrder="0" shrinkToFit="0" vertical="center" wrapText="0"/>
    </xf>
    <xf borderId="2" fillId="2" fontId="14" numFmtId="0" xfId="0" applyAlignment="1" applyBorder="1" applyFont="1">
      <alignment horizontal="center" readingOrder="0" shrinkToFit="0" vertical="center" wrapText="0"/>
    </xf>
    <xf borderId="0" fillId="2" fontId="14" numFmtId="0" xfId="0" applyAlignment="1" applyFont="1">
      <alignment horizontal="center" readingOrder="0" shrinkToFit="0" vertical="center" wrapText="0"/>
    </xf>
    <xf borderId="1" fillId="2" fontId="14" numFmtId="0" xfId="0" applyAlignment="1" applyBorder="1" applyFont="1">
      <alignment horizontal="right" readingOrder="0" shrinkToFit="0" vertical="center" wrapText="0"/>
    </xf>
    <xf borderId="5" fillId="3" fontId="15" numFmtId="0" xfId="0" applyAlignment="1" applyBorder="1" applyFont="1">
      <alignment horizontal="center" readingOrder="0" shrinkToFit="0" vertical="center" wrapText="0"/>
    </xf>
    <xf borderId="7" fillId="6" fontId="15" numFmtId="0" xfId="0" applyAlignment="1" applyBorder="1" applyFill="1" applyFont="1">
      <alignment horizontal="center" readingOrder="0" shrinkToFit="0" vertical="center" wrapText="0"/>
    </xf>
    <xf borderId="7" fillId="3" fontId="15" numFmtId="0" xfId="0" applyAlignment="1" applyBorder="1" applyFont="1">
      <alignment horizontal="center" readingOrder="0" shrinkToFit="0" vertical="center" wrapText="0"/>
    </xf>
    <xf borderId="4" fillId="2" fontId="14" numFmtId="0" xfId="0" applyAlignment="1" applyBorder="1" applyFont="1">
      <alignment horizontal="right" readingOrder="0" shrinkToFit="0" vertical="center" wrapText="0"/>
    </xf>
    <xf borderId="2" fillId="4" fontId="16" numFmtId="0" xfId="0" applyAlignment="1" applyBorder="1" applyFont="1">
      <alignment horizontal="center" shrinkToFit="0" vertical="center" wrapText="0"/>
    </xf>
    <xf borderId="1" fillId="7" fontId="16" numFmtId="0" xfId="0" applyAlignment="1" applyBorder="1" applyFill="1" applyFont="1">
      <alignment horizontal="center" shrinkToFit="0" vertical="center" wrapText="0"/>
    </xf>
    <xf borderId="1" fillId="4" fontId="16" numFmtId="0" xfId="0" applyAlignment="1" applyBorder="1" applyFont="1">
      <alignment horizontal="center" shrinkToFit="0" vertical="center" wrapText="0"/>
    </xf>
    <xf borderId="4" fillId="2" fontId="17" numFmtId="0" xfId="0" applyAlignment="1" applyBorder="1" applyFont="1">
      <alignment shrinkToFit="0" vertical="center" wrapText="0"/>
    </xf>
    <xf borderId="0" fillId="2" fontId="17" numFmtId="0" xfId="0" applyAlignment="1" applyFont="1">
      <alignment shrinkToFit="0" vertical="center" wrapText="0"/>
    </xf>
    <xf borderId="0" fillId="2" fontId="4" numFmtId="0" xfId="0" applyAlignment="1" applyFont="1">
      <alignment horizontal="center" shrinkToFit="0" vertical="center" wrapText="0"/>
    </xf>
    <xf borderId="0" fillId="8" fontId="5" numFmtId="0" xfId="0" applyAlignment="1" applyFill="1" applyFont="1">
      <alignment horizontal="center" shrinkToFit="0" vertical="center" wrapText="0"/>
    </xf>
    <xf borderId="8" fillId="0" fontId="1" numFmtId="0" xfId="0" applyAlignment="1" applyBorder="1" applyFont="1">
      <alignment shrinkToFit="0" wrapText="1"/>
    </xf>
    <xf borderId="4" fillId="9" fontId="5" numFmtId="0" xfId="0" applyAlignment="1" applyBorder="1" applyFill="1" applyFont="1">
      <alignment horizontal="center" shrinkToFit="0" vertical="center" wrapText="0"/>
    </xf>
    <xf borderId="4" fillId="8" fontId="5" numFmtId="0" xfId="0" applyAlignment="1" applyBorder="1" applyFont="1">
      <alignment horizontal="center" shrinkToFit="0" vertical="center" wrapText="0"/>
    </xf>
    <xf borderId="7" fillId="2" fontId="18" numFmtId="0" xfId="0" applyAlignment="1" applyBorder="1" applyFont="1">
      <alignment readingOrder="0" shrinkToFit="0" vertical="center" wrapText="1"/>
    </xf>
    <xf borderId="5" fillId="4" fontId="19" numFmtId="0" xfId="0" applyAlignment="1" applyBorder="1" applyFont="1">
      <alignment horizontal="center" shrinkToFit="0" vertical="center" wrapText="1"/>
    </xf>
    <xf borderId="0" fillId="2" fontId="20" numFmtId="0" xfId="0" applyAlignment="1" applyFont="1">
      <alignment shrinkToFit="0" wrapText="1"/>
    </xf>
    <xf borderId="0" fillId="2" fontId="1" numFmtId="0" xfId="0" applyAlignment="1" applyFont="1">
      <alignment shrinkToFit="0" wrapText="1"/>
    </xf>
    <xf borderId="4" fillId="2" fontId="14" numFmtId="0" xfId="0" applyAlignment="1" applyBorder="1" applyFont="1">
      <alignment horizontal="right" readingOrder="0" shrinkToFit="0" vertical="center" wrapText="1"/>
    </xf>
    <xf borderId="1" fillId="2" fontId="14" numFmtId="0" xfId="0" applyAlignment="1" applyBorder="1" applyFont="1">
      <alignment horizontal="right" readingOrder="0" shrinkToFit="0" vertical="center" wrapText="1"/>
    </xf>
    <xf borderId="4" fillId="2" fontId="2" numFmtId="0" xfId="0" applyAlignment="1" applyBorder="1" applyFont="1">
      <alignment horizontal="right" readingOrder="0" shrinkToFit="0" vertical="center" wrapText="0"/>
    </xf>
    <xf borderId="0" fillId="3" fontId="12" numFmtId="0" xfId="0" applyAlignment="1" applyFont="1">
      <alignment horizontal="right" readingOrder="0" shrinkToFit="0" vertical="center" wrapText="0"/>
    </xf>
    <xf borderId="0" fillId="2" fontId="2" numFmtId="0" xfId="0" applyAlignment="1" applyFont="1">
      <alignment horizontal="left" readingOrder="0" shrinkToFit="0" vertical="center" wrapText="0"/>
    </xf>
    <xf borderId="0" fillId="0" fontId="7" numFmtId="0" xfId="0" applyAlignment="1" applyFont="1">
      <alignment shrinkToFit="0" wrapText="1"/>
    </xf>
    <xf borderId="4" fillId="2" fontId="21" numFmtId="0" xfId="0" applyAlignment="1" applyBorder="1" applyFont="1">
      <alignment shrinkToFit="0" wrapText="1"/>
    </xf>
    <xf borderId="0" fillId="2" fontId="21" numFmtId="0" xfId="0" applyAlignment="1" applyFont="1">
      <alignment shrinkToFit="0" wrapText="1"/>
    </xf>
    <xf borderId="0" fillId="2" fontId="17" numFmtId="0" xfId="0" applyAlignment="1" applyFont="1">
      <alignment horizontal="center" readingOrder="0" shrinkToFit="0" vertical="center" wrapText="1"/>
    </xf>
    <xf borderId="0" fillId="2" fontId="22" numFmtId="0" xfId="0" applyAlignment="1" applyFont="1">
      <alignment shrinkToFit="0" wrapText="1"/>
    </xf>
    <xf borderId="0" fillId="2" fontId="12" numFmtId="0" xfId="0" applyAlignment="1" applyFont="1">
      <alignment horizontal="right" readingOrder="0" shrinkToFit="0" vertical="center" wrapText="0"/>
    </xf>
    <xf borderId="2" fillId="2" fontId="2" numFmtId="0" xfId="0" applyAlignment="1" applyBorder="1" applyFont="1">
      <alignment horizontal="right" readingOrder="0" shrinkToFit="0" vertical="center" wrapText="1"/>
    </xf>
    <xf borderId="0" fillId="4" fontId="23" numFmtId="0" xfId="0" applyAlignment="1" applyFont="1">
      <alignment horizontal="center" shrinkToFit="0" vertical="center" wrapText="1"/>
    </xf>
    <xf borderId="4" fillId="2" fontId="14" numFmtId="0" xfId="0" applyAlignment="1" applyBorder="1" applyFont="1">
      <alignment horizontal="center" readingOrder="0" shrinkToFit="0" vertical="center" wrapText="0"/>
    </xf>
    <xf borderId="0" fillId="2" fontId="14" numFmtId="0" xfId="0" applyAlignment="1" applyFont="1">
      <alignment horizontal="center" readingOrder="0" shrinkToFit="0" vertical="center" wrapText="0"/>
    </xf>
    <xf borderId="4" fillId="2" fontId="4" numFmtId="0" xfId="0" applyAlignment="1" applyBorder="1" applyFont="1">
      <alignment horizontal="center" shrinkToFit="0" vertical="center" wrapText="0"/>
    </xf>
    <xf borderId="1" fillId="2" fontId="2" numFmtId="0" xfId="0" applyAlignment="1" applyBorder="1" applyFont="1">
      <alignment horizontal="right" readingOrder="0" shrinkToFit="0" vertical="top" wrapText="1"/>
    </xf>
    <xf borderId="2" fillId="3" fontId="3" numFmtId="0" xfId="0" applyAlignment="1" applyBorder="1" applyFont="1">
      <alignment horizontal="left" readingOrder="0" shrinkToFit="0" vertical="center" wrapText="0"/>
    </xf>
    <xf borderId="4" fillId="0" fontId="24"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4" fillId="4" fontId="16" numFmtId="0" xfId="0" applyAlignment="1" applyBorder="1" applyFont="1">
      <alignment horizontal="center" readingOrder="0" shrinkToFit="0" vertical="center" wrapText="0"/>
    </xf>
    <xf borderId="4" fillId="4" fontId="16" numFmtId="0" xfId="0" applyAlignment="1" applyBorder="1" applyFont="1">
      <alignment horizontal="center" shrinkToFit="0" vertical="center" wrapText="0"/>
    </xf>
    <xf borderId="4" fillId="4" fontId="16" numFmtId="1" xfId="0" applyAlignment="1" applyBorder="1" applyFont="1" applyNumberFormat="1">
      <alignment horizontal="center" shrinkToFit="0" vertical="center" wrapText="0"/>
    </xf>
    <xf borderId="4" fillId="4" fontId="16" numFmtId="0" xfId="0" applyAlignment="1" applyBorder="1" applyFont="1">
      <alignment horizontal="center" shrinkToFit="0" vertical="center" wrapText="1"/>
    </xf>
    <xf borderId="2" fillId="6" fontId="6" numFmtId="0" xfId="0" applyAlignment="1" applyBorder="1" applyFont="1">
      <alignment horizontal="left" readingOrder="0" shrinkToFit="0" vertical="center" wrapText="0"/>
    </xf>
    <xf borderId="4" fillId="2" fontId="1" numFmtId="0" xfId="0" applyAlignment="1" applyBorder="1" applyFont="1">
      <alignment shrinkToFit="0" wrapText="1"/>
    </xf>
    <xf borderId="0" fillId="2" fontId="17" numFmtId="0" xfId="0" applyAlignment="1" applyFont="1">
      <alignment horizontal="left" readingOrder="0" shrinkToFit="0" vertical="center" wrapText="1"/>
    </xf>
    <xf borderId="0" fillId="2" fontId="17" numFmtId="0" xfId="0" applyAlignment="1" applyFont="1">
      <alignment horizontal="center" readingOrder="0" shrinkToFit="0" vertical="center" wrapText="1"/>
    </xf>
    <xf borderId="0" fillId="2" fontId="25" numFmtId="0" xfId="0" applyAlignment="1" applyFont="1">
      <alignment horizontal="center" readingOrder="0" shrinkToFit="0" vertical="center" wrapText="1"/>
    </xf>
    <xf borderId="2" fillId="3" fontId="6" numFmtId="0" xfId="0" applyAlignment="1" applyBorder="1" applyFont="1">
      <alignment horizontal="left" readingOrder="0" shrinkToFit="0" vertical="center" wrapText="0"/>
    </xf>
    <xf borderId="2" fillId="2" fontId="26"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2" fontId="27" numFmtId="0" xfId="0" applyAlignment="1" applyFont="1">
      <alignment horizontal="center" readingOrder="0" shrinkToFit="0" vertical="center" wrapText="0"/>
    </xf>
    <xf borderId="0" fillId="3" fontId="28" numFmtId="0" xfId="0" applyAlignment="1" applyFont="1">
      <alignment horizontal="center" readingOrder="0" shrinkToFit="0" vertical="center" wrapText="1"/>
    </xf>
    <xf borderId="4" fillId="3" fontId="28" numFmtId="0" xfId="0" applyAlignment="1" applyBorder="1" applyFont="1">
      <alignment horizontal="center" readingOrder="0" shrinkToFit="0" vertical="center" wrapText="1"/>
    </xf>
    <xf borderId="0" fillId="0" fontId="4" numFmtId="0" xfId="0" applyAlignment="1" applyFont="1">
      <alignment readingOrder="0" shrinkToFit="0" vertical="center" wrapText="0"/>
    </xf>
    <xf borderId="0" fillId="3" fontId="4" numFmtId="0" xfId="0" applyAlignment="1" applyFont="1">
      <alignment readingOrder="0" shrinkToFit="0" vertical="center" wrapText="0"/>
    </xf>
    <xf borderId="1" fillId="6" fontId="29" numFmtId="0" xfId="0" applyAlignment="1" applyBorder="1" applyFont="1">
      <alignment horizontal="center" readingOrder="0" shrinkToFit="0" vertical="center" wrapText="1"/>
    </xf>
    <xf borderId="0" fillId="2" fontId="30" numFmtId="0" xfId="0" applyAlignment="1" applyFont="1">
      <alignment horizontal="right" readingOrder="0" shrinkToFit="0" vertical="center" wrapText="0"/>
    </xf>
    <xf borderId="0" fillId="2" fontId="2" numFmtId="0" xfId="0" applyAlignment="1" applyFont="1">
      <alignment horizontal="right" readingOrder="0" shrinkToFit="0" vertical="center" wrapText="0"/>
    </xf>
    <xf borderId="0" fillId="2" fontId="31" numFmtId="0" xfId="0" applyAlignment="1" applyFont="1">
      <alignment horizontal="right" readingOrder="0" shrinkToFit="0" vertical="center" wrapText="0"/>
    </xf>
    <xf borderId="0" fillId="0" fontId="1" numFmtId="0" xfId="0" applyAlignment="1" applyFont="1">
      <alignment readingOrder="0" shrinkToFit="0" wrapText="1"/>
    </xf>
    <xf borderId="0" fillId="0" fontId="21" numFmtId="0" xfId="0" applyAlignment="1" applyFont="1">
      <alignment readingOrder="0" shrinkToFit="0" wrapText="1"/>
    </xf>
    <xf borderId="0" fillId="3" fontId="1" numFmtId="0" xfId="0" applyAlignment="1" applyFont="1">
      <alignment readingOrder="0" shrinkToFit="0" wrapText="1"/>
    </xf>
    <xf borderId="0" fillId="3" fontId="21" numFmtId="0" xfId="0" applyAlignment="1" applyFont="1">
      <alignment readingOrder="0" shrinkToFit="0" wrapText="1"/>
    </xf>
    <xf borderId="1" fillId="2" fontId="14" numFmtId="0" xfId="0" applyAlignment="1" applyBorder="1" applyFont="1">
      <alignment horizontal="center" readingOrder="0" shrinkToFit="0" vertical="center" wrapText="0"/>
    </xf>
    <xf borderId="2" fillId="0" fontId="28"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2" fillId="4" fontId="32" numFmtId="0" xfId="0" applyAlignment="1" applyBorder="1" applyFont="1">
      <alignment horizontal="center" shrinkToFit="0" vertical="center" wrapText="1"/>
    </xf>
    <xf borderId="1" fillId="6" fontId="28" numFmtId="0" xfId="0" applyAlignment="1" applyBorder="1" applyFont="1">
      <alignment horizontal="center" readingOrder="0" shrinkToFit="0" vertical="center" wrapText="1"/>
    </xf>
    <xf borderId="2" fillId="6" fontId="28" numFmtId="0" xfId="0" applyAlignment="1" applyBorder="1" applyFont="1">
      <alignment horizontal="center" shrinkToFit="0" vertical="center" wrapText="1"/>
    </xf>
    <xf borderId="1" fillId="4" fontId="32" numFmtId="0" xfId="0" applyAlignment="1" applyBorder="1" applyFont="1">
      <alignment horizontal="center" shrinkToFit="0" vertical="center" wrapText="1"/>
    </xf>
    <xf borderId="1" fillId="0" fontId="29" numFmtId="0" xfId="0" applyAlignment="1" applyBorder="1" applyFont="1">
      <alignment horizontal="center" readingOrder="0" shrinkToFit="0" vertical="center" wrapText="1"/>
    </xf>
    <xf borderId="0" fillId="2" fontId="27" numFmtId="0" xfId="0" applyAlignment="1" applyFont="1">
      <alignment horizontal="center" readingOrder="0" shrinkToFit="0" vertical="center" wrapText="0"/>
    </xf>
    <xf borderId="0" fillId="3" fontId="33" numFmtId="0" xfId="0" applyAlignment="1" applyFont="1">
      <alignment horizontal="center" readingOrder="0" shrinkToFit="0" vertical="center" wrapText="0"/>
    </xf>
    <xf borderId="4" fillId="3" fontId="34" numFmtId="0" xfId="0" applyAlignment="1" applyBorder="1" applyFont="1">
      <alignment horizontal="center" readingOrder="0" shrinkToFit="0" vertical="center" wrapText="0"/>
    </xf>
    <xf borderId="0" fillId="3" fontId="13" numFmtId="0" xfId="0" applyAlignment="1" applyFont="1">
      <alignment horizontal="center" readingOrder="0" shrinkToFit="0" vertical="center" wrapText="0"/>
    </xf>
    <xf borderId="4" fillId="2" fontId="14" numFmtId="0" xfId="0" applyAlignment="1" applyBorder="1" applyFont="1">
      <alignment horizontal="center" readingOrder="0" shrinkToFit="0" vertical="center" wrapText="0"/>
    </xf>
    <xf borderId="0" fillId="2" fontId="35" numFmtId="0" xfId="0" applyAlignment="1" applyFont="1">
      <alignment horizontal="center" readingOrder="0" shrinkToFit="0" vertical="center" wrapText="0"/>
    </xf>
    <xf borderId="2" fillId="2" fontId="36" numFmtId="0" xfId="0" applyAlignment="1" applyBorder="1" applyFont="1">
      <alignment horizontal="center" readingOrder="0" shrinkToFit="0" vertical="center" wrapText="1"/>
    </xf>
    <xf borderId="2" fillId="0" fontId="28" numFmtId="0" xfId="0" applyAlignment="1" applyBorder="1" applyFont="1">
      <alignment horizontal="center" shrinkToFit="0" vertical="center" wrapText="1"/>
    </xf>
    <xf borderId="2" fillId="2" fontId="37" numFmtId="0" xfId="0" applyAlignment="1" applyBorder="1" applyFont="1">
      <alignment horizontal="center" shrinkToFit="0" vertical="center" wrapText="1"/>
    </xf>
    <xf borderId="2" fillId="6" fontId="29" numFmtId="0" xfId="0" applyAlignment="1" applyBorder="1" applyFont="1">
      <alignment horizontal="center" readingOrder="0" shrinkToFit="0" vertical="center" wrapText="1"/>
    </xf>
    <xf borderId="5" fillId="2" fontId="37" numFmtId="0" xfId="0" applyAlignment="1" applyBorder="1" applyFont="1">
      <alignment horizontal="center" readingOrder="0" shrinkToFit="0" vertical="center" wrapText="1"/>
    </xf>
    <xf borderId="5" fillId="2" fontId="38" numFmtId="0" xfId="0" applyAlignment="1" applyBorder="1" applyFont="1">
      <alignment horizontal="center" shrinkToFit="0" vertical="center" wrapText="1"/>
    </xf>
    <xf borderId="0" fillId="2" fontId="39" numFmtId="0" xfId="0" applyAlignment="1" applyFont="1">
      <alignment horizontal="center" readingOrder="0" shrinkToFit="0" vertical="center" wrapText="1"/>
    </xf>
    <xf borderId="2" fillId="4" fontId="40" numFmtId="0" xfId="0" applyAlignment="1" applyBorder="1" applyFont="1">
      <alignment horizontal="center" shrinkToFit="0" vertical="center" wrapText="1"/>
    </xf>
    <xf borderId="2"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1" fillId="3" fontId="6" numFmtId="0" xfId="0" applyAlignment="1" applyBorder="1" applyFont="1">
      <alignment horizontal="center" readingOrder="0" shrinkToFit="0" vertical="center" wrapText="0"/>
    </xf>
    <xf borderId="1" fillId="0" fontId="41"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0"/>
    </xf>
    <xf borderId="0" fillId="3" fontId="42" numFmtId="0" xfId="0" applyAlignment="1" applyFont="1">
      <alignment shrinkToFit="0" wrapText="1"/>
    </xf>
    <xf borderId="0" fillId="3" fontId="43" numFmtId="0" xfId="0" applyAlignment="1" applyFont="1">
      <alignment horizontal="left" shrinkToFit="0" wrapText="1"/>
    </xf>
    <xf borderId="0" fillId="4" fontId="44" numFmtId="0" xfId="0" applyAlignment="1" applyFont="1">
      <alignment shrinkToFit="0" wrapText="1"/>
    </xf>
    <xf borderId="0" fillId="0" fontId="4" numFmtId="0" xfId="0" applyAlignment="1" applyFont="1">
      <alignment readingOrder="0" shrinkToFit="0" vertical="center" wrapText="0"/>
    </xf>
    <xf borderId="0" fillId="3" fontId="34" numFmtId="0" xfId="0" applyAlignment="1" applyFont="1">
      <alignment horizontal="center" readingOrder="0" shrinkToFit="0" vertical="center" wrapText="1"/>
    </xf>
    <xf borderId="0" fillId="4" fontId="45" numFmtId="0" xfId="0" applyAlignment="1" applyFont="1">
      <alignment shrinkToFit="0" wrapText="1"/>
    </xf>
    <xf borderId="5" fillId="0" fontId="28" numFmtId="0" xfId="0" applyAlignment="1" applyBorder="1" applyFont="1">
      <alignment readingOrder="0" shrinkToFit="0" wrapText="1"/>
    </xf>
    <xf borderId="1" fillId="4" fontId="1" numFmtId="0" xfId="0" applyAlignment="1" applyBorder="1" applyFont="1">
      <alignment horizontal="left" shrinkToFit="0" vertical="bottom" wrapText="1"/>
    </xf>
    <xf borderId="0" fillId="0" fontId="28" numFmtId="0" xfId="0" applyAlignment="1" applyFont="1">
      <alignment readingOrder="0" shrinkToFit="0" wrapText="1"/>
    </xf>
    <xf borderId="2" fillId="2" fontId="39" numFmtId="0" xfId="0" applyAlignment="1" applyBorder="1" applyFont="1">
      <alignment horizontal="center" readingOrder="0" shrinkToFit="0" vertical="center" wrapText="0"/>
    </xf>
    <xf borderId="2" fillId="2" fontId="27" numFmtId="0" xfId="0" applyAlignment="1" applyBorder="1" applyFont="1">
      <alignment horizontal="center" readingOrder="0" shrinkToFit="0" vertical="center" wrapText="1"/>
    </xf>
    <xf borderId="2" fillId="2" fontId="30" numFmtId="0" xfId="0" applyAlignment="1" applyBorder="1" applyFont="1">
      <alignment horizontal="center" readingOrder="0" shrinkToFit="0" vertical="center" wrapText="0"/>
    </xf>
    <xf borderId="0" fillId="2" fontId="39" numFmtId="0" xfId="0" applyAlignment="1" applyFont="1">
      <alignment horizontal="center" readingOrder="0" shrinkToFit="0" vertical="center" wrapText="0"/>
    </xf>
    <xf borderId="2" fillId="2" fontId="39" numFmtId="0" xfId="0" applyAlignment="1" applyBorder="1" applyFont="1">
      <alignment horizontal="center" readingOrder="0" shrinkToFit="0" vertical="center" wrapText="1"/>
    </xf>
    <xf borderId="0" fillId="2" fontId="46" numFmtId="0" xfId="0" applyAlignment="1" applyFont="1">
      <alignment horizontal="center" readingOrder="0" shrinkToFit="0" vertical="center" wrapText="1"/>
    </xf>
    <xf borderId="2" fillId="4" fontId="47" numFmtId="0" xfId="0" applyAlignment="1" applyBorder="1" applyFont="1">
      <alignment shrinkToFit="0" vertical="center" wrapText="0"/>
    </xf>
    <xf borderId="0" fillId="2" fontId="27" numFmtId="0" xfId="0" applyAlignment="1" applyFont="1">
      <alignment horizontal="center" readingOrder="0" shrinkToFit="0" vertical="center" wrapText="1"/>
    </xf>
    <xf borderId="0" fillId="2" fontId="30" numFmtId="0" xfId="0" applyAlignment="1" applyFont="1">
      <alignment horizontal="center" readingOrder="0" shrinkToFit="0" vertical="center" wrapText="0"/>
    </xf>
    <xf borderId="0" fillId="2" fontId="39" numFmtId="0" xfId="0" applyAlignment="1" applyFont="1">
      <alignment horizontal="center" readingOrder="0" shrinkToFit="0" vertical="center" wrapText="1"/>
    </xf>
    <xf borderId="0" fillId="2" fontId="27" numFmtId="0" xfId="0" applyAlignment="1" applyFont="1">
      <alignment horizontal="center" readingOrder="0" shrinkToFit="0" vertical="center" wrapText="1"/>
    </xf>
    <xf borderId="0" fillId="4" fontId="48" numFmtId="0" xfId="0" applyAlignment="1" applyFont="1">
      <alignment shrinkToFit="0" vertical="center" wrapText="0"/>
    </xf>
    <xf borderId="5" fillId="0" fontId="25" numFmtId="0" xfId="0" applyAlignment="1" applyBorder="1" applyFont="1">
      <alignment horizontal="left" readingOrder="0" shrinkToFit="0" vertical="center" wrapText="0"/>
    </xf>
    <xf borderId="7" fillId="0" fontId="49" numFmtId="0" xfId="0" applyAlignment="1" applyBorder="1" applyFont="1">
      <alignment horizontal="center" readingOrder="0" shrinkToFit="0" vertical="center" wrapText="0"/>
    </xf>
    <xf borderId="7" fillId="0" fontId="25" numFmtId="0" xfId="0" applyAlignment="1" applyBorder="1" applyFont="1">
      <alignment horizontal="center" readingOrder="0" shrinkToFit="0" vertical="center" wrapText="0"/>
    </xf>
    <xf borderId="7" fillId="0" fontId="0" numFmtId="0" xfId="0" applyAlignment="1" applyBorder="1" applyFont="1">
      <alignment horizontal="center" readingOrder="0" shrinkToFit="0" vertical="center" wrapText="0"/>
    </xf>
    <xf borderId="7" fillId="0" fontId="25" numFmtId="0" xfId="0" applyAlignment="1" applyBorder="1" applyFont="1">
      <alignment horizontal="center" readingOrder="0" shrinkToFit="0" vertical="center" wrapText="0"/>
    </xf>
    <xf borderId="7" fillId="4" fontId="50" numFmtId="0" xfId="0" applyAlignment="1" applyBorder="1" applyFont="1">
      <alignment horizontal="center" shrinkToFit="0" vertical="center" wrapText="0"/>
    </xf>
    <xf borderId="5" fillId="4" fontId="51" numFmtId="0" xfId="0" applyAlignment="1" applyBorder="1" applyFont="1">
      <alignment horizontal="left" shrinkToFit="0" vertical="center" wrapText="1"/>
    </xf>
    <xf borderId="5" fillId="0" fontId="25" numFmtId="0" xfId="0" applyAlignment="1" applyBorder="1" applyFont="1">
      <alignment horizontal="center" readingOrder="0" shrinkToFit="0" vertical="center" wrapText="0"/>
    </xf>
    <xf borderId="7" fillId="0" fontId="25" numFmtId="0" xfId="0" applyAlignment="1" applyBorder="1" applyFont="1">
      <alignment horizontal="center" shrinkToFit="0" vertical="center" wrapText="0"/>
    </xf>
    <xf borderId="5" fillId="3" fontId="0" numFmtId="0" xfId="0" applyAlignment="1" applyBorder="1" applyFont="1">
      <alignment horizontal="left" readingOrder="0" shrinkToFit="0" vertical="center" wrapText="0"/>
    </xf>
    <xf borderId="5" fillId="3" fontId="1" numFmtId="0" xfId="0" applyAlignment="1" applyBorder="1" applyFont="1">
      <alignment shrinkToFit="0" wrapText="1"/>
    </xf>
    <xf borderId="6" fillId="3" fontId="1" numFmtId="0" xfId="0" applyAlignment="1" applyBorder="1" applyFont="1">
      <alignment shrinkToFit="0" wrapText="1"/>
    </xf>
    <xf borderId="7" fillId="3" fontId="49" numFmtId="0" xfId="0" applyAlignment="1" applyBorder="1" applyFont="1">
      <alignment horizontal="center" readingOrder="0" shrinkToFit="0" vertical="center" wrapText="0"/>
    </xf>
    <xf borderId="7" fillId="3" fontId="0" numFmtId="0" xfId="0" applyAlignment="1" applyBorder="1" applyFont="1">
      <alignment horizontal="center" readingOrder="0" shrinkToFit="0" vertical="center" wrapText="0"/>
    </xf>
    <xf borderId="7" fillId="3" fontId="25" numFmtId="0" xfId="0" applyAlignment="1" applyBorder="1" applyFont="1">
      <alignment horizontal="center" readingOrder="0" shrinkToFit="0" vertical="center" wrapText="0"/>
    </xf>
    <xf borderId="7" fillId="3" fontId="25" numFmtId="0" xfId="0" applyAlignment="1" applyBorder="1" applyFont="1">
      <alignment horizontal="center" readingOrder="0" shrinkToFit="0" vertical="center" wrapText="0"/>
    </xf>
    <xf borderId="0" fillId="4" fontId="50" numFmtId="0" xfId="0" applyAlignment="1" applyFont="1">
      <alignment horizontal="center" readingOrder="0" shrinkToFit="0" vertical="center" wrapText="0"/>
    </xf>
    <xf borderId="5" fillId="0" fontId="25" numFmtId="0" xfId="0" applyAlignment="1" applyBorder="1" applyFont="1">
      <alignment horizontal="left" readingOrder="0" shrinkToFit="0" vertical="center" wrapText="0"/>
    </xf>
    <xf borderId="10" fillId="0" fontId="25" numFmtId="0" xfId="0" applyAlignment="1" applyBorder="1" applyFont="1">
      <alignment horizontal="center" readingOrder="0" shrinkToFit="0" vertical="center" wrapText="0"/>
    </xf>
    <xf borderId="11" fillId="0" fontId="1" numFmtId="0" xfId="0" applyAlignment="1" applyBorder="1" applyFont="1">
      <alignment shrinkToFit="0" wrapText="1"/>
    </xf>
    <xf borderId="10" fillId="0" fontId="0" numFmtId="0" xfId="0" applyAlignment="1" applyBorder="1" applyFont="1">
      <alignment horizontal="center" readingOrder="0" shrinkToFit="0" vertical="center" wrapText="0"/>
    </xf>
    <xf borderId="10" fillId="0" fontId="25" numFmtId="0" xfId="0" applyAlignment="1" applyBorder="1" applyFont="1">
      <alignment horizontal="center" readingOrder="0" shrinkToFit="0" vertical="center" wrapText="0"/>
    </xf>
    <xf borderId="10" fillId="0" fontId="25" numFmtId="0" xfId="0" applyAlignment="1" applyBorder="1" applyFont="1">
      <alignment horizontal="center" shrinkToFit="0" vertical="center" wrapText="0"/>
    </xf>
    <xf borderId="9" fillId="6" fontId="0" numFmtId="0" xfId="0" applyAlignment="1" applyBorder="1" applyFont="1">
      <alignment horizontal="left" readingOrder="0" shrinkToFit="0" vertical="center" wrapText="0"/>
    </xf>
    <xf borderId="9" fillId="6" fontId="1" numFmtId="0" xfId="0" applyAlignment="1" applyBorder="1" applyFont="1">
      <alignment shrinkToFit="0" wrapText="1"/>
    </xf>
    <xf borderId="7" fillId="6" fontId="49" numFmtId="0" xfId="0" applyAlignment="1" applyBorder="1" applyFont="1">
      <alignment horizontal="center" readingOrder="0" shrinkToFit="0" vertical="center" wrapText="0"/>
    </xf>
    <xf borderId="5" fillId="6" fontId="1" numFmtId="0" xfId="0" applyAlignment="1" applyBorder="1" applyFont="1">
      <alignment shrinkToFit="0" wrapText="1"/>
    </xf>
    <xf borderId="10" fillId="6" fontId="25" numFmtId="0" xfId="0" applyAlignment="1" applyBorder="1" applyFont="1">
      <alignment horizontal="center" readingOrder="0" shrinkToFit="0" vertical="center" wrapText="0"/>
    </xf>
    <xf borderId="11" fillId="6" fontId="1" numFmtId="0" xfId="0" applyAlignment="1" applyBorder="1" applyFont="1">
      <alignment shrinkToFit="0" wrapText="1"/>
    </xf>
    <xf borderId="10" fillId="6" fontId="0" numFmtId="0" xfId="0" applyAlignment="1" applyBorder="1" applyFont="1">
      <alignment horizontal="center" readingOrder="0" shrinkToFit="0" vertical="center" wrapText="0"/>
    </xf>
    <xf borderId="10" fillId="6" fontId="25" numFmtId="0" xfId="0" applyAlignment="1" applyBorder="1" applyFont="1">
      <alignment horizontal="center" readingOrder="0" shrinkToFit="0" vertical="center" wrapText="0"/>
    </xf>
    <xf borderId="6" fillId="6" fontId="1" numFmtId="0" xfId="0" applyAlignment="1" applyBorder="1" applyFont="1">
      <alignment shrinkToFit="0" wrapText="1"/>
    </xf>
    <xf borderId="10" fillId="6" fontId="25" numFmtId="0" xfId="0" applyAlignment="1" applyBorder="1" applyFont="1">
      <alignment horizontal="center" shrinkToFit="0" vertical="center" wrapText="0"/>
    </xf>
    <xf borderId="9" fillId="0" fontId="25" numFmtId="0" xfId="0" applyAlignment="1" applyBorder="1" applyFont="1">
      <alignment horizontal="left" readingOrder="0" shrinkToFit="0" vertical="center" wrapText="0"/>
    </xf>
    <xf borderId="10" fillId="4" fontId="50" numFmtId="0" xfId="0" applyAlignment="1" applyBorder="1" applyFont="1">
      <alignment horizontal="center" shrinkToFit="0" vertical="center" wrapText="0"/>
    </xf>
    <xf borderId="9" fillId="4" fontId="51" numFmtId="0" xfId="0" applyAlignment="1" applyBorder="1" applyFont="1">
      <alignment horizontal="left" shrinkToFit="0" vertical="center" wrapText="1"/>
    </xf>
    <xf borderId="9" fillId="3" fontId="25" numFmtId="0" xfId="0" applyAlignment="1" applyBorder="1" applyFont="1">
      <alignment horizontal="left" readingOrder="0" shrinkToFit="0" vertical="center" wrapText="0"/>
    </xf>
    <xf borderId="9" fillId="3" fontId="1" numFmtId="0" xfId="0" applyAlignment="1" applyBorder="1" applyFont="1">
      <alignment shrinkToFit="0" wrapText="1"/>
    </xf>
    <xf borderId="10" fillId="3" fontId="25" numFmtId="0" xfId="0" applyAlignment="1" applyBorder="1" applyFont="1">
      <alignment horizontal="center" readingOrder="0" shrinkToFit="0" vertical="center" wrapText="0"/>
    </xf>
    <xf borderId="11" fillId="3" fontId="1" numFmtId="0" xfId="0" applyAlignment="1" applyBorder="1" applyFont="1">
      <alignment shrinkToFit="0" wrapText="1"/>
    </xf>
    <xf borderId="10" fillId="3" fontId="0" numFmtId="0" xfId="0" applyAlignment="1" applyBorder="1" applyFont="1">
      <alignment horizontal="center" readingOrder="0" shrinkToFit="0" vertical="center" wrapText="0"/>
    </xf>
    <xf borderId="10" fillId="3" fontId="25" numFmtId="0" xfId="0" applyAlignment="1" applyBorder="1" applyFont="1">
      <alignment horizontal="center" readingOrder="0" shrinkToFit="0" vertical="center" wrapText="0"/>
    </xf>
    <xf borderId="7" fillId="4" fontId="52" numFmtId="0" xfId="0" applyAlignment="1" applyBorder="1" applyFont="1">
      <alignment shrinkToFit="0" wrapText="1"/>
    </xf>
    <xf borderId="10" fillId="3" fontId="25" numFmtId="0" xfId="0" applyAlignment="1" applyBorder="1" applyFont="1">
      <alignment horizontal="center" shrinkToFit="0" vertical="center" wrapText="0"/>
    </xf>
    <xf borderId="9" fillId="6" fontId="25" numFmtId="0" xfId="0" applyAlignment="1" applyBorder="1" applyFont="1">
      <alignment horizontal="left" readingOrder="0" shrinkToFit="0" vertical="center" wrapText="0"/>
    </xf>
    <xf borderId="9" fillId="0" fontId="25" numFmtId="0" xfId="0" applyAlignment="1" applyBorder="1" applyFont="1">
      <alignment horizontal="left" readingOrder="0" shrinkToFit="0" vertical="center" wrapText="0"/>
    </xf>
    <xf borderId="1" fillId="0" fontId="25" numFmtId="0" xfId="0" applyAlignment="1" applyBorder="1" applyFont="1">
      <alignment horizontal="center" shrinkToFit="0" vertical="center" wrapText="0"/>
    </xf>
    <xf borderId="9" fillId="0" fontId="25" numFmtId="0" xfId="0" applyAlignment="1" applyBorder="1" applyFont="1">
      <alignment horizontal="center" shrinkToFit="0" vertical="center" wrapText="0"/>
    </xf>
    <xf borderId="8" fillId="4" fontId="4" numFmtId="0" xfId="0" applyAlignment="1" applyBorder="1" applyFont="1">
      <alignment shrinkToFit="0" vertical="center" wrapText="0"/>
    </xf>
    <xf borderId="0" fillId="0" fontId="25" numFmtId="0" xfId="0" applyAlignment="1" applyFont="1">
      <alignment readingOrder="0" shrinkToFit="0" vertical="center" wrapText="0"/>
    </xf>
    <xf borderId="4" fillId="4" fontId="50" numFmtId="0" xfId="0" applyAlignment="1" applyBorder="1" applyFont="1">
      <alignment horizontal="center" readingOrder="0" shrinkToFit="0" vertical="center" wrapText="0"/>
    </xf>
    <xf borderId="0" fillId="4" fontId="45" numFmtId="0" xfId="0" applyAlignment="1" applyFont="1">
      <alignment readingOrder="0" shrinkToFit="0" wrapText="1"/>
    </xf>
    <xf borderId="2" fillId="2" fontId="39" numFmtId="0" xfId="0" applyAlignment="1" applyBorder="1" applyFont="1">
      <alignment horizontal="center" readingOrder="0" shrinkToFit="0" vertical="center" wrapText="1"/>
    </xf>
    <xf borderId="2" fillId="2" fontId="46" numFmtId="0" xfId="0" applyAlignment="1" applyBorder="1" applyFont="1">
      <alignment horizontal="center" readingOrder="0" shrinkToFit="0" vertical="center" wrapText="1"/>
    </xf>
    <xf borderId="9" fillId="0" fontId="0" numFmtId="0" xfId="0" applyAlignment="1" applyBorder="1" applyFont="1">
      <alignment horizontal="left" readingOrder="0" shrinkToFit="0" vertical="center" wrapText="0"/>
    </xf>
    <xf borderId="7" fillId="3" fontId="25" numFmtId="0" xfId="0" applyAlignment="1" applyBorder="1" applyFont="1">
      <alignment horizontal="center" shrinkToFit="0" vertical="center" wrapText="0"/>
    </xf>
    <xf borderId="10" fillId="6" fontId="49" numFmtId="0" xfId="0" applyAlignment="1" applyBorder="1" applyFont="1">
      <alignment horizontal="center" readingOrder="0" shrinkToFit="0" vertical="center" wrapText="0"/>
    </xf>
    <xf borderId="10" fillId="3" fontId="49" numFmtId="0" xfId="0" applyAlignment="1" applyBorder="1" applyFont="1">
      <alignment horizontal="center" readingOrder="0" shrinkToFit="0" vertical="center" wrapText="0"/>
    </xf>
    <xf borderId="10" fillId="4" fontId="52" numFmtId="0" xfId="0" applyAlignment="1" applyBorder="1" applyFont="1">
      <alignment shrinkToFit="0" wrapText="1"/>
    </xf>
    <xf borderId="9" fillId="3" fontId="0" numFmtId="0" xfId="0" applyAlignment="1" applyBorder="1" applyFont="1">
      <alignment horizontal="left" readingOrder="0" shrinkToFit="0" vertical="center" wrapText="0"/>
    </xf>
    <xf borderId="10" fillId="6" fontId="53" numFmtId="0" xfId="0" applyAlignment="1" applyBorder="1" applyFont="1">
      <alignment horizontal="center" readingOrder="0" shrinkToFit="0" vertical="center" wrapText="0"/>
    </xf>
    <xf borderId="9" fillId="10" fontId="0" numFmtId="0" xfId="0" applyAlignment="1" applyBorder="1" applyFill="1" applyFont="1">
      <alignment horizontal="left" readingOrder="0" shrinkToFit="0" vertical="center" wrapText="0"/>
    </xf>
    <xf borderId="10" fillId="3" fontId="53" numFmtId="0" xfId="0" applyAlignment="1" applyBorder="1" applyFont="1">
      <alignment horizontal="center" readingOrder="0" shrinkToFit="0" vertical="center" wrapText="0"/>
    </xf>
    <xf borderId="2" fillId="0" fontId="25" numFmtId="0" xfId="0" applyAlignment="1" applyBorder="1" applyFont="1">
      <alignment horizontal="left" readingOrder="0" shrinkToFit="0" vertical="center" wrapText="0"/>
    </xf>
    <xf borderId="4" fillId="0" fontId="49" numFmtId="0" xfId="0" applyAlignment="1" applyBorder="1" applyFont="1">
      <alignment horizontal="center" readingOrder="0" shrinkToFit="0" vertical="center" wrapText="0"/>
    </xf>
    <xf borderId="1" fillId="0" fontId="0" numFmtId="0" xfId="0" applyAlignment="1" applyBorder="1" applyFont="1">
      <alignment horizontal="center" readingOrder="0" shrinkToFit="0" vertical="center" wrapText="0"/>
    </xf>
    <xf borderId="1" fillId="0" fontId="25" numFmtId="0" xfId="0" applyAlignment="1" applyBorder="1" applyFont="1">
      <alignment horizontal="center" readingOrder="0" shrinkToFit="0" vertical="center" wrapText="0"/>
    </xf>
    <xf borderId="1" fillId="4" fontId="50" numFmtId="0" xfId="0" applyAlignment="1" applyBorder="1" applyFont="1">
      <alignment horizontal="center" shrinkToFit="0" vertical="center" wrapText="0"/>
    </xf>
    <xf borderId="2" fillId="4" fontId="51" numFmtId="0" xfId="0" applyAlignment="1" applyBorder="1" applyFont="1">
      <alignment horizontal="left" shrinkToFit="0" vertical="center" wrapText="1"/>
    </xf>
    <xf borderId="1" fillId="0" fontId="49" numFmtId="0" xfId="0" applyAlignment="1" applyBorder="1" applyFont="1">
      <alignment horizontal="center" readingOrder="0" shrinkToFit="0" vertical="center" wrapText="0"/>
    </xf>
    <xf borderId="2" fillId="0" fontId="0" numFmtId="0" xfId="0" applyAlignment="1" applyBorder="1" applyFont="1">
      <alignment horizontal="center" readingOrder="0" shrinkToFit="0" vertical="center" wrapText="0"/>
    </xf>
    <xf borderId="2" fillId="4" fontId="50" numFmtId="0" xfId="0" applyAlignment="1" applyBorder="1" applyFont="1">
      <alignment horizontal="center" shrinkToFit="0" vertical="center" wrapText="0"/>
    </xf>
    <xf borderId="1" fillId="6" fontId="49" numFmtId="0" xfId="0" applyAlignment="1" applyBorder="1" applyFont="1">
      <alignment horizontal="center" readingOrder="0" shrinkToFit="0" vertical="center" wrapText="0"/>
    </xf>
    <xf borderId="2" fillId="6" fontId="1" numFmtId="0" xfId="0" applyAlignment="1" applyBorder="1" applyFont="1">
      <alignment shrinkToFit="0" wrapText="1"/>
    </xf>
    <xf borderId="3" fillId="6" fontId="1" numFmtId="0" xfId="0" applyAlignment="1" applyBorder="1" applyFont="1">
      <alignment shrinkToFit="0" wrapText="1"/>
    </xf>
    <xf borderId="1" fillId="6" fontId="25" numFmtId="0" xfId="0" applyAlignment="1" applyBorder="1" applyFont="1">
      <alignment horizontal="center" shrinkToFit="0" vertical="center" wrapText="0"/>
    </xf>
    <xf borderId="1" fillId="6" fontId="0" numFmtId="0" xfId="0" applyAlignment="1" applyBorder="1" applyFont="1">
      <alignment horizontal="center" readingOrder="0" shrinkToFit="0" vertical="center" wrapText="0"/>
    </xf>
    <xf borderId="1" fillId="6" fontId="25" numFmtId="0" xfId="0" applyAlignment="1" applyBorder="1" applyFont="1">
      <alignment horizontal="center" readingOrder="0" shrinkToFit="0" vertical="center" wrapText="0"/>
    </xf>
    <xf borderId="1" fillId="4" fontId="52" numFmtId="0" xfId="0" applyAlignment="1" applyBorder="1" applyFont="1">
      <alignment shrinkToFit="0" wrapText="1"/>
    </xf>
    <xf borderId="2" fillId="3" fontId="1" numFmtId="0" xfId="0" applyAlignment="1" applyBorder="1" applyFont="1">
      <alignment shrinkToFit="0" wrapText="1"/>
    </xf>
    <xf borderId="1" fillId="3" fontId="3" numFmtId="0" xfId="0" applyAlignment="1" applyBorder="1" applyFont="1">
      <alignment horizontal="center" readingOrder="0" shrinkToFit="0" vertical="center" wrapText="0"/>
    </xf>
    <xf borderId="3" fillId="3" fontId="1" numFmtId="0" xfId="0" applyAlignment="1" applyBorder="1" applyFont="1">
      <alignment shrinkToFit="0" wrapText="1"/>
    </xf>
    <xf borderId="2" fillId="3" fontId="0" numFmtId="0" xfId="0" applyAlignment="1" applyBorder="1" applyFont="1">
      <alignment horizontal="center" readingOrder="0" shrinkToFit="0" vertical="center" wrapText="0"/>
    </xf>
    <xf borderId="1" fillId="3" fontId="1" numFmtId="0" xfId="0" applyAlignment="1" applyBorder="1" applyFont="1">
      <alignment horizontal="center" readingOrder="0" shrinkToFit="0" vertical="center" wrapText="1"/>
    </xf>
    <xf borderId="0" fillId="4" fontId="54" numFmtId="0" xfId="0" applyAlignment="1" applyFont="1">
      <alignment horizontal="center" readingOrder="0" shrinkToFit="0" vertical="center" wrapText="0"/>
    </xf>
    <xf borderId="0" fillId="4" fontId="50" numFmtId="0" xfId="0" applyAlignment="1" applyFont="1">
      <alignment horizontal="left" readingOrder="0" shrinkToFit="0" vertical="center" wrapText="0"/>
    </xf>
    <xf borderId="7" fillId="6" fontId="1" numFmtId="0" xfId="0" applyAlignment="1" applyBorder="1" applyFont="1">
      <alignment shrinkToFit="0" wrapText="1"/>
    </xf>
    <xf borderId="2" fillId="3" fontId="4" numFmtId="0" xfId="0" applyAlignment="1" applyBorder="1" applyFont="1">
      <alignment readingOrder="0" shrinkToFit="0" vertical="center" wrapText="0"/>
    </xf>
    <xf borderId="2" fillId="3" fontId="55" numFmtId="0" xfId="0" applyAlignment="1" applyBorder="1" applyFont="1">
      <alignment readingOrder="0" shrinkToFit="0" vertical="center" wrapText="0"/>
    </xf>
    <xf borderId="2" fillId="3" fontId="4" numFmtId="0" xfId="0" applyAlignment="1" applyBorder="1" applyFont="1">
      <alignment readingOrder="0" shrinkToFit="0" vertical="center" wrapText="0"/>
    </xf>
    <xf borderId="0" fillId="3" fontId="4" numFmtId="0" xfId="0" applyAlignment="1" applyFont="1">
      <alignment horizontal="right" readingOrder="0" shrinkToFit="0" vertical="top" wrapText="0"/>
    </xf>
    <xf borderId="0" fillId="4" fontId="54" numFmtId="0" xfId="0" applyAlignment="1" applyFont="1">
      <alignment horizontal="left" readingOrder="0" shrinkToFit="0" vertical="center" wrapText="0"/>
    </xf>
    <xf borderId="0" fillId="3" fontId="1" numFmtId="0" xfId="0" applyAlignment="1" applyFont="1">
      <alignment shrinkToFit="0" wrapText="1"/>
    </xf>
    <xf borderId="2" fillId="3" fontId="56" numFmtId="0" xfId="0" applyAlignment="1" applyBorder="1" applyFont="1">
      <alignment horizontal="center" readingOrder="0" shrinkToFit="0" vertical="center" wrapText="0"/>
    </xf>
    <xf borderId="1" fillId="3" fontId="1" numFmtId="0" xfId="0" applyAlignment="1" applyBorder="1" applyFont="1">
      <alignment shrinkToFit="0" wrapText="1"/>
    </xf>
    <xf borderId="8" fillId="6" fontId="1" numFmtId="0" xfId="0" applyAlignment="1" applyBorder="1" applyFont="1">
      <alignment shrinkToFit="0" wrapText="1"/>
    </xf>
    <xf borderId="8" fillId="3" fontId="1" numFmtId="0" xfId="0" applyAlignment="1" applyBorder="1" applyFont="1">
      <alignment shrinkToFit="0" wrapText="1"/>
    </xf>
    <xf borderId="4" fillId="3" fontId="1" numFmtId="0" xfId="0" applyAlignment="1" applyBorder="1" applyFont="1">
      <alignment shrinkToFit="0" wrapText="1"/>
    </xf>
    <xf borderId="0" fillId="2" fontId="14" numFmtId="0" xfId="0" applyAlignment="1" applyFont="1">
      <alignment horizontal="center" readingOrder="0" shrinkToFit="0" vertical="center" wrapText="1"/>
    </xf>
    <xf borderId="0" fillId="2" fontId="39" numFmtId="0" xfId="0" applyAlignment="1" applyFont="1">
      <alignment horizontal="right" readingOrder="0" shrinkToFit="0" vertical="center" wrapText="0"/>
    </xf>
    <xf borderId="0" fillId="2" fontId="39" numFmtId="0" xfId="0" applyAlignment="1" applyFont="1">
      <alignment horizontal="right" shrinkToFit="0" vertical="center" wrapText="0"/>
    </xf>
    <xf borderId="0" fillId="2" fontId="57" numFmtId="0" xfId="0" applyAlignment="1" applyFont="1">
      <alignment horizontal="right" shrinkToFit="0" vertical="center" wrapText="1"/>
    </xf>
    <xf borderId="0" fillId="2" fontId="58" numFmtId="0" xfId="0" applyAlignment="1" applyFont="1">
      <alignment horizontal="right" readingOrder="0" shrinkToFit="0" vertical="top" wrapText="0"/>
    </xf>
    <xf borderId="0" fillId="2" fontId="4" numFmtId="0" xfId="0" applyAlignment="1" applyFont="1">
      <alignment shrinkToFit="0" vertical="center" wrapText="0"/>
    </xf>
    <xf borderId="0" fillId="2" fontId="59" numFmtId="0" xfId="0" applyAlignment="1" applyFont="1">
      <alignment horizontal="right" readingOrder="0" shrinkToFit="0" vertical="center" wrapText="1"/>
    </xf>
    <xf borderId="2" fillId="6" fontId="34" numFmtId="0" xfId="0" applyAlignment="1" applyBorder="1" applyFont="1">
      <alignment horizontal="center" readingOrder="0" shrinkToFit="0" vertical="center" wrapText="0"/>
    </xf>
    <xf borderId="2" fillId="3" fontId="33" numFmtId="0" xfId="0" applyAlignment="1" applyBorder="1" applyFont="1">
      <alignment horizontal="center" readingOrder="0" shrinkToFit="0" vertical="center" wrapText="0"/>
    </xf>
    <xf borderId="2" fillId="3" fontId="34" numFmtId="0" xfId="0" applyAlignment="1" applyBorder="1" applyFont="1">
      <alignment horizontal="center" shrinkToFit="0" vertical="center" wrapText="0"/>
    </xf>
    <xf borderId="0" fillId="4" fontId="50" numFmtId="0" xfId="0" applyAlignment="1" applyFont="1">
      <alignment horizontal="left" shrinkToFit="0" vertical="center" wrapText="0"/>
    </xf>
    <xf borderId="0" fillId="4" fontId="25" numFmtId="0" xfId="0" applyAlignment="1" applyFont="1">
      <alignment horizontal="left" readingOrder="0" shrinkToFit="0" vertical="center" wrapText="0"/>
    </xf>
    <xf borderId="0" fillId="4" fontId="25" numFmtId="0" xfId="0" applyAlignment="1" applyFont="1">
      <alignment horizontal="left" shrinkToFit="0" vertical="center" wrapText="0"/>
    </xf>
    <xf borderId="0" fillId="3" fontId="2" numFmtId="0" xfId="0" applyAlignment="1" applyFont="1">
      <alignment horizontal="center" readingOrder="0" shrinkToFit="0" vertical="center" wrapText="0"/>
    </xf>
    <xf borderId="0" fillId="3" fontId="6" numFmtId="0" xfId="0" applyAlignment="1" applyFont="1">
      <alignment horizontal="center" shrinkToFit="0" vertical="center" wrapText="0"/>
    </xf>
    <xf borderId="0" fillId="3" fontId="4" numFmtId="0" xfId="0" applyAlignment="1" applyFont="1">
      <alignment shrinkToFit="0" vertical="center" wrapText="0"/>
    </xf>
    <xf borderId="0" fillId="3" fontId="5" numFmtId="0" xfId="0" applyAlignment="1" applyFont="1">
      <alignment horizontal="right" readingOrder="0" shrinkToFit="0" vertical="center" wrapText="0"/>
    </xf>
    <xf borderId="1" fillId="2" fontId="2" numFmtId="0" xfId="0" applyAlignment="1" applyBorder="1" applyFont="1">
      <alignment horizontal="center" readingOrder="0" shrinkToFit="0" vertical="center" wrapText="0"/>
    </xf>
    <xf borderId="9" fillId="0" fontId="1" numFmtId="0" xfId="0" applyAlignment="1" applyBorder="1" applyFont="1">
      <alignment readingOrder="0" shrinkToFit="0" wrapText="1"/>
    </xf>
    <xf borderId="2" fillId="0" fontId="21" numFmtId="0" xfId="0" applyAlignment="1" applyBorder="1" applyFont="1">
      <alignment readingOrder="0" shrinkToFit="0" wrapText="1"/>
    </xf>
    <xf borderId="10" fillId="0" fontId="1" numFmtId="0" xfId="0" applyAlignment="1" applyBorder="1" applyFont="1">
      <alignment horizontal="center" readingOrder="0" shrinkToFit="0" wrapText="1"/>
    </xf>
    <xf borderId="1" fillId="2" fontId="27" numFmtId="0" xfId="0" applyAlignment="1" applyBorder="1" applyFont="1">
      <alignment horizontal="right" readingOrder="0" shrinkToFit="0" vertical="center" wrapText="1"/>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0" fillId="0" fontId="9" numFmtId="0" xfId="0" applyAlignment="1" applyFont="1">
      <alignment horizontal="right" readingOrder="0" shrinkToFit="0" vertical="center" wrapText="0"/>
    </xf>
    <xf borderId="0" fillId="0" fontId="60" numFmtId="0" xfId="0" applyAlignment="1" applyFont="1">
      <alignment shrinkToFit="0" vertical="center" wrapText="0"/>
    </xf>
    <xf borderId="2" fillId="0" fontId="11" numFmtId="0" xfId="0" applyAlignment="1" applyBorder="1" applyFont="1">
      <alignment horizontal="center" shrinkToFit="0" vertical="center" wrapText="0"/>
    </xf>
    <xf borderId="1" fillId="0" fontId="11" numFmtId="0" xfId="0" applyAlignment="1" applyBorder="1" applyFont="1">
      <alignment horizontal="center" readingOrder="0" shrinkToFit="0" vertical="center" wrapText="0"/>
    </xf>
    <xf borderId="4" fillId="6" fontId="11" numFmtId="0" xfId="0" applyAlignment="1" applyBorder="1" applyFont="1">
      <alignment horizontal="center" shrinkToFit="0" vertical="center" wrapText="0"/>
    </xf>
    <xf borderId="1" fillId="6" fontId="11" numFmtId="0" xfId="0" applyAlignment="1" applyBorder="1" applyFont="1">
      <alignment horizontal="center" readingOrder="0" shrinkToFit="0" vertical="center" wrapText="0"/>
    </xf>
    <xf borderId="1" fillId="0" fontId="11" numFmtId="0" xfId="0" applyAlignment="1" applyBorder="1" applyFont="1">
      <alignment horizontal="center" shrinkToFit="0" vertical="center" wrapText="0"/>
    </xf>
    <xf borderId="10" fillId="0" fontId="1" numFmtId="0" xfId="0" applyAlignment="1" applyBorder="1" applyFont="1">
      <alignment shrinkToFit="0" wrapText="1"/>
    </xf>
    <xf borderId="0" fillId="0" fontId="1" numFmtId="0" xfId="0" applyAlignment="1" applyFont="1">
      <alignment horizontal="right" readingOrder="0" shrinkToFit="0" wrapText="1"/>
    </xf>
    <xf borderId="1" fillId="2" fontId="39"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0"/>
    </xf>
    <xf borderId="1" fillId="6" fontId="8" numFmtId="0" xfId="0" applyAlignment="1" applyBorder="1" applyFont="1">
      <alignment horizontal="center" readingOrder="0" shrinkToFit="0" vertical="center" wrapText="1"/>
    </xf>
    <xf borderId="1" fillId="6" fontId="8" numFmtId="0" xfId="0" applyAlignment="1" applyBorder="1" applyFont="1">
      <alignment horizontal="center" readingOrder="0" shrinkToFit="0" vertical="center" wrapText="0"/>
    </xf>
    <xf borderId="1" fillId="0" fontId="8"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0"/>
    </xf>
    <xf borderId="1" fillId="0" fontId="11"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0" fillId="0" fontId="11" numFmtId="0" xfId="0" applyAlignment="1" applyFont="1">
      <alignment horizontal="left" shrinkToFit="0" vertical="center" wrapText="0"/>
    </xf>
    <xf borderId="2" fillId="2" fontId="2" numFmtId="0" xfId="0" applyAlignment="1" applyBorder="1" applyFont="1">
      <alignment horizontal="center" readingOrder="0" shrinkToFit="0" vertical="center" wrapText="0"/>
    </xf>
    <xf borderId="2" fillId="2" fontId="14" numFmtId="0" xfId="0" applyAlignment="1" applyBorder="1" applyFont="1">
      <alignment horizontal="center" readingOrder="0" shrinkToFit="0" vertical="center" wrapText="0"/>
    </xf>
    <xf borderId="0" fillId="2" fontId="2" numFmtId="0" xfId="0" applyAlignment="1" applyFont="1">
      <alignment horizontal="center" readingOrder="0" shrinkToFit="0" vertical="center" wrapText="0"/>
    </xf>
    <xf borderId="4" fillId="3" fontId="0" numFmtId="0" xfId="0" applyAlignment="1" applyBorder="1" applyFont="1">
      <alignment horizontal="center" readingOrder="0" shrinkToFit="0" vertical="center" wrapText="0"/>
    </xf>
    <xf borderId="4" fillId="3" fontId="25" numFmtId="0" xfId="0" applyAlignment="1" applyBorder="1" applyFont="1">
      <alignment horizontal="center" readingOrder="0" shrinkToFit="0" vertical="center" wrapText="0"/>
    </xf>
    <xf borderId="4" fillId="6" fontId="25" numFmtId="0" xfId="0" applyAlignment="1" applyBorder="1" applyFont="1">
      <alignment horizontal="center" readingOrder="0" shrinkToFit="0" vertical="center" wrapText="0"/>
    </xf>
    <xf borderId="4" fillId="2" fontId="60" numFmtId="0" xfId="0" applyAlignment="1" applyBorder="1" applyFont="1">
      <alignment shrinkToFit="0" vertical="center" wrapText="0"/>
    </xf>
    <xf borderId="0" fillId="2" fontId="60" numFmtId="0" xfId="0" applyAlignment="1" applyFont="1">
      <alignment shrinkToFit="0" vertical="center" wrapText="0"/>
    </xf>
    <xf borderId="8" fillId="2" fontId="60" numFmtId="0" xfId="0" applyAlignment="1" applyBorder="1" applyFont="1">
      <alignment shrinkToFit="0" vertical="center" wrapText="0"/>
    </xf>
    <xf borderId="2" fillId="0" fontId="3" numFmtId="0" xfId="0" applyAlignment="1" applyBorder="1" applyFont="1">
      <alignment horizontal="center" readingOrder="0" shrinkToFit="0" vertical="center" wrapText="0"/>
    </xf>
    <xf borderId="1" fillId="2" fontId="61" numFmtId="0" xfId="0" applyAlignment="1" applyBorder="1" applyFont="1">
      <alignment horizontal="center" readingOrder="0" shrinkToFit="0" vertical="center" wrapText="1"/>
    </xf>
    <xf borderId="2" fillId="0" fontId="32"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0"/>
    </xf>
    <xf borderId="0" fillId="2" fontId="32" numFmtId="0" xfId="0" applyAlignment="1" applyFont="1">
      <alignment horizontal="center" readingOrder="0" shrinkToFit="0" vertical="center" wrapText="1"/>
    </xf>
    <xf borderId="4" fillId="2" fontId="6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8" fillId="2" fontId="4" numFmtId="0" xfId="0" applyAlignment="1" applyBorder="1" applyFont="1">
      <alignment horizontal="center" shrinkToFit="0" vertical="center" wrapText="0"/>
    </xf>
    <xf borderId="4" fillId="2" fontId="14" numFmtId="0" xfId="0" applyAlignment="1" applyBorder="1" applyFont="1">
      <alignment horizontal="right" readingOrder="0" shrinkToFit="0" vertical="center" wrapText="1"/>
    </xf>
    <xf borderId="0" fillId="0" fontId="25" numFmtId="0" xfId="0" applyAlignment="1" applyFont="1">
      <alignment horizontal="center" readingOrder="0" shrinkToFit="0" vertical="center" wrapText="0"/>
    </xf>
    <xf borderId="4" fillId="0" fontId="0" numFmtId="0" xfId="0" applyAlignment="1" applyBorder="1" applyFont="1">
      <alignment horizontal="center" readingOrder="0" shrinkToFit="0" vertical="center" wrapText="0"/>
    </xf>
    <xf borderId="4" fillId="0" fontId="25" numFmtId="0" xfId="0" applyAlignment="1" applyBorder="1" applyFont="1">
      <alignment horizontal="center" shrinkToFit="0" vertical="center" wrapText="0"/>
    </xf>
    <xf borderId="4" fillId="0" fontId="25" numFmtId="0" xfId="0" applyAlignment="1" applyBorder="1" applyFont="1">
      <alignment horizontal="center" readingOrder="0" shrinkToFit="0" vertical="center" wrapText="0"/>
    </xf>
    <xf borderId="2" fillId="0" fontId="11" numFmtId="0" xfId="0" applyAlignment="1" applyBorder="1" applyFont="1">
      <alignment horizontal="center" readingOrder="0" shrinkToFit="0" vertical="center" wrapText="0"/>
    </xf>
    <xf borderId="2" fillId="2" fontId="60" numFmtId="0" xfId="0" applyAlignment="1" applyBorder="1" applyFont="1">
      <alignment shrinkToFit="0" vertical="center" wrapText="0"/>
    </xf>
    <xf borderId="2" fillId="2" fontId="14"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12" fillId="0" fontId="1" numFmtId="0" xfId="0" applyAlignment="1" applyBorder="1" applyFont="1">
      <alignment shrinkToFit="0" wrapText="1"/>
    </xf>
    <xf borderId="4" fillId="0" fontId="6" numFmtId="0" xfId="0" applyAlignment="1" applyBorder="1" applyFont="1">
      <alignment horizontal="center" readingOrder="0" shrinkToFit="0" vertical="center" wrapText="0"/>
    </xf>
    <xf borderId="1" fillId="6" fontId="60" numFmtId="0" xfId="0" applyAlignment="1" applyBorder="1" applyFont="1">
      <alignment horizontal="center" readingOrder="0" shrinkToFit="0" vertical="center" wrapText="0"/>
    </xf>
    <xf borderId="13" fillId="0" fontId="1" numFmtId="0" xfId="0" applyAlignment="1" applyBorder="1" applyFont="1">
      <alignment shrinkToFit="0" wrapText="1"/>
    </xf>
    <xf borderId="4" fillId="6" fontId="3" numFmtId="0" xfId="0" applyAlignment="1" applyBorder="1" applyFont="1">
      <alignment horizontal="center" readingOrder="0" shrinkToFit="0" vertical="center" wrapText="0"/>
    </xf>
    <xf borderId="2" fillId="2" fontId="1" numFmtId="0" xfId="0" applyAlignment="1" applyBorder="1" applyFont="1">
      <alignment shrinkToFit="0" wrapText="1"/>
    </xf>
    <xf borderId="1" fillId="2" fontId="5" numFmtId="0" xfId="0" applyAlignment="1" applyBorder="1" applyFont="1">
      <alignment horizontal="center" readingOrder="0" shrinkToFit="0" vertical="center" wrapText="0"/>
    </xf>
    <xf borderId="2" fillId="2" fontId="14" numFmtId="0" xfId="0" applyAlignment="1" applyBorder="1" applyFont="1">
      <alignment horizontal="left" readingOrder="0" shrinkToFit="0" vertical="center" wrapText="0"/>
    </xf>
    <xf borderId="4" fillId="0" fontId="56" numFmtId="0" xfId="0" applyAlignment="1" applyBorder="1" applyFont="1">
      <alignment horizontal="center" readingOrder="0" shrinkToFit="0" vertical="center" wrapText="0"/>
    </xf>
    <xf borderId="4" fillId="0" fontId="60" numFmtId="0" xfId="0" applyAlignment="1" applyBorder="1" applyFont="1">
      <alignment horizontal="center" readingOrder="0" shrinkToFit="0" vertical="center" wrapText="0"/>
    </xf>
    <xf borderId="1" fillId="6" fontId="56" numFmtId="0" xfId="0" applyAlignment="1" applyBorder="1" applyFont="1">
      <alignment horizontal="center" readingOrder="0" shrinkToFit="0" vertical="center" wrapText="0"/>
    </xf>
    <xf borderId="0" fillId="2" fontId="14" numFmtId="0" xfId="0" applyAlignment="1" applyFont="1">
      <alignment horizontal="center" readingOrder="0" shrinkToFit="0" vertical="center" wrapText="1"/>
    </xf>
    <xf borderId="2" fillId="0" fontId="25" numFmtId="0" xfId="0" applyAlignment="1" applyBorder="1" applyFont="1">
      <alignment horizontal="center" readingOrder="0" shrinkToFit="0" vertical="center" wrapText="1"/>
    </xf>
    <xf borderId="2" fillId="6" fontId="25" numFmtId="0" xfId="0" applyAlignment="1" applyBorder="1" applyFont="1">
      <alignment horizontal="center" readingOrder="0" shrinkToFit="0" vertical="center" wrapText="1"/>
    </xf>
    <xf borderId="2" fillId="6" fontId="25" numFmtId="0" xfId="0" applyAlignment="1" applyBorder="1" applyFont="1">
      <alignment horizontal="center" shrinkToFit="0" vertical="center" wrapText="1"/>
    </xf>
    <xf borderId="2" fillId="0" fontId="25"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1"/>
    </xf>
    <xf borderId="4" fillId="2" fontId="14" numFmtId="0" xfId="0" applyAlignment="1" applyBorder="1" applyFont="1">
      <alignment horizontal="center" readingOrder="0" shrinkToFit="0" vertical="center" wrapText="1"/>
    </xf>
    <xf borderId="2" fillId="6" fontId="25"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6" fontId="25" numFmtId="0" xfId="0" applyAlignment="1" applyFont="1">
      <alignment horizontal="center" shrinkToFit="0" vertical="center" wrapText="1"/>
    </xf>
    <xf borderId="2" fillId="0" fontId="25" numFmtId="0" xfId="0" applyAlignment="1" applyBorder="1" applyFont="1">
      <alignment horizontal="center" shrinkToFit="0" vertical="center" wrapText="1"/>
    </xf>
    <xf borderId="0" fillId="4" fontId="25" numFmtId="0" xfId="0" applyAlignment="1" applyFont="1">
      <alignment horizontal="left" shrinkToFit="0" vertical="center" wrapText="1"/>
    </xf>
    <xf borderId="0" fillId="2" fontId="62" numFmtId="0" xfId="0" applyAlignment="1" applyFont="1">
      <alignment horizontal="center" readingOrder="0" shrinkToFit="0" vertical="center" wrapText="1"/>
    </xf>
    <xf borderId="2" fillId="2" fontId="62" numFmtId="0" xfId="0" applyAlignment="1" applyBorder="1" applyFont="1">
      <alignment horizontal="center" readingOrder="0" shrinkToFit="0" vertical="center" wrapText="1"/>
    </xf>
    <xf borderId="0" fillId="2" fontId="59" numFmtId="0" xfId="0" applyAlignment="1" applyFont="1">
      <alignment horizontal="center" readingOrder="0" shrinkToFit="0" vertical="center" wrapText="1"/>
    </xf>
    <xf borderId="0" fillId="3" fontId="63" numFmtId="0" xfId="0" applyAlignment="1" applyFont="1">
      <alignment horizontal="center" readingOrder="0" shrinkToFit="0" vertical="center" wrapText="1"/>
    </xf>
    <xf borderId="5" fillId="3" fontId="64" numFmtId="0" xfId="0" applyAlignment="1" applyBorder="1" applyFont="1">
      <alignment horizontal="center" readingOrder="0" shrinkToFit="0" vertical="center" wrapText="1"/>
    </xf>
    <xf borderId="0" fillId="2" fontId="65" numFmtId="0" xfId="0" applyAlignment="1" applyFont="1">
      <alignment horizontal="center" readingOrder="0" shrinkToFit="0" vertical="center" wrapText="1"/>
    </xf>
    <xf borderId="2" fillId="6" fontId="19" numFmtId="0" xfId="0" applyAlignment="1" applyBorder="1" applyFont="1">
      <alignment horizontal="center" readingOrder="0" shrinkToFit="0" vertical="center" wrapText="1"/>
    </xf>
    <xf borderId="5" fillId="4" fontId="66" numFmtId="0" xfId="0" applyAlignment="1" applyBorder="1" applyFont="1">
      <alignment horizontal="center" shrinkToFit="0" vertical="center" wrapText="1"/>
    </xf>
    <xf borderId="0" fillId="3"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9" fillId="3" fontId="64" numFmtId="0" xfId="0" applyAlignment="1" applyBorder="1" applyFont="1">
      <alignment horizontal="center" readingOrder="0" shrinkToFit="0" vertical="center" wrapText="1"/>
    </xf>
    <xf borderId="9" fillId="4" fontId="42" numFmtId="0" xfId="0" applyAlignment="1" applyBorder="1" applyFont="1">
      <alignment horizontal="center" shrinkToFit="0" vertical="center" wrapText="1"/>
    </xf>
    <xf borderId="0" fillId="4" fontId="19" numFmtId="0" xfId="0" applyAlignment="1" applyFont="1">
      <alignment horizontal="center" readingOrder="0" shrinkToFit="0" vertical="center" wrapText="1"/>
    </xf>
    <xf borderId="0" fillId="2" fontId="59" numFmtId="0" xfId="0" applyAlignment="1" applyFont="1">
      <alignment horizontal="left" readingOrder="0" shrinkToFit="0" vertical="center" wrapText="1"/>
    </xf>
    <xf borderId="9" fillId="3" fontId="1" numFmtId="0" xfId="0" applyAlignment="1" applyBorder="1" applyFont="1">
      <alignment horizontal="center" readingOrder="0" shrinkToFit="0" vertical="center" wrapText="1"/>
    </xf>
    <xf borderId="0" fillId="2" fontId="62" numFmtId="0" xfId="0" applyAlignment="1" applyFont="1">
      <alignment horizontal="center" shrinkToFit="0" vertical="center" wrapText="1"/>
    </xf>
    <xf borderId="0" fillId="2" fontId="67" numFmtId="0" xfId="0" applyAlignment="1" applyFont="1">
      <alignment horizontal="center" readingOrder="0" shrinkToFit="0" vertical="center" wrapText="1"/>
    </xf>
    <xf borderId="0" fillId="2" fontId="59" numFmtId="0" xfId="0" applyAlignment="1" applyFont="1">
      <alignment horizontal="center" readingOrder="0" shrinkToFit="0" vertical="center" wrapText="1"/>
    </xf>
    <xf borderId="0" fillId="3" fontId="64" numFmtId="0" xfId="0" applyAlignment="1" applyFont="1">
      <alignment horizontal="center" readingOrder="0" shrinkToFit="0" vertical="center" wrapText="1"/>
    </xf>
    <xf borderId="2" fillId="3" fontId="64" numFmtId="0" xfId="0" applyAlignment="1" applyBorder="1" applyFont="1">
      <alignment horizontal="center" readingOrder="0" shrinkToFit="0" vertical="center" wrapText="1"/>
    </xf>
    <xf borderId="0" fillId="3" fontId="68" numFmtId="0" xfId="0" applyAlignment="1" applyFont="1">
      <alignment horizontal="center" readingOrder="0" shrinkToFit="0" vertical="center" wrapText="1"/>
    </xf>
    <xf borderId="0" fillId="3" fontId="42" numFmtId="0" xfId="0" applyAlignment="1" applyFont="1">
      <alignment horizontal="center" readingOrder="0" shrinkToFit="0" vertical="center" wrapText="1"/>
    </xf>
    <xf borderId="0" fillId="3" fontId="42" numFmtId="0" xfId="0" applyAlignment="1" applyFont="1">
      <alignment horizontal="center" shrinkToFit="0" vertical="center" wrapText="1"/>
    </xf>
    <xf borderId="0" fillId="3" fontId="1" numFmtId="0" xfId="0" applyAlignment="1" applyFont="1">
      <alignment horizontal="center" shrinkToFit="0" vertical="center" wrapText="1"/>
    </xf>
    <xf borderId="0" fillId="0" fontId="1" numFmtId="0" xfId="0" applyAlignment="1" applyFont="1">
      <alignment horizontal="center" shrinkToFit="0" vertical="center" wrapText="1"/>
    </xf>
    <xf borderId="0" fillId="3" fontId="69" numFmtId="0" xfId="0" applyAlignment="1" applyFont="1">
      <alignment horizontal="center" readingOrder="0" shrinkToFit="0" vertical="center" wrapText="1"/>
    </xf>
    <xf borderId="0" fillId="3" fontId="21" numFmtId="0" xfId="0" applyAlignment="1" applyFont="1">
      <alignment horizontal="center" readingOrder="0" shrinkToFit="0" vertical="center" wrapText="1"/>
    </xf>
    <xf borderId="0" fillId="4" fontId="45"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2" fillId="3" fontId="4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4" fillId="0" fontId="0" numFmtId="0" xfId="0" applyAlignment="1" applyBorder="1" applyFont="1">
      <alignment horizontal="center" readingOrder="0" shrinkToFit="0" vertical="center" wrapText="1"/>
    </xf>
    <xf borderId="0" fillId="4" fontId="1" numFmtId="0" xfId="0" applyAlignment="1" applyFont="1">
      <alignment horizontal="center" shrinkToFit="0" vertical="center" wrapText="1"/>
    </xf>
    <xf borderId="2" fillId="6" fontId="42"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0" fillId="6" fontId="42" numFmtId="0" xfId="0" applyAlignment="1" applyFont="1">
      <alignment horizontal="center" readingOrder="0" shrinkToFit="0" vertical="center" wrapText="1"/>
    </xf>
    <xf borderId="0" fillId="4" fontId="1" numFmtId="0" xfId="0" applyAlignment="1" applyFont="1">
      <alignment shrinkToFit="0" wrapText="1"/>
    </xf>
    <xf borderId="2" fillId="6" fontId="1" numFmtId="0" xfId="0" applyAlignment="1" applyBorder="1" applyFont="1">
      <alignment horizontal="center" readingOrder="0" shrinkToFit="0" vertical="center" wrapText="1"/>
    </xf>
    <xf borderId="0" fillId="4" fontId="45" numFmtId="0" xfId="0" applyAlignment="1" applyFont="1">
      <alignment horizontal="center" shrinkToFit="0" vertical="center" wrapText="1"/>
    </xf>
    <xf borderId="2"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0" fillId="6" fontId="1" numFmtId="0" xfId="0" applyAlignment="1" applyFont="1">
      <alignment horizontal="center" shrinkToFit="0" vertical="center" wrapText="1"/>
    </xf>
    <xf borderId="0" fillId="6" fontId="1" numFmtId="0" xfId="0" applyAlignment="1" applyFont="1">
      <alignment horizontal="center" readingOrder="0" shrinkToFit="0" vertical="center" wrapText="1"/>
    </xf>
    <xf borderId="1" fillId="11" fontId="26" numFmtId="49" xfId="0" applyAlignment="1" applyBorder="1" applyFill="1" applyFont="1" applyNumberFormat="1">
      <alignment horizontal="center" readingOrder="0" shrinkToFit="0" vertical="center" wrapText="0"/>
    </xf>
    <xf borderId="13" fillId="0" fontId="64" numFmtId="0" xfId="0" applyAlignment="1" applyBorder="1" applyFont="1">
      <alignment shrinkToFit="0" vertical="center" wrapText="1"/>
    </xf>
    <xf borderId="10" fillId="11" fontId="26" numFmtId="49" xfId="0" applyAlignment="1" applyBorder="1" applyFont="1" applyNumberFormat="1">
      <alignment horizontal="center" readingOrder="0" shrinkToFit="0" vertical="center" wrapText="0"/>
    </xf>
    <xf borderId="4" fillId="11" fontId="26" numFmtId="49" xfId="0" applyAlignment="1" applyBorder="1" applyFont="1" applyNumberFormat="1">
      <alignment readingOrder="0" shrinkToFit="0" vertical="center" wrapText="0"/>
    </xf>
    <xf borderId="0" fillId="11" fontId="26" numFmtId="49" xfId="0" applyAlignment="1" applyFont="1" applyNumberFormat="1">
      <alignment readingOrder="0" shrinkToFit="0" vertical="center" wrapText="0"/>
    </xf>
    <xf borderId="10" fillId="0" fontId="70" numFmtId="49" xfId="0" applyAlignment="1" applyBorder="1" applyFont="1" applyNumberFormat="1">
      <alignment readingOrder="0" shrinkToFit="0" vertical="center" wrapText="0"/>
    </xf>
    <xf borderId="7" fillId="0" fontId="70" numFmtId="49" xfId="0" applyAlignment="1" applyBorder="1" applyFont="1" applyNumberFormat="1">
      <alignment readingOrder="0" shrinkToFit="0" vertical="center" wrapText="0"/>
    </xf>
    <xf borderId="1" fillId="0" fontId="70" numFmtId="49" xfId="0" applyAlignment="1" applyBorder="1" applyFont="1" applyNumberFormat="1">
      <alignment readingOrder="0" shrinkToFit="0" vertical="center" wrapText="0"/>
    </xf>
    <xf borderId="1" fillId="0" fontId="70" numFmtId="49" xfId="0" applyAlignment="1" applyBorder="1" applyFont="1" applyNumberFormat="1">
      <alignment readingOrder="0" shrinkToFit="0" vertical="center" wrapText="1"/>
    </xf>
    <xf borderId="4" fillId="0" fontId="64" numFmtId="0" xfId="0" applyAlignment="1" applyBorder="1" applyFont="1">
      <alignment shrinkToFit="0" vertical="center" wrapText="1"/>
    </xf>
    <xf borderId="9" fillId="0" fontId="64" numFmtId="0" xfId="0" applyAlignment="1" applyBorder="1" applyFont="1">
      <alignment shrinkToFit="0" vertical="center" wrapText="1"/>
    </xf>
    <xf borderId="7" fillId="0" fontId="70" numFmtId="0" xfId="0" applyAlignment="1" applyBorder="1" applyFont="1">
      <alignment readingOrder="0" shrinkToFit="0" vertical="center" wrapText="0"/>
    </xf>
    <xf borderId="10" fillId="0" fontId="70" numFmtId="0" xfId="0" applyAlignment="1" applyBorder="1" applyFont="1">
      <alignment readingOrder="0" shrinkToFit="0" vertical="center" wrapText="0"/>
    </xf>
    <xf borderId="0" fillId="0" fontId="64" numFmtId="0" xfId="0" applyAlignment="1" applyFont="1">
      <alignment shrinkToFit="0" vertical="center" wrapText="1"/>
    </xf>
    <xf borderId="8" fillId="0" fontId="64" numFmtId="0" xfId="0" applyAlignment="1" applyBorder="1" applyFont="1">
      <alignment shrinkToFit="0" vertical="center" wrapText="1"/>
    </xf>
    <xf borderId="10" fillId="11" fontId="26" numFmtId="0" xfId="0" applyAlignment="1" applyBorder="1" applyFont="1">
      <alignment horizontal="center" readingOrder="0" shrinkToFit="0" vertical="center" wrapText="0"/>
    </xf>
    <xf borderId="1" fillId="0" fontId="70" numFmtId="0" xfId="0" applyAlignment="1" applyBorder="1" applyFont="1">
      <alignment readingOrder="0" shrinkToFit="0" vertical="center" wrapText="1"/>
    </xf>
    <xf borderId="10" fillId="0" fontId="70" numFmtId="49" xfId="0" applyAlignment="1" applyBorder="1" applyFont="1" applyNumberFormat="1">
      <alignment readingOrder="0" shrinkToFit="0" vertical="center" wrapText="1"/>
    </xf>
    <xf borderId="2" fillId="0" fontId="64" numFmtId="0" xfId="0" applyAlignment="1" applyBorder="1" applyFont="1">
      <alignment shrinkToFit="0" vertical="center" wrapText="1"/>
    </xf>
    <xf borderId="5" fillId="0" fontId="64" numFmtId="0" xfId="0" applyAlignment="1" applyBorder="1" applyFont="1">
      <alignment shrinkToFit="0" vertical="center" wrapText="1"/>
    </xf>
    <xf borderId="4" fillId="11" fontId="26" numFmtId="49" xfId="0" applyAlignment="1" applyBorder="1" applyFont="1" applyNumberFormat="1">
      <alignment horizontal="center" readingOrder="0" shrinkToFit="0" vertical="center" wrapText="0"/>
    </xf>
    <xf borderId="7" fillId="11" fontId="26" numFmtId="49" xfId="0" applyAlignment="1" applyBorder="1" applyFont="1" applyNumberFormat="1">
      <alignment horizontal="center" readingOrder="0" shrinkToFit="0" vertical="center" wrapText="0"/>
    </xf>
    <xf borderId="7" fillId="0" fontId="70" numFmtId="49" xfId="0" applyAlignment="1" applyBorder="1" applyFont="1" applyNumberFormat="1">
      <alignment shrinkToFit="0" vertical="center" wrapText="0"/>
    </xf>
    <xf borderId="7" fillId="0" fontId="71" numFmtId="49" xfId="0" applyAlignment="1" applyBorder="1" applyFont="1" applyNumberFormat="1">
      <alignment readingOrder="0" shrinkToFit="0" vertical="center" wrapText="0"/>
    </xf>
    <xf borderId="10" fillId="0" fontId="70" numFmtId="49" xfId="0" applyAlignment="1" applyBorder="1" applyFont="1" applyNumberFormat="1">
      <alignment shrinkToFit="0" vertical="center" wrapText="0"/>
    </xf>
    <xf borderId="4" fillId="0" fontId="70" numFmtId="49" xfId="0" applyAlignment="1" applyBorder="1" applyFont="1" applyNumberFormat="1">
      <alignment readingOrder="0" shrinkToFit="0" vertical="center" wrapText="1"/>
    </xf>
    <xf borderId="1" fillId="11" fontId="26" numFmtId="0" xfId="0" applyAlignment="1" applyBorder="1" applyFont="1">
      <alignment horizontal="center" readingOrder="0" shrinkToFit="0" vertical="center" wrapText="0"/>
    </xf>
    <xf borderId="4" fillId="11" fontId="26" numFmtId="0" xfId="0" applyAlignment="1" applyBorder="1" applyFont="1">
      <alignment readingOrder="0" shrinkToFit="0" vertical="center" wrapText="0"/>
    </xf>
    <xf borderId="0" fillId="11" fontId="26" numFmtId="0" xfId="0" applyAlignment="1" applyFont="1">
      <alignment horizontal="center" readingOrder="0" shrinkToFit="0" vertical="center" wrapText="0"/>
    </xf>
    <xf borderId="7" fillId="0" fontId="70" numFmtId="49" xfId="0" applyAlignment="1" applyBorder="1" applyFont="1" applyNumberFormat="1">
      <alignment horizontal="center" readingOrder="0" shrinkToFit="0" vertical="center" wrapText="0"/>
    </xf>
    <xf borderId="0" fillId="11" fontId="26" numFmtId="0" xfId="0" applyAlignment="1" applyFont="1">
      <alignment readingOrder="0" shrinkToFit="0" vertical="center" wrapText="0"/>
    </xf>
    <xf borderId="10" fillId="0" fontId="70" numFmtId="49" xfId="0" applyAlignment="1" applyBorder="1" applyFont="1" applyNumberFormat="1">
      <alignment horizontal="center" readingOrder="0" shrinkToFit="0" vertical="center" wrapText="0"/>
    </xf>
    <xf borderId="4" fillId="11" fontId="26" numFmtId="0" xfId="0" applyAlignment="1" applyBorder="1" applyFont="1">
      <alignment horizontal="left" readingOrder="0" shrinkToFit="0" vertical="center" wrapText="0"/>
    </xf>
    <xf borderId="0" fillId="11" fontId="26" numFmtId="0" xfId="0" applyAlignment="1" applyFont="1">
      <alignment horizontal="left" readingOrder="0" shrinkToFit="0" vertical="center" wrapText="0"/>
    </xf>
    <xf borderId="7" fillId="0" fontId="70" numFmtId="0" xfId="0" applyAlignment="1" applyBorder="1" applyFont="1">
      <alignment horizontal="left" readingOrder="0" shrinkToFit="0" vertical="center" wrapText="0"/>
    </xf>
    <xf borderId="10" fillId="0" fontId="70" numFmtId="0" xfId="0" applyAlignment="1" applyBorder="1" applyFont="1">
      <alignment horizontal="left" readingOrder="0" shrinkToFit="0" vertical="center" wrapText="0"/>
    </xf>
    <xf borderId="0" fillId="0" fontId="28" numFmtId="0" xfId="0" applyAlignment="1" applyFont="1">
      <alignment horizontal="center" readingOrder="0" shrinkToFit="0" vertical="top" wrapText="1"/>
    </xf>
  </cellXfs>
  <cellStyles count="1">
    <cellStyle xfId="0" name="Normal" builtinId="0"/>
  </cellStyles>
  <dxfs count="8">
    <dxf>
      <font/>
      <fill>
        <patternFill patternType="none"/>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4C7C3"/>
          <bgColor rgb="FFF4C7C3"/>
        </patternFill>
      </fill>
      <border/>
    </dxf>
    <dxf>
      <font>
        <b/>
        <color rgb="FFFFFFFF"/>
      </font>
      <fill>
        <patternFill patternType="solid">
          <fgColor rgb="FF57BB8A"/>
          <bgColor rgb="FF57BB8A"/>
        </patternFill>
      </fill>
      <border/>
    </dxf>
    <dxf>
      <font>
        <b/>
        <color rgb="FFFFFFFF"/>
      </font>
      <fill>
        <patternFill patternType="solid">
          <fgColor rgb="FFCC0000"/>
          <bgColor rgb="FFCC0000"/>
        </patternFill>
      </fill>
      <border/>
    </dxf>
    <dxf>
      <font/>
      <fill>
        <patternFill patternType="solid">
          <fgColor rgb="FFF9CB9C"/>
          <bgColor rgb="FFF9CB9C"/>
        </patternFill>
      </fill>
      <border/>
    </dxf>
    <dxf>
      <font>
        <b/>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66" width="2.75"/>
  </cols>
  <sheetData>
    <row r="1" ht="60.0" customHeight="1">
      <c r="A1" s="1" t="s">
        <v>0</v>
      </c>
      <c r="BM1" s="1"/>
      <c r="BN1" s="1"/>
    </row>
    <row r="2" ht="14.25" customHeight="1"/>
    <row r="3" ht="14.25" customHeight="1">
      <c r="B3" s="2" t="s">
        <v>1</v>
      </c>
      <c r="C3" s="3"/>
      <c r="D3" s="3"/>
      <c r="E3" s="3"/>
      <c r="F3" s="3"/>
      <c r="G3" s="3"/>
      <c r="H3" s="3"/>
      <c r="I3" s="4" t="s">
        <v>2</v>
      </c>
      <c r="J3" s="3"/>
      <c r="K3" s="3"/>
      <c r="L3" s="3"/>
      <c r="M3" s="3"/>
      <c r="N3" s="3"/>
      <c r="O3" s="3"/>
      <c r="P3" s="3"/>
      <c r="Q3" s="3"/>
      <c r="R3" s="3"/>
      <c r="S3" s="3"/>
      <c r="T3" s="3"/>
      <c r="U3" s="3"/>
      <c r="V3" s="3"/>
      <c r="W3" s="3"/>
      <c r="X3" s="3"/>
      <c r="Y3" s="3"/>
      <c r="Z3" s="3"/>
      <c r="AA3" s="3"/>
      <c r="AB3" s="3"/>
      <c r="AC3" s="3"/>
      <c r="AD3" s="3"/>
      <c r="AE3" s="5"/>
      <c r="AF3" s="6"/>
      <c r="AG3" s="7"/>
      <c r="AI3" s="8" t="s">
        <v>3</v>
      </c>
      <c r="AJ3" s="3"/>
      <c r="AK3" s="3"/>
      <c r="AL3" s="3"/>
      <c r="AM3" s="3"/>
      <c r="AN3" s="3"/>
      <c r="AO3" s="3"/>
      <c r="AP3" s="9"/>
      <c r="AQ3" s="3"/>
      <c r="AR3" s="3"/>
      <c r="AS3" s="3"/>
      <c r="AT3" s="3"/>
      <c r="AU3" s="3"/>
      <c r="AV3" s="3"/>
      <c r="AW3" s="3"/>
      <c r="AX3" s="3"/>
      <c r="AY3" s="3"/>
      <c r="AZ3" s="3"/>
      <c r="BA3" s="3"/>
      <c r="BB3" s="3"/>
      <c r="BC3" s="3"/>
      <c r="BD3" s="3"/>
      <c r="BE3" s="3"/>
      <c r="BF3" s="3"/>
      <c r="BG3" s="3"/>
      <c r="BH3" s="3"/>
      <c r="BI3" s="3"/>
      <c r="BJ3" s="3"/>
      <c r="BK3" s="3"/>
      <c r="BL3" s="5"/>
      <c r="BM3" s="10"/>
      <c r="BN3" s="10"/>
    </row>
    <row r="4" ht="14.25" customHeight="1">
      <c r="B4" s="6"/>
      <c r="I4" s="11"/>
      <c r="J4" s="11"/>
      <c r="K4" s="11"/>
      <c r="L4" s="11"/>
      <c r="M4" s="11"/>
      <c r="N4" s="11"/>
      <c r="O4" s="11"/>
      <c r="P4" s="11"/>
      <c r="Q4" s="11"/>
      <c r="R4" s="11"/>
      <c r="S4" s="11"/>
      <c r="T4" s="11"/>
      <c r="U4" s="11"/>
      <c r="V4" s="11"/>
      <c r="W4" s="11"/>
      <c r="X4" s="11"/>
      <c r="Y4" s="11"/>
      <c r="Z4" s="11"/>
      <c r="AA4" s="11"/>
      <c r="AB4" s="11"/>
      <c r="AC4" s="11"/>
      <c r="AD4" s="11"/>
      <c r="AE4" s="12"/>
      <c r="AF4" s="6"/>
      <c r="AG4" s="7"/>
      <c r="AI4" s="13"/>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2"/>
      <c r="BM4" s="10"/>
      <c r="BN4" s="10"/>
    </row>
    <row r="5" ht="14.25" customHeight="1">
      <c r="B5" s="14"/>
      <c r="C5" s="15"/>
      <c r="D5" s="15"/>
      <c r="E5" s="15"/>
      <c r="F5" s="15"/>
      <c r="G5" s="15"/>
      <c r="H5" s="16"/>
      <c r="I5" s="17"/>
      <c r="J5" s="17"/>
      <c r="K5" s="17"/>
      <c r="L5" s="17"/>
      <c r="M5" s="17"/>
      <c r="N5" s="17"/>
      <c r="O5" s="17"/>
      <c r="P5" s="17"/>
      <c r="Q5" s="17"/>
      <c r="R5" s="17"/>
      <c r="S5" s="17"/>
      <c r="T5" s="17"/>
      <c r="U5" s="17"/>
      <c r="V5" s="17"/>
      <c r="W5" s="17"/>
      <c r="X5" s="17"/>
      <c r="Y5" s="17"/>
      <c r="Z5" s="17"/>
      <c r="AA5" s="17"/>
      <c r="AB5" s="17"/>
      <c r="AC5" s="17"/>
      <c r="AD5" s="17"/>
      <c r="AE5" s="17"/>
      <c r="AG5" s="7"/>
      <c r="AP5" s="3"/>
      <c r="AQ5" s="3"/>
      <c r="AR5" s="3"/>
      <c r="AS5" s="3"/>
      <c r="AT5" s="3"/>
      <c r="AU5" s="3"/>
      <c r="AV5" s="3"/>
      <c r="AW5" s="3"/>
      <c r="AX5" s="3"/>
      <c r="AY5" s="3"/>
      <c r="AZ5" s="3"/>
      <c r="BA5" s="3"/>
      <c r="BB5" s="3"/>
      <c r="BC5" s="3"/>
      <c r="BD5" s="3"/>
      <c r="BE5" s="3"/>
      <c r="BF5" s="3"/>
      <c r="BG5" s="3"/>
      <c r="BH5" s="3"/>
      <c r="BI5" s="3"/>
      <c r="BJ5" s="3"/>
      <c r="BK5" s="3"/>
      <c r="BL5" s="3"/>
    </row>
    <row r="6" ht="14.25" customHeight="1">
      <c r="B6" s="18" t="s">
        <v>4</v>
      </c>
      <c r="I6" s="19" t="s">
        <v>5</v>
      </c>
      <c r="J6" s="3"/>
      <c r="K6" s="3"/>
      <c r="L6" s="3"/>
      <c r="M6" s="3"/>
      <c r="N6" s="3"/>
      <c r="O6" s="3"/>
      <c r="P6" s="3"/>
      <c r="Q6" s="3"/>
      <c r="R6" s="3"/>
      <c r="S6" s="3"/>
      <c r="T6" s="3"/>
      <c r="U6" s="3"/>
      <c r="V6" s="3"/>
      <c r="W6" s="3"/>
      <c r="X6" s="3"/>
      <c r="Y6" s="3"/>
      <c r="Z6" s="3"/>
      <c r="AA6" s="3"/>
      <c r="AB6" s="3"/>
      <c r="AC6" s="3"/>
      <c r="AD6" s="3"/>
      <c r="AE6" s="5"/>
      <c r="AF6" s="6"/>
      <c r="AG6" s="7"/>
    </row>
    <row r="7" ht="14.25" customHeight="1">
      <c r="B7" s="6"/>
      <c r="I7" s="11"/>
      <c r="J7" s="11"/>
      <c r="K7" s="11"/>
      <c r="L7" s="11"/>
      <c r="M7" s="11"/>
      <c r="N7" s="11"/>
      <c r="O7" s="11"/>
      <c r="P7" s="11"/>
      <c r="Q7" s="11"/>
      <c r="R7" s="11"/>
      <c r="S7" s="11"/>
      <c r="T7" s="11"/>
      <c r="U7" s="11"/>
      <c r="V7" s="11"/>
      <c r="W7" s="11"/>
      <c r="X7" s="11"/>
      <c r="Y7" s="11"/>
      <c r="Z7" s="11"/>
      <c r="AA7" s="11"/>
      <c r="AB7" s="11"/>
      <c r="AC7" s="11"/>
      <c r="AD7" s="11"/>
      <c r="AE7" s="12"/>
      <c r="AF7" s="6"/>
      <c r="AG7" s="7"/>
      <c r="AI7" s="20" t="s">
        <v>6</v>
      </c>
      <c r="AP7" s="21" t="s">
        <v>7</v>
      </c>
      <c r="BM7" s="21"/>
      <c r="BN7" s="21"/>
    </row>
    <row r="8" ht="14.25" customHeight="1">
      <c r="B8" s="22"/>
      <c r="C8" s="23"/>
      <c r="D8" s="23"/>
      <c r="E8" s="23"/>
      <c r="F8" s="23"/>
      <c r="G8" s="23"/>
      <c r="H8" s="24"/>
      <c r="I8" s="25"/>
      <c r="J8" s="25"/>
      <c r="K8" s="25"/>
      <c r="L8" s="25"/>
      <c r="M8" s="25"/>
      <c r="N8" s="25"/>
      <c r="O8" s="25"/>
      <c r="P8" s="25"/>
      <c r="Q8" s="25"/>
      <c r="R8" s="25"/>
      <c r="S8" s="25"/>
      <c r="T8" s="25"/>
      <c r="U8" s="25"/>
      <c r="V8" s="25"/>
      <c r="W8" s="25"/>
      <c r="X8" s="25"/>
      <c r="Y8" s="25"/>
      <c r="Z8" s="25"/>
      <c r="AA8" s="25"/>
      <c r="AB8" s="25"/>
      <c r="AC8" s="25"/>
      <c r="AD8" s="25"/>
      <c r="AE8" s="25"/>
      <c r="AG8" s="7"/>
      <c r="BM8" s="21"/>
      <c r="BN8" s="21"/>
    </row>
    <row r="9" ht="14.25" customHeight="1">
      <c r="B9" s="18" t="s">
        <v>8</v>
      </c>
      <c r="I9" s="19" t="s">
        <v>9</v>
      </c>
      <c r="J9" s="3"/>
      <c r="K9" s="3"/>
      <c r="L9" s="3"/>
      <c r="M9" s="3"/>
      <c r="N9" s="3"/>
      <c r="O9" s="3"/>
      <c r="P9" s="3"/>
      <c r="Q9" s="3"/>
      <c r="R9" s="3"/>
      <c r="S9" s="3"/>
      <c r="T9" s="3"/>
      <c r="U9" s="3"/>
      <c r="V9" s="3"/>
      <c r="W9" s="3"/>
      <c r="X9" s="3"/>
      <c r="Y9" s="3"/>
      <c r="Z9" s="3"/>
      <c r="AA9" s="3"/>
      <c r="AB9" s="3"/>
      <c r="AC9" s="3"/>
      <c r="AD9" s="3"/>
      <c r="AE9" s="5"/>
      <c r="AF9" s="6"/>
      <c r="AG9" s="7"/>
      <c r="AI9" s="26" t="s">
        <v>10</v>
      </c>
      <c r="BM9" s="21"/>
      <c r="BN9" s="21"/>
    </row>
    <row r="10" ht="14.25" customHeight="1">
      <c r="B10" s="6"/>
      <c r="I10" s="11"/>
      <c r="J10" s="11"/>
      <c r="K10" s="11"/>
      <c r="L10" s="11"/>
      <c r="M10" s="11"/>
      <c r="N10" s="11"/>
      <c r="O10" s="11"/>
      <c r="P10" s="11"/>
      <c r="Q10" s="11"/>
      <c r="R10" s="11"/>
      <c r="S10" s="11"/>
      <c r="T10" s="11"/>
      <c r="U10" s="11"/>
      <c r="V10" s="11"/>
      <c r="W10" s="11"/>
      <c r="X10" s="11"/>
      <c r="Y10" s="11"/>
      <c r="Z10" s="11"/>
      <c r="AA10" s="11"/>
      <c r="AB10" s="11"/>
      <c r="AC10" s="11"/>
      <c r="AD10" s="11"/>
      <c r="AE10" s="12"/>
      <c r="AF10" s="6"/>
      <c r="AG10" s="7"/>
    </row>
    <row r="11" ht="14.25" customHeight="1">
      <c r="B11" s="14"/>
      <c r="C11" s="15"/>
      <c r="D11" s="15"/>
      <c r="E11" s="15"/>
      <c r="F11" s="15"/>
      <c r="G11" s="15"/>
      <c r="H11" s="16"/>
      <c r="I11" s="17"/>
      <c r="J11" s="17"/>
      <c r="K11" s="17"/>
      <c r="L11" s="17"/>
      <c r="M11" s="17"/>
      <c r="N11" s="17"/>
      <c r="O11" s="17"/>
      <c r="P11" s="17"/>
      <c r="Q11" s="17"/>
      <c r="R11" s="17"/>
      <c r="S11" s="17"/>
      <c r="T11" s="17"/>
      <c r="U11" s="17"/>
      <c r="V11" s="17"/>
      <c r="W11" s="17"/>
      <c r="X11" s="17"/>
      <c r="Y11" s="17"/>
      <c r="Z11" s="17"/>
      <c r="AA11" s="17"/>
      <c r="AB11" s="17"/>
      <c r="AC11" s="17"/>
      <c r="AD11" s="17"/>
      <c r="AE11" s="17"/>
      <c r="AG11" s="7"/>
      <c r="AR11" s="27" t="s">
        <v>11</v>
      </c>
      <c r="BF11" s="28"/>
      <c r="BG11" s="28"/>
      <c r="BH11" s="28"/>
      <c r="BI11" s="28"/>
      <c r="BJ11" s="28"/>
      <c r="BK11" s="28"/>
      <c r="BL11" s="28"/>
      <c r="BM11" s="28"/>
      <c r="BN11" s="28"/>
    </row>
    <row r="12" ht="14.25" customHeight="1">
      <c r="B12" s="18" t="s">
        <v>12</v>
      </c>
      <c r="I12" s="29" t="str">
        <f>'Species &amp; Traits'!I77</f>
        <v>Arachnoid</v>
      </c>
      <c r="J12" s="3"/>
      <c r="K12" s="3"/>
      <c r="L12" s="3"/>
      <c r="M12" s="3"/>
      <c r="N12" s="3"/>
      <c r="O12" s="3"/>
      <c r="P12" s="3"/>
      <c r="Q12" s="3"/>
      <c r="R12" s="3"/>
      <c r="S12" s="3"/>
      <c r="T12" s="3"/>
      <c r="U12" s="3"/>
      <c r="V12" s="3"/>
      <c r="W12" s="3"/>
      <c r="X12" s="3"/>
      <c r="Y12" s="3"/>
      <c r="Z12" s="3"/>
      <c r="AA12" s="3"/>
      <c r="AB12" s="3"/>
      <c r="AC12" s="3"/>
      <c r="AD12" s="3"/>
      <c r="AE12" s="5"/>
      <c r="AF12" s="6"/>
      <c r="AG12" s="7"/>
      <c r="BF12" s="30">
        <v>105.0</v>
      </c>
      <c r="BG12" s="11"/>
      <c r="BH12" s="11"/>
      <c r="BI12" s="11"/>
      <c r="BJ12" s="31" t="s">
        <v>13</v>
      </c>
      <c r="BK12" s="11"/>
      <c r="BL12" s="11"/>
      <c r="BM12" s="11"/>
      <c r="BN12" s="11"/>
    </row>
    <row r="13" ht="14.25" customHeight="1">
      <c r="B13" s="6"/>
      <c r="I13" s="11"/>
      <c r="J13" s="11"/>
      <c r="K13" s="11"/>
      <c r="L13" s="11"/>
      <c r="M13" s="11"/>
      <c r="N13" s="11"/>
      <c r="O13" s="11"/>
      <c r="P13" s="11"/>
      <c r="Q13" s="11"/>
      <c r="R13" s="11"/>
      <c r="S13" s="11"/>
      <c r="T13" s="11"/>
      <c r="U13" s="11"/>
      <c r="V13" s="11"/>
      <c r="W13" s="11"/>
      <c r="X13" s="11"/>
      <c r="Y13" s="11"/>
      <c r="Z13" s="11"/>
      <c r="AA13" s="11"/>
      <c r="AB13" s="11"/>
      <c r="AC13" s="11"/>
      <c r="AD13" s="11"/>
      <c r="AE13" s="12"/>
      <c r="AF13" s="6"/>
      <c r="AG13" s="7"/>
      <c r="AK13" s="32"/>
      <c r="AR13" s="33" t="s">
        <v>14</v>
      </c>
      <c r="AS13" s="3"/>
      <c r="AT13" s="3"/>
      <c r="AU13" s="34" t="s">
        <v>15</v>
      </c>
      <c r="AV13" s="3"/>
      <c r="AW13" s="3"/>
      <c r="AX13" s="35" t="s">
        <v>16</v>
      </c>
      <c r="AY13" s="3"/>
      <c r="AZ13" s="3"/>
      <c r="BA13" s="34" t="s">
        <v>17</v>
      </c>
      <c r="BB13" s="3"/>
      <c r="BC13" s="3"/>
      <c r="BD13" s="35" t="s">
        <v>18</v>
      </c>
      <c r="BE13" s="3"/>
      <c r="BF13" s="3"/>
      <c r="BG13" s="34" t="s">
        <v>19</v>
      </c>
      <c r="BH13" s="3"/>
      <c r="BI13" s="3"/>
      <c r="BJ13" s="36" t="s">
        <v>20</v>
      </c>
      <c r="BM13" s="36">
        <f>sum(AR15:BL15)</f>
        <v>110</v>
      </c>
    </row>
    <row r="14" ht="14.25" customHeight="1">
      <c r="B14" s="22"/>
      <c r="C14" s="23"/>
      <c r="D14" s="23"/>
      <c r="E14" s="23"/>
      <c r="F14" s="23"/>
      <c r="G14" s="23"/>
      <c r="H14" s="23"/>
      <c r="I14" s="25"/>
      <c r="J14" s="25"/>
      <c r="K14" s="25"/>
      <c r="L14" s="25"/>
      <c r="M14" s="25"/>
      <c r="N14" s="25"/>
      <c r="O14" s="25"/>
      <c r="P14" s="25"/>
      <c r="Q14" s="25"/>
      <c r="R14" s="25"/>
      <c r="S14" s="25"/>
      <c r="T14" s="25"/>
      <c r="U14" s="25"/>
      <c r="V14" s="25"/>
      <c r="W14" s="25"/>
      <c r="X14" s="25"/>
      <c r="Y14" s="25"/>
      <c r="Z14" s="25"/>
      <c r="AA14" s="25"/>
      <c r="AB14" s="25"/>
      <c r="AC14" s="25"/>
      <c r="AD14" s="25"/>
      <c r="AE14" s="25"/>
      <c r="AG14" s="7"/>
      <c r="AQ14" s="12"/>
      <c r="AR14" s="6"/>
    </row>
    <row r="15" ht="14.25" customHeight="1">
      <c r="B15" s="18" t="s">
        <v>21</v>
      </c>
      <c r="I15" s="9"/>
      <c r="J15" s="3"/>
      <c r="K15" s="3"/>
      <c r="L15" s="3"/>
      <c r="M15" s="3"/>
      <c r="N15" s="3"/>
      <c r="O15" s="3"/>
      <c r="P15" s="3"/>
      <c r="Q15" s="3"/>
      <c r="R15" s="3"/>
      <c r="S15" s="3"/>
      <c r="T15" s="3"/>
      <c r="U15" s="3"/>
      <c r="V15" s="3"/>
      <c r="W15" s="3"/>
      <c r="X15" s="3"/>
      <c r="Y15" s="3"/>
      <c r="Z15" s="3"/>
      <c r="AA15" s="3"/>
      <c r="AB15" s="3"/>
      <c r="AC15" s="3"/>
      <c r="AD15" s="3"/>
      <c r="AE15" s="5"/>
      <c r="AF15" s="6"/>
      <c r="AG15" s="7"/>
      <c r="AK15" s="37" t="s">
        <v>22</v>
      </c>
      <c r="AL15" s="3"/>
      <c r="AM15" s="3"/>
      <c r="AN15" s="3"/>
      <c r="AO15" s="3"/>
      <c r="AP15" s="3"/>
      <c r="AQ15" s="3"/>
      <c r="AR15" s="38">
        <v>20.0</v>
      </c>
      <c r="AS15" s="11"/>
      <c r="AT15" s="12"/>
      <c r="AU15" s="39">
        <v>20.0</v>
      </c>
      <c r="AV15" s="11"/>
      <c r="AW15" s="12"/>
      <c r="AX15" s="40">
        <v>20.0</v>
      </c>
      <c r="AY15" s="11"/>
      <c r="AZ15" s="12"/>
      <c r="BA15" s="39">
        <v>15.0</v>
      </c>
      <c r="BB15" s="11"/>
      <c r="BC15" s="12"/>
      <c r="BD15" s="40">
        <v>5.0</v>
      </c>
      <c r="BE15" s="11"/>
      <c r="BF15" s="12"/>
      <c r="BG15" s="39">
        <v>20.0</v>
      </c>
      <c r="BH15" s="11"/>
      <c r="BI15" s="12"/>
      <c r="BJ15" s="38">
        <v>10.0</v>
      </c>
      <c r="BK15" s="11"/>
      <c r="BL15" s="11"/>
    </row>
    <row r="16" ht="14.25" customHeight="1">
      <c r="B16" s="6"/>
      <c r="I16" s="11"/>
      <c r="J16" s="11"/>
      <c r="K16" s="11"/>
      <c r="L16" s="11"/>
      <c r="M16" s="11"/>
      <c r="N16" s="11"/>
      <c r="O16" s="11"/>
      <c r="P16" s="11"/>
      <c r="Q16" s="11"/>
      <c r="R16" s="11"/>
      <c r="S16" s="11"/>
      <c r="T16" s="11"/>
      <c r="U16" s="11"/>
      <c r="V16" s="11"/>
      <c r="W16" s="11"/>
      <c r="X16" s="11"/>
      <c r="Y16" s="11"/>
      <c r="Z16" s="11"/>
      <c r="AA16" s="11"/>
      <c r="AB16" s="11"/>
      <c r="AC16" s="11"/>
      <c r="AD16" s="11"/>
      <c r="AE16" s="12"/>
      <c r="AF16" s="6"/>
      <c r="AG16" s="7"/>
      <c r="AK16" s="41" t="s">
        <v>23</v>
      </c>
      <c r="AR16" s="42" t="str">
        <f>'Species &amp; Traits'!AX83</f>
        <v/>
      </c>
      <c r="AS16" s="3"/>
      <c r="AT16" s="5"/>
      <c r="AU16" s="43">
        <f>'Species &amp; Traits'!AZ83</f>
        <v>5</v>
      </c>
      <c r="AV16" s="3"/>
      <c r="AW16" s="5"/>
      <c r="AX16" s="44" t="str">
        <f>'Species &amp; Traits'!BB83</f>
        <v/>
      </c>
      <c r="AY16" s="3"/>
      <c r="AZ16" s="5"/>
      <c r="BA16" s="43" t="str">
        <f>'Species &amp; Traits'!BD83</f>
        <v/>
      </c>
      <c r="BB16" s="3"/>
      <c r="BC16" s="5"/>
      <c r="BD16" s="44" t="str">
        <f>'Species &amp; Traits'!BF83</f>
        <v/>
      </c>
      <c r="BE16" s="3"/>
      <c r="BF16" s="5"/>
      <c r="BG16" s="43">
        <f>'Species &amp; Traits'!BH83</f>
        <v>10</v>
      </c>
      <c r="BH16" s="3"/>
      <c r="BI16" s="5"/>
      <c r="BJ16" s="42" t="str">
        <f>'Species &amp; Traits'!BJ83</f>
        <v/>
      </c>
      <c r="BK16" s="3"/>
      <c r="BL16" s="3"/>
    </row>
    <row r="17" ht="14.25" customHeight="1">
      <c r="B17" s="14"/>
      <c r="C17" s="15"/>
      <c r="D17" s="15"/>
      <c r="E17" s="15"/>
      <c r="F17" s="15"/>
      <c r="G17" s="15"/>
      <c r="H17" s="16"/>
      <c r="I17" s="17"/>
      <c r="J17" s="17"/>
      <c r="K17" s="17"/>
      <c r="L17" s="17"/>
      <c r="M17" s="17"/>
      <c r="N17" s="17"/>
      <c r="O17" s="17"/>
      <c r="P17" s="17"/>
      <c r="Q17" s="17"/>
      <c r="R17" s="17"/>
      <c r="S17" s="17"/>
      <c r="T17" s="17"/>
      <c r="U17" s="17"/>
      <c r="V17" s="17"/>
      <c r="W17" s="17"/>
      <c r="X17" s="17"/>
      <c r="Y17" s="17"/>
      <c r="Z17" s="17"/>
      <c r="AA17" s="17"/>
      <c r="AB17" s="17"/>
      <c r="AC17" s="17"/>
      <c r="AD17" s="17"/>
      <c r="AE17" s="17"/>
      <c r="AG17" s="7"/>
      <c r="AK17" s="45"/>
      <c r="AL17" s="46"/>
      <c r="AM17" s="46"/>
      <c r="AN17" s="46"/>
      <c r="AO17" s="46"/>
      <c r="AP17" s="46"/>
      <c r="AQ17" s="46"/>
      <c r="AR17" s="47"/>
    </row>
    <row r="18" ht="14.25" customHeight="1">
      <c r="B18" s="18" t="s">
        <v>24</v>
      </c>
      <c r="I18" s="9"/>
      <c r="J18" s="3"/>
      <c r="K18" s="3"/>
      <c r="L18" s="3"/>
      <c r="M18" s="3"/>
      <c r="N18" s="3"/>
      <c r="O18" s="3"/>
      <c r="P18" s="3"/>
      <c r="Q18" s="3"/>
      <c r="R18" s="3"/>
      <c r="S18" s="3"/>
      <c r="T18" s="3"/>
      <c r="U18" s="3"/>
      <c r="V18" s="3"/>
      <c r="W18" s="3"/>
      <c r="X18" s="3"/>
      <c r="Y18" s="3"/>
      <c r="Z18" s="3"/>
      <c r="AA18" s="3"/>
      <c r="AB18" s="3"/>
      <c r="AC18" s="3"/>
      <c r="AD18" s="3"/>
      <c r="AE18" s="5"/>
      <c r="AF18" s="6"/>
      <c r="AG18" s="7"/>
      <c r="AK18" s="41" t="s">
        <v>25</v>
      </c>
      <c r="AR18" s="48">
        <f>AR15+AR16</f>
        <v>20</v>
      </c>
      <c r="AT18" s="49"/>
      <c r="AU18" s="50">
        <f>AU15+AU16</f>
        <v>25</v>
      </c>
      <c r="AW18" s="49"/>
      <c r="AX18" s="48">
        <f>AX15+AX16</f>
        <v>20</v>
      </c>
      <c r="AZ18" s="49"/>
      <c r="BA18" s="50">
        <f>BA15+BA16</f>
        <v>15</v>
      </c>
      <c r="BC18" s="49"/>
      <c r="BD18" s="51">
        <f>BD15+BD16</f>
        <v>5</v>
      </c>
      <c r="BF18" s="49"/>
      <c r="BG18" s="50">
        <f>BG15+BG16</f>
        <v>30</v>
      </c>
      <c r="BI18" s="49"/>
      <c r="BJ18" s="51">
        <f>BJ15+BJ16</f>
        <v>10</v>
      </c>
    </row>
    <row r="19" ht="14.25" customHeight="1">
      <c r="B19" s="6"/>
      <c r="I19" s="11"/>
      <c r="J19" s="11"/>
      <c r="K19" s="11"/>
      <c r="L19" s="11"/>
      <c r="M19" s="11"/>
      <c r="N19" s="11"/>
      <c r="O19" s="11"/>
      <c r="P19" s="11"/>
      <c r="Q19" s="11"/>
      <c r="R19" s="11"/>
      <c r="S19" s="11"/>
      <c r="T19" s="11"/>
      <c r="U19" s="11"/>
      <c r="V19" s="11"/>
      <c r="W19" s="11"/>
      <c r="X19" s="11"/>
      <c r="Y19" s="11"/>
      <c r="Z19" s="11"/>
      <c r="AA19" s="11"/>
      <c r="AB19" s="11"/>
      <c r="AC19" s="11"/>
      <c r="AD19" s="11"/>
      <c r="AE19" s="12"/>
      <c r="AF19" s="6"/>
      <c r="AG19" s="7"/>
      <c r="AK19" s="52" t="s">
        <v>26</v>
      </c>
      <c r="AL19" s="11"/>
      <c r="AM19" s="11"/>
      <c r="AN19" s="11"/>
      <c r="AO19" s="11"/>
      <c r="AP19" s="53">
        <f>sum('Species &amp; Traits'!B92)</f>
        <v>30</v>
      </c>
      <c r="AQ19" s="12"/>
      <c r="AT19" s="49"/>
      <c r="AU19" s="6"/>
      <c r="AW19" s="49"/>
      <c r="AZ19" s="49"/>
      <c r="BA19" s="6"/>
      <c r="BC19" s="49"/>
      <c r="BD19" s="6"/>
      <c r="BF19" s="49"/>
      <c r="BG19" s="6"/>
      <c r="BI19" s="49"/>
      <c r="BJ19" s="6"/>
      <c r="BM19" s="54">
        <f>IF(BN19&lt;BF12,0,BN19*10-BF12*10)</f>
        <v>50</v>
      </c>
      <c r="BN19" s="54">
        <f>SUM(AR15:BL15)</f>
        <v>110</v>
      </c>
    </row>
    <row r="20" ht="14.25" customHeight="1">
      <c r="B20" s="22"/>
      <c r="C20" s="23"/>
      <c r="D20" s="23"/>
      <c r="E20" s="23"/>
      <c r="F20" s="23"/>
      <c r="G20" s="23"/>
      <c r="H20" s="24"/>
      <c r="I20" s="25"/>
      <c r="J20" s="25"/>
      <c r="K20" s="25"/>
      <c r="L20" s="25"/>
      <c r="M20" s="25"/>
      <c r="N20" s="25"/>
      <c r="O20" s="25"/>
      <c r="P20" s="25"/>
      <c r="Q20" s="25"/>
      <c r="R20" s="25"/>
      <c r="S20" s="25"/>
      <c r="T20" s="25"/>
      <c r="U20" s="25"/>
      <c r="V20" s="25"/>
      <c r="W20" s="25"/>
      <c r="X20" s="25"/>
      <c r="Y20" s="25"/>
      <c r="Z20" s="25"/>
      <c r="AA20" s="25"/>
      <c r="AB20" s="25"/>
      <c r="AC20" s="25"/>
      <c r="AD20" s="25"/>
      <c r="AE20" s="25"/>
      <c r="AG20" s="7"/>
      <c r="AP20" s="3"/>
      <c r="AQ20" s="3"/>
      <c r="AR20" s="5"/>
      <c r="AS20" s="55"/>
      <c r="AT20" s="55"/>
      <c r="AU20" s="55"/>
      <c r="AV20" s="55"/>
      <c r="AW20" s="55"/>
      <c r="AX20" s="55"/>
      <c r="AY20" s="55"/>
      <c r="AZ20" s="55"/>
      <c r="BA20" s="55"/>
      <c r="BB20" s="55"/>
      <c r="BC20" s="55"/>
      <c r="BD20" s="55"/>
      <c r="BE20" s="55"/>
      <c r="BF20" s="55"/>
      <c r="BG20" s="55"/>
      <c r="BH20" s="55"/>
      <c r="BI20" s="55"/>
      <c r="BJ20" s="55"/>
      <c r="BK20" s="55"/>
      <c r="BL20" s="55"/>
      <c r="BM20" s="55"/>
      <c r="BN20" s="55"/>
    </row>
    <row r="21" ht="14.25" customHeight="1">
      <c r="B21" s="56" t="s">
        <v>27</v>
      </c>
      <c r="L21" s="4">
        <v>2.0</v>
      </c>
      <c r="M21" s="3"/>
      <c r="N21" s="3"/>
      <c r="O21" s="3"/>
      <c r="P21" s="57" t="s">
        <v>28</v>
      </c>
      <c r="Q21" s="3"/>
      <c r="R21" s="3"/>
      <c r="S21" s="3"/>
      <c r="T21" s="3"/>
      <c r="U21" s="3"/>
      <c r="V21" s="3"/>
      <c r="W21" s="3"/>
      <c r="X21" s="3"/>
      <c r="Y21" s="3"/>
      <c r="Z21" s="4">
        <v>2.0</v>
      </c>
      <c r="AA21" s="3"/>
      <c r="AB21" s="3"/>
      <c r="AC21" s="3"/>
      <c r="AD21" s="3"/>
      <c r="AE21" s="3"/>
      <c r="AF21" s="6"/>
      <c r="AG21" s="7"/>
      <c r="AS21" s="58" t="s">
        <v>29</v>
      </c>
      <c r="AW21" s="59"/>
      <c r="BB21" s="60" t="s">
        <v>30</v>
      </c>
    </row>
    <row r="22" ht="14.25" customHeight="1">
      <c r="B22" s="13"/>
      <c r="C22" s="11"/>
      <c r="D22" s="11"/>
      <c r="E22" s="11"/>
      <c r="F22" s="11"/>
      <c r="G22" s="11"/>
      <c r="H22" s="11"/>
      <c r="I22" s="11"/>
      <c r="J22" s="11"/>
      <c r="K22" s="11"/>
      <c r="P22" s="6"/>
      <c r="AF22" s="6"/>
      <c r="AG22" s="7"/>
      <c r="AS22" s="6"/>
    </row>
    <row r="23" ht="14.25" customHeight="1">
      <c r="B23" s="61"/>
      <c r="C23" s="61"/>
      <c r="D23" s="61"/>
      <c r="E23" s="61"/>
      <c r="F23" s="61"/>
      <c r="G23" s="61"/>
      <c r="H23" s="61"/>
      <c r="I23" s="17"/>
      <c r="J23" s="17"/>
      <c r="K23" s="17"/>
      <c r="L23" s="17"/>
      <c r="M23" s="17"/>
      <c r="N23" s="17"/>
      <c r="O23" s="17"/>
      <c r="P23" s="17"/>
      <c r="Q23" s="17"/>
      <c r="R23" s="17"/>
      <c r="S23" s="17"/>
      <c r="T23" s="17"/>
      <c r="U23" s="17"/>
      <c r="V23" s="17"/>
      <c r="W23" s="17"/>
      <c r="X23" s="17"/>
      <c r="Y23" s="17"/>
      <c r="Z23" s="17"/>
      <c r="AA23" s="17"/>
      <c r="AB23" s="17"/>
      <c r="AC23" s="17"/>
      <c r="AD23" s="17"/>
      <c r="AE23" s="17"/>
      <c r="AG23" s="7"/>
      <c r="AS23" s="62"/>
      <c r="AT23" s="63"/>
      <c r="AU23" s="63"/>
      <c r="AV23" s="63"/>
      <c r="AW23" s="64" t="s">
        <v>31</v>
      </c>
      <c r="AY23" s="65"/>
      <c r="AZ23" s="65"/>
      <c r="BA23" s="65"/>
      <c r="BB23" s="65"/>
      <c r="BC23" s="64" t="s">
        <v>32</v>
      </c>
      <c r="BE23" s="65"/>
      <c r="BF23" s="64" t="s">
        <v>33</v>
      </c>
      <c r="BJ23" s="63"/>
      <c r="BK23" s="63"/>
      <c r="BL23" s="63"/>
      <c r="BM23" s="66"/>
      <c r="BN23" s="66"/>
    </row>
    <row r="24" ht="14.25" customHeight="1">
      <c r="B24" s="2" t="s">
        <v>34</v>
      </c>
      <c r="C24" s="3"/>
      <c r="D24" s="3"/>
      <c r="E24" s="3"/>
      <c r="F24" s="3"/>
      <c r="G24" s="4">
        <v>1000.0</v>
      </c>
      <c r="H24" s="3"/>
      <c r="I24" s="3"/>
      <c r="J24" s="3"/>
      <c r="K24" s="3"/>
      <c r="L24" s="67" t="s">
        <v>35</v>
      </c>
      <c r="M24" s="3"/>
      <c r="N24" s="3"/>
      <c r="O24" s="3"/>
      <c r="P24" s="3"/>
      <c r="Q24" s="4">
        <v>5.0</v>
      </c>
      <c r="R24" s="3"/>
      <c r="S24" s="3"/>
      <c r="T24" s="3"/>
      <c r="U24" s="3"/>
      <c r="V24" s="67" t="s">
        <v>36</v>
      </c>
      <c r="W24" s="3"/>
      <c r="X24" s="3"/>
      <c r="Y24" s="3"/>
      <c r="Z24" s="3"/>
      <c r="AA24" s="68">
        <f>G24+Q24-AE38</f>
        <v>5</v>
      </c>
      <c r="AE24" s="49"/>
      <c r="AG24" s="7"/>
      <c r="AS24" s="62"/>
      <c r="AT24" s="63"/>
      <c r="AU24" s="63"/>
      <c r="AV24" s="63"/>
      <c r="AY24" s="65"/>
      <c r="AZ24" s="65"/>
      <c r="BA24" s="65"/>
      <c r="BB24" s="65"/>
      <c r="BE24" s="65"/>
      <c r="BJ24" s="63"/>
      <c r="BK24" s="63"/>
      <c r="BL24" s="63"/>
      <c r="BM24" s="66"/>
      <c r="BN24" s="66"/>
    </row>
    <row r="25" ht="14.25" customHeight="1">
      <c r="B25" s="13"/>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G25" s="7"/>
      <c r="AS25" s="69" t="s">
        <v>37</v>
      </c>
      <c r="AU25" s="36" t="s">
        <v>38</v>
      </c>
      <c r="AW25" s="36" t="s">
        <v>39</v>
      </c>
      <c r="AY25" s="36" t="s">
        <v>40</v>
      </c>
      <c r="BA25" s="36" t="s">
        <v>41</v>
      </c>
      <c r="BC25" s="36" t="s">
        <v>42</v>
      </c>
      <c r="BE25" s="36" t="s">
        <v>43</v>
      </c>
      <c r="BG25" s="36" t="s">
        <v>44</v>
      </c>
      <c r="BI25" s="36" t="s">
        <v>45</v>
      </c>
      <c r="BK25" s="70" t="s">
        <v>46</v>
      </c>
      <c r="BM25" s="36"/>
    </row>
    <row r="26" ht="14.25" customHeight="1">
      <c r="B26" s="61"/>
      <c r="C26" s="61"/>
      <c r="D26" s="61"/>
      <c r="E26" s="61"/>
      <c r="F26" s="61"/>
      <c r="G26" s="61"/>
      <c r="H26" s="61"/>
      <c r="I26" s="17"/>
      <c r="J26" s="17"/>
      <c r="K26" s="17"/>
      <c r="L26" s="17"/>
      <c r="M26" s="17"/>
      <c r="N26" s="17"/>
      <c r="O26" s="17"/>
      <c r="P26" s="17"/>
      <c r="Q26" s="17"/>
      <c r="R26" s="17"/>
      <c r="S26" s="17"/>
      <c r="T26" s="17"/>
      <c r="U26" s="17"/>
      <c r="V26" s="17"/>
      <c r="W26" s="17"/>
      <c r="X26" s="17"/>
      <c r="Y26" s="17"/>
      <c r="Z26" s="17"/>
      <c r="AA26" s="17"/>
      <c r="AB26" s="17"/>
      <c r="AC26" s="17"/>
      <c r="AD26" s="17"/>
      <c r="AE26" s="17"/>
      <c r="AG26" s="7"/>
      <c r="AS26" s="71"/>
    </row>
    <row r="27" ht="14.25" customHeight="1">
      <c r="B27" s="72" t="s">
        <v>47</v>
      </c>
      <c r="C27" s="3"/>
      <c r="D27" s="3"/>
      <c r="E27" s="3"/>
      <c r="F27" s="3"/>
      <c r="G27" s="3"/>
      <c r="H27" s="3"/>
      <c r="I27" s="73" t="s">
        <v>48</v>
      </c>
      <c r="J27" s="3"/>
      <c r="K27" s="3"/>
      <c r="L27" s="3"/>
      <c r="M27" s="3"/>
      <c r="N27" s="3"/>
      <c r="O27" s="3"/>
      <c r="P27" s="3"/>
      <c r="Q27" s="3"/>
      <c r="R27" s="3"/>
      <c r="S27" s="3"/>
      <c r="T27" s="3"/>
      <c r="U27" s="3"/>
      <c r="V27" s="3"/>
      <c r="W27" s="3"/>
      <c r="X27" s="3"/>
      <c r="Y27" s="3"/>
      <c r="Z27" s="3"/>
      <c r="AA27" s="3"/>
      <c r="AB27" s="3"/>
      <c r="AC27" s="3"/>
      <c r="AD27" s="3"/>
      <c r="AE27" s="5"/>
      <c r="AF27" s="74"/>
      <c r="AG27" s="75"/>
      <c r="AH27" s="75"/>
      <c r="AI27" s="75"/>
      <c r="AJ27" s="75"/>
      <c r="AK27" s="75"/>
      <c r="AL27" s="75"/>
      <c r="AM27" s="75"/>
      <c r="AN27" s="75"/>
      <c r="AO27" s="75"/>
      <c r="AP27" s="75"/>
      <c r="AQ27" s="75"/>
      <c r="AR27" s="75"/>
      <c r="AS27" s="76">
        <f>L21</f>
        <v>2</v>
      </c>
      <c r="AT27" s="49"/>
      <c r="AU27" s="76">
        <f>IF(AW21="Novice",ROUNDDOWN((AW27/5)-1,0),IF(AW21="Practicing",ROUNDDOWN((AW27/5)-1,0),IF(AW21="Master",ROUNDDOWN((AW27/5)-1,0),ROUNDDOWN(AW27/5,0))))</f>
        <v>4</v>
      </c>
      <c r="AV27" s="49"/>
      <c r="AW27" s="77">
        <f>BJ18*2</f>
        <v>20</v>
      </c>
      <c r="AX27" s="49"/>
      <c r="AY27" s="77">
        <f>AW27*2</f>
        <v>40</v>
      </c>
      <c r="AZ27" s="49"/>
      <c r="BA27" s="77">
        <f>ROUNDDOWN(BC27/5,0)</f>
        <v>11</v>
      </c>
      <c r="BB27" s="49"/>
      <c r="BC27" s="77">
        <f>'Species &amp; Traits'!F97</f>
        <v>55</v>
      </c>
      <c r="BD27" s="49"/>
      <c r="BE27" s="78">
        <f>IF('Species &amp; Traits'!AP78="Monstrous",BC27*2,ROUND(BC27*1.5,0))</f>
        <v>83</v>
      </c>
      <c r="BF27" s="49"/>
      <c r="BG27" s="79">
        <f>sum(AX18+BA18)/5+'Species &amp; Traits'!B97</f>
        <v>7</v>
      </c>
      <c r="BH27" s="49"/>
      <c r="BI27" s="77">
        <f>'Species &amp; Traits'!I92+1</f>
        <v>1</v>
      </c>
      <c r="BJ27" s="49"/>
      <c r="BK27" s="77">
        <f>ROUND(BG18/5,0)</f>
        <v>6</v>
      </c>
    </row>
    <row r="28" ht="14.25" customHeight="1">
      <c r="B28" s="6"/>
      <c r="I28" s="11"/>
      <c r="J28" s="11"/>
      <c r="K28" s="11"/>
      <c r="L28" s="11"/>
      <c r="M28" s="11"/>
      <c r="N28" s="11"/>
      <c r="O28" s="11"/>
      <c r="P28" s="11"/>
      <c r="Q28" s="11"/>
      <c r="R28" s="11"/>
      <c r="S28" s="11"/>
      <c r="T28" s="11"/>
      <c r="U28" s="11"/>
      <c r="V28" s="11"/>
      <c r="W28" s="11"/>
      <c r="X28" s="11"/>
      <c r="Y28" s="11"/>
      <c r="Z28" s="11"/>
      <c r="AA28" s="11"/>
      <c r="AB28" s="11"/>
      <c r="AC28" s="11"/>
      <c r="AD28" s="11"/>
      <c r="AE28" s="12"/>
      <c r="AF28" s="74"/>
      <c r="AG28" s="75"/>
      <c r="AH28" s="75"/>
      <c r="AI28" s="75"/>
      <c r="AJ28" s="75"/>
      <c r="AK28" s="75"/>
      <c r="AL28" s="75"/>
      <c r="AM28" s="75"/>
      <c r="AN28" s="75"/>
      <c r="AO28" s="75"/>
      <c r="AP28" s="75"/>
      <c r="AQ28" s="75"/>
      <c r="AR28" s="75"/>
      <c r="AS28" s="6"/>
      <c r="AT28" s="49"/>
      <c r="AU28" s="6"/>
      <c r="AV28" s="49"/>
      <c r="AW28" s="6"/>
      <c r="AX28" s="49"/>
      <c r="AY28" s="6"/>
      <c r="AZ28" s="49"/>
      <c r="BA28" s="6"/>
      <c r="BB28" s="49"/>
      <c r="BC28" s="6"/>
      <c r="BD28" s="49"/>
      <c r="BE28" s="6"/>
      <c r="BF28" s="49"/>
      <c r="BG28" s="6"/>
      <c r="BH28" s="49"/>
      <c r="BI28" s="6"/>
      <c r="BJ28" s="49"/>
      <c r="BK28" s="6"/>
    </row>
    <row r="29" ht="14.25" customHeight="1">
      <c r="B29" s="6"/>
      <c r="I29" s="80"/>
      <c r="J29" s="3"/>
      <c r="K29" s="3"/>
      <c r="L29" s="3"/>
      <c r="M29" s="3"/>
      <c r="N29" s="3"/>
      <c r="O29" s="3"/>
      <c r="P29" s="3"/>
      <c r="Q29" s="3"/>
      <c r="R29" s="3"/>
      <c r="S29" s="3"/>
      <c r="T29" s="3"/>
      <c r="U29" s="3"/>
      <c r="V29" s="3"/>
      <c r="W29" s="3"/>
      <c r="X29" s="3"/>
      <c r="Y29" s="3"/>
      <c r="Z29" s="3"/>
      <c r="AA29" s="3"/>
      <c r="AB29" s="3"/>
      <c r="AC29" s="3"/>
      <c r="AD29" s="3"/>
      <c r="AE29" s="5"/>
      <c r="AS29" s="81"/>
      <c r="AT29" s="55"/>
      <c r="AU29" s="64" t="s">
        <v>49</v>
      </c>
      <c r="AW29" s="65"/>
      <c r="AX29" s="65"/>
      <c r="AY29" s="64" t="s">
        <v>50</v>
      </c>
      <c r="BA29" s="64" t="s">
        <v>51</v>
      </c>
      <c r="BC29" s="65"/>
      <c r="BD29" s="82" t="s">
        <v>52</v>
      </c>
      <c r="BJ29" s="65"/>
      <c r="BK29" s="83" t="s">
        <v>53</v>
      </c>
      <c r="BM29" s="55"/>
      <c r="BN29" s="55"/>
    </row>
    <row r="30" ht="14.25" customHeight="1">
      <c r="B30" s="6"/>
      <c r="I30" s="11"/>
      <c r="J30" s="11"/>
      <c r="K30" s="11"/>
      <c r="L30" s="11"/>
      <c r="M30" s="11"/>
      <c r="N30" s="11"/>
      <c r="O30" s="11"/>
      <c r="P30" s="11"/>
      <c r="Q30" s="11"/>
      <c r="R30" s="11"/>
      <c r="S30" s="11"/>
      <c r="T30" s="11"/>
      <c r="U30" s="11"/>
      <c r="V30" s="11"/>
      <c r="W30" s="11"/>
      <c r="X30" s="11"/>
      <c r="Y30" s="11"/>
      <c r="Z30" s="11"/>
      <c r="AA30" s="11"/>
      <c r="AB30" s="11"/>
      <c r="AC30" s="11"/>
      <c r="AD30" s="11"/>
      <c r="AE30" s="12"/>
      <c r="AS30" s="81"/>
      <c r="AT30" s="55"/>
      <c r="AW30" s="65"/>
      <c r="AX30" s="65"/>
      <c r="BC30" s="65"/>
      <c r="BJ30" s="65"/>
      <c r="BM30" s="84"/>
      <c r="BN30" s="84"/>
    </row>
    <row r="31" ht="14.25" customHeight="1">
      <c r="B31" s="6"/>
      <c r="I31" s="85"/>
      <c r="J31" s="3"/>
      <c r="K31" s="3"/>
      <c r="L31" s="3"/>
      <c r="M31" s="3"/>
      <c r="N31" s="3"/>
      <c r="O31" s="3"/>
      <c r="P31" s="3"/>
      <c r="Q31" s="3"/>
      <c r="R31" s="3"/>
      <c r="S31" s="3"/>
      <c r="T31" s="3"/>
      <c r="U31" s="3"/>
      <c r="V31" s="3"/>
      <c r="W31" s="3"/>
      <c r="X31" s="3"/>
      <c r="Y31" s="3"/>
      <c r="Z31" s="3"/>
      <c r="AA31" s="3"/>
      <c r="AB31" s="3"/>
      <c r="AC31" s="3"/>
      <c r="AD31" s="3"/>
      <c r="AE31" s="3"/>
      <c r="AF31" s="86" t="s">
        <v>54</v>
      </c>
      <c r="AG31" s="3"/>
      <c r="AH31" s="3"/>
      <c r="AI31" s="87"/>
      <c r="AJ31" s="3"/>
      <c r="AK31" s="3"/>
      <c r="AL31" s="3"/>
      <c r="AM31" s="3"/>
      <c r="AN31" s="3"/>
      <c r="AO31" s="3"/>
      <c r="AP31" s="3"/>
      <c r="AQ31" s="3"/>
      <c r="AR31" s="3"/>
      <c r="AS31" s="88" t="s">
        <v>55</v>
      </c>
      <c r="BA31" s="89">
        <v>3.0</v>
      </c>
      <c r="BB31" s="49"/>
      <c r="BC31" s="90"/>
      <c r="BE31" s="82"/>
      <c r="BF31" s="82"/>
      <c r="BG31" s="82"/>
      <c r="BH31" s="82"/>
      <c r="BI31" s="82"/>
      <c r="BJ31" s="65"/>
      <c r="BK31" s="83"/>
      <c r="BL31" s="83"/>
      <c r="BM31" s="84"/>
      <c r="BN31" s="84"/>
    </row>
    <row r="32" ht="14.25" customHeight="1">
      <c r="B32" s="13"/>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I32" s="11"/>
      <c r="AJ32" s="11"/>
      <c r="AK32" s="11"/>
      <c r="AL32" s="11"/>
      <c r="AM32" s="11"/>
      <c r="AN32" s="11"/>
      <c r="AO32" s="11"/>
      <c r="AP32" s="11"/>
      <c r="AQ32" s="11"/>
      <c r="AR32" s="11"/>
      <c r="BB32" s="49"/>
      <c r="BC32" s="6"/>
      <c r="BE32" s="55"/>
      <c r="BF32" s="55"/>
      <c r="BG32" s="55"/>
      <c r="BH32" s="55"/>
      <c r="BI32" s="55"/>
      <c r="BJ32" s="55"/>
      <c r="BK32" s="55"/>
      <c r="BL32" s="55"/>
      <c r="BM32" s="55"/>
      <c r="BN32" s="55"/>
    </row>
    <row r="33" ht="14.25" customHeight="1">
      <c r="M33" s="91"/>
      <c r="N33" s="91"/>
      <c r="O33" s="91"/>
      <c r="P33" s="91"/>
      <c r="Q33" s="91"/>
      <c r="R33" s="91"/>
      <c r="S33" s="91"/>
      <c r="T33" s="91"/>
      <c r="W33" s="92"/>
      <c r="X33" s="92"/>
      <c r="Y33" s="92"/>
      <c r="Z33" s="92"/>
      <c r="AA33" s="92"/>
      <c r="AB33" s="92"/>
      <c r="AC33" s="91"/>
      <c r="AD33" s="91"/>
      <c r="AE33" s="91"/>
      <c r="AF33" s="93"/>
      <c r="AG33" s="3"/>
      <c r="AH33" s="3"/>
      <c r="AI33" s="3"/>
      <c r="AJ33" s="3"/>
      <c r="AK33" s="3"/>
      <c r="AL33" s="3"/>
      <c r="AM33" s="3"/>
      <c r="AN33" s="3"/>
      <c r="AO33" s="3"/>
      <c r="AP33" s="3"/>
      <c r="AQ33" s="3"/>
      <c r="AR33" s="3"/>
      <c r="AS33" s="88"/>
      <c r="AT33" s="88"/>
      <c r="AU33" s="88"/>
      <c r="AV33" s="88"/>
      <c r="AW33" s="88"/>
      <c r="AX33" s="88"/>
      <c r="AY33" s="88"/>
      <c r="AZ33" s="88"/>
      <c r="BA33" s="94" t="s">
        <v>56</v>
      </c>
      <c r="BC33" s="94" t="s">
        <v>57</v>
      </c>
      <c r="BE33" s="95" t="s">
        <v>58</v>
      </c>
      <c r="BM33" s="96">
        <f>BJ36-BC31</f>
        <v>0</v>
      </c>
      <c r="BN33" s="96">
        <f>BD36-BA31</f>
        <v>-3</v>
      </c>
    </row>
    <row r="34" ht="14.25" customHeight="1">
      <c r="J34" s="97" t="s">
        <v>59</v>
      </c>
      <c r="L34" s="98" t="s">
        <v>60</v>
      </c>
      <c r="N34" s="98" t="s">
        <v>61</v>
      </c>
      <c r="P34" s="97" t="s">
        <v>62</v>
      </c>
      <c r="R34" s="91" t="s">
        <v>63</v>
      </c>
      <c r="U34" s="99" t="s">
        <v>59</v>
      </c>
      <c r="W34" s="100" t="s">
        <v>60</v>
      </c>
      <c r="Y34" s="100" t="s">
        <v>61</v>
      </c>
      <c r="AA34" s="99" t="s">
        <v>62</v>
      </c>
      <c r="AC34" s="92" t="s">
        <v>64</v>
      </c>
      <c r="AF34" s="13"/>
      <c r="AG34" s="11"/>
      <c r="AH34" s="11"/>
      <c r="AI34" s="11"/>
      <c r="AJ34" s="11"/>
      <c r="AK34" s="11"/>
      <c r="AL34" s="11"/>
      <c r="AM34" s="11"/>
      <c r="AN34" s="11"/>
      <c r="AO34" s="11"/>
      <c r="AP34" s="11"/>
      <c r="AQ34" s="11"/>
      <c r="AR34" s="11"/>
      <c r="AS34" s="88"/>
      <c r="AT34" s="88"/>
      <c r="AU34" s="88"/>
      <c r="AV34" s="88"/>
      <c r="AW34" s="88"/>
      <c r="AX34" s="88"/>
      <c r="AY34" s="88"/>
      <c r="AZ34" s="88"/>
      <c r="BA34" s="95"/>
      <c r="BB34" s="95"/>
      <c r="BC34" s="95"/>
      <c r="BD34" s="95"/>
      <c r="BM34" s="96">
        <f t="shared" ref="BM34:BN34" si="1">IF(BM33&lt;0,0,BM33)</f>
        <v>0</v>
      </c>
      <c r="BN34" s="96">
        <f t="shared" si="1"/>
        <v>0</v>
      </c>
    </row>
    <row r="35" ht="14.25" customHeight="1">
      <c r="B35" s="101" t="s">
        <v>65</v>
      </c>
      <c r="C35" s="3"/>
      <c r="D35" s="3"/>
      <c r="E35" s="3"/>
      <c r="F35" s="3"/>
      <c r="G35" s="3"/>
      <c r="H35" s="3"/>
      <c r="I35" s="3"/>
      <c r="J35" s="102">
        <v>14.0</v>
      </c>
      <c r="K35" s="5"/>
      <c r="L35" s="103"/>
      <c r="M35" s="3"/>
      <c r="N35" s="103"/>
      <c r="O35" s="5"/>
      <c r="P35" s="102">
        <v>2.0</v>
      </c>
      <c r="Q35" s="5"/>
      <c r="R35" s="104">
        <f>SUM(P35+N35+L35+J35+J37)</f>
        <v>16</v>
      </c>
      <c r="S35" s="3"/>
      <c r="T35" s="5"/>
      <c r="U35" s="105">
        <v>12.0</v>
      </c>
      <c r="V35" s="5"/>
      <c r="W35" s="105"/>
      <c r="X35" s="5"/>
      <c r="Y35" s="105"/>
      <c r="Z35" s="5"/>
      <c r="AA35" s="106"/>
      <c r="AB35" s="5"/>
      <c r="AC35" s="107">
        <f>SUM(AA35+Y35+W35+U35+O37)</f>
        <v>12</v>
      </c>
      <c r="AD35" s="3"/>
      <c r="AE35" s="5"/>
      <c r="AF35" s="108"/>
      <c r="AG35" s="3"/>
      <c r="AH35" s="3"/>
      <c r="AI35" s="3"/>
      <c r="AJ35" s="3"/>
      <c r="AK35" s="3"/>
      <c r="AL35" s="3"/>
      <c r="AM35" s="3"/>
      <c r="AN35" s="3"/>
      <c r="AO35" s="3"/>
      <c r="AP35" s="3"/>
      <c r="AQ35" s="3"/>
      <c r="AR35" s="3"/>
      <c r="AS35" s="88"/>
      <c r="AT35" s="88"/>
      <c r="AU35" s="88"/>
      <c r="AV35" s="88"/>
      <c r="AW35" s="88"/>
      <c r="AX35" s="88"/>
      <c r="AY35" s="88"/>
      <c r="AZ35" s="88"/>
      <c r="BA35" s="109" t="s">
        <v>66</v>
      </c>
      <c r="BD35" s="109" t="s">
        <v>67</v>
      </c>
      <c r="BG35" s="109" t="s">
        <v>68</v>
      </c>
      <c r="BJ35" s="109" t="s">
        <v>69</v>
      </c>
      <c r="BM35" s="109"/>
      <c r="BN35" s="109"/>
    </row>
    <row r="36" ht="14.25" customHeight="1">
      <c r="B36" s="6"/>
      <c r="J36" s="11"/>
      <c r="K36" s="12"/>
      <c r="L36" s="6"/>
      <c r="N36" s="6"/>
      <c r="O36" s="49"/>
      <c r="P36" s="11"/>
      <c r="Q36" s="12"/>
      <c r="T36" s="49"/>
      <c r="U36" s="6"/>
      <c r="V36" s="49"/>
      <c r="W36" s="6"/>
      <c r="X36" s="49"/>
      <c r="Y36" s="6"/>
      <c r="Z36" s="49"/>
      <c r="AA36" s="11"/>
      <c r="AB36" s="12"/>
      <c r="AC36" s="13"/>
      <c r="AD36" s="11"/>
      <c r="AE36" s="12"/>
      <c r="AF36" s="13"/>
      <c r="AG36" s="11"/>
      <c r="AH36" s="11"/>
      <c r="AI36" s="11"/>
      <c r="AJ36" s="11"/>
      <c r="AK36" s="11"/>
      <c r="AL36" s="11"/>
      <c r="AM36" s="11"/>
      <c r="AN36" s="11"/>
      <c r="AO36" s="11"/>
      <c r="AP36" s="11"/>
      <c r="AQ36" s="11"/>
      <c r="AR36" s="11"/>
      <c r="AS36" s="88"/>
      <c r="AT36" s="88"/>
      <c r="AU36" s="88"/>
      <c r="AV36" s="88"/>
      <c r="AW36" s="88"/>
      <c r="AX36" s="88"/>
      <c r="AY36" s="88"/>
      <c r="AZ36" s="88"/>
      <c r="BA36" s="110"/>
      <c r="BC36" s="49"/>
      <c r="BD36" s="110"/>
      <c r="BG36" s="111"/>
      <c r="BI36" s="49"/>
      <c r="BJ36" s="112"/>
      <c r="BM36" s="109"/>
      <c r="BN36" s="109"/>
    </row>
    <row r="37" ht="14.25" customHeight="1">
      <c r="B37" s="113" t="s">
        <v>70</v>
      </c>
      <c r="J37" s="19"/>
      <c r="K37" s="3"/>
      <c r="L37" s="3"/>
      <c r="M37" s="114" t="s">
        <v>71</v>
      </c>
      <c r="O37" s="19"/>
      <c r="P37" s="3"/>
      <c r="Q37" s="3"/>
      <c r="R37" s="113" t="s">
        <v>72</v>
      </c>
      <c r="Z37" s="102"/>
      <c r="AA37" s="3"/>
      <c r="AB37" s="115">
        <f>ROUND(Ledger!AG12,0)</f>
        <v>0</v>
      </c>
      <c r="AC37" s="116"/>
      <c r="AD37" s="3"/>
      <c r="AE37" s="117">
        <f>SUM('Species &amp; Traits'!A12+Ledger!AG20)</f>
        <v>79</v>
      </c>
      <c r="AF37" s="118"/>
      <c r="AG37" s="3"/>
      <c r="AH37" s="3"/>
      <c r="AI37" s="3"/>
      <c r="AJ37" s="3"/>
      <c r="AK37" s="3"/>
      <c r="AL37" s="3"/>
      <c r="AM37" s="3"/>
      <c r="AN37" s="3"/>
      <c r="AO37" s="3"/>
      <c r="AP37" s="3"/>
      <c r="AQ37" s="3"/>
      <c r="AR37" s="3"/>
      <c r="AS37" s="88"/>
      <c r="AT37" s="88"/>
      <c r="AU37" s="88"/>
      <c r="AV37" s="88"/>
      <c r="AW37" s="88"/>
      <c r="AX37" s="88"/>
      <c r="AY37" s="88"/>
      <c r="AZ37" s="88"/>
      <c r="BC37" s="49"/>
      <c r="BG37" s="6"/>
      <c r="BI37" s="49"/>
      <c r="BM37" s="109"/>
      <c r="BN37" s="109"/>
    </row>
    <row r="38" ht="14.25" customHeight="1">
      <c r="B38" s="13"/>
      <c r="C38" s="11"/>
      <c r="D38" s="11"/>
      <c r="E38" s="11"/>
      <c r="F38" s="11"/>
      <c r="G38" s="11"/>
      <c r="H38" s="11"/>
      <c r="I38" s="11"/>
      <c r="J38" s="11"/>
      <c r="K38" s="11"/>
      <c r="L38" s="11"/>
      <c r="M38" s="11"/>
      <c r="N38" s="11"/>
      <c r="O38" s="11"/>
      <c r="P38" s="11"/>
      <c r="Q38" s="11"/>
      <c r="R38" s="6"/>
      <c r="Z38" s="11"/>
      <c r="AA38" s="11"/>
      <c r="AB38" s="119">
        <f>SUM(BM19+A45+A87+A88+A89+A90+A91+A92+AG47)</f>
        <v>921</v>
      </c>
      <c r="AC38" s="11"/>
      <c r="AD38" s="11"/>
      <c r="AE38" s="120">
        <f>SUM(AB38+AE37)</f>
        <v>1000</v>
      </c>
      <c r="AF38" s="11"/>
      <c r="AG38" s="11"/>
      <c r="AH38" s="11"/>
      <c r="AI38" s="11"/>
      <c r="AJ38" s="11"/>
      <c r="AK38" s="11"/>
      <c r="AL38" s="11"/>
      <c r="AM38" s="11"/>
      <c r="AN38" s="11"/>
      <c r="AO38" s="11"/>
      <c r="AP38" s="11"/>
      <c r="AQ38" s="11"/>
      <c r="AR38" s="11"/>
      <c r="AS38" s="88"/>
      <c r="AT38" s="88"/>
      <c r="AU38" s="88"/>
      <c r="AV38" s="88"/>
      <c r="AW38" s="88"/>
      <c r="AX38" s="88"/>
      <c r="AY38" s="88"/>
      <c r="AZ38" s="88"/>
      <c r="BA38" s="121" t="s">
        <v>73</v>
      </c>
      <c r="BG38" s="122">
        <f>SUM(BM34+BN34)*-10</f>
        <v>0</v>
      </c>
      <c r="BH38" s="3"/>
      <c r="BI38" s="3"/>
      <c r="BJ38" s="3"/>
      <c r="BK38" s="3"/>
      <c r="BL38" s="3"/>
      <c r="BM38" s="109"/>
      <c r="BN38" s="109"/>
    </row>
    <row r="39" ht="14.25" customHeight="1">
      <c r="J39" s="123" t="s">
        <v>63</v>
      </c>
      <c r="K39" s="3"/>
      <c r="L39" s="3"/>
      <c r="M39" s="3"/>
      <c r="O39" s="91" t="s">
        <v>64</v>
      </c>
      <c r="Z39" s="97" t="s">
        <v>74</v>
      </c>
      <c r="AC39" s="97" t="s">
        <v>75</v>
      </c>
      <c r="AF39" s="11"/>
      <c r="AG39" s="124"/>
      <c r="AH39" s="11"/>
      <c r="AI39" s="11"/>
      <c r="AJ39" s="11"/>
      <c r="AK39" s="11"/>
      <c r="AL39" s="11"/>
      <c r="AM39" s="11"/>
      <c r="AN39" s="11"/>
      <c r="AO39" s="11"/>
      <c r="AP39" s="11"/>
      <c r="AQ39" s="11"/>
      <c r="AR39" s="11"/>
      <c r="AS39" s="88"/>
      <c r="AT39" s="88"/>
      <c r="AU39" s="88"/>
      <c r="AV39" s="88"/>
      <c r="AW39" s="88"/>
      <c r="AX39" s="88"/>
      <c r="AY39" s="88"/>
      <c r="AZ39" s="88"/>
      <c r="BG39" s="11"/>
      <c r="BH39" s="11"/>
      <c r="BI39" s="11"/>
      <c r="BJ39" s="11"/>
      <c r="BK39" s="11"/>
      <c r="BL39" s="11"/>
      <c r="BM39" s="109"/>
      <c r="BN39" s="109"/>
    </row>
    <row r="40" ht="14.25" customHeight="1">
      <c r="B40" s="101" t="s">
        <v>76</v>
      </c>
      <c r="C40" s="3"/>
      <c r="D40" s="3"/>
      <c r="E40" s="3"/>
      <c r="F40" s="3"/>
      <c r="G40" s="3"/>
      <c r="H40" s="3"/>
      <c r="I40" s="3"/>
      <c r="J40" s="3"/>
      <c r="K40" s="9"/>
      <c r="L40" s="3"/>
      <c r="M40" s="3"/>
      <c r="N40" s="3"/>
      <c r="O40" s="3"/>
      <c r="P40" s="3"/>
      <c r="Q40" s="3"/>
      <c r="R40" s="3"/>
      <c r="S40" s="3"/>
      <c r="T40" s="3"/>
      <c r="U40" s="3"/>
      <c r="V40" s="125"/>
      <c r="W40" s="3"/>
      <c r="X40" s="3"/>
      <c r="Y40" s="3"/>
      <c r="Z40" s="3"/>
      <c r="AA40" s="5"/>
      <c r="AB40" s="9"/>
      <c r="AC40" s="3"/>
      <c r="AD40" s="3"/>
      <c r="AE40" s="3"/>
      <c r="AF40" s="3"/>
      <c r="AG40" s="125"/>
      <c r="AH40" s="3"/>
      <c r="AI40" s="5"/>
      <c r="AJ40" s="126"/>
      <c r="AK40" s="3"/>
      <c r="AL40" s="3"/>
      <c r="AM40" s="3"/>
      <c r="AN40" s="3"/>
      <c r="AO40" s="3"/>
      <c r="AP40" s="3"/>
      <c r="AQ40" s="3"/>
      <c r="AR40" s="5"/>
      <c r="AS40" s="125"/>
      <c r="AT40" s="3"/>
      <c r="AU40" s="3"/>
      <c r="AV40" s="3"/>
      <c r="AW40" s="5"/>
      <c r="AX40" s="125"/>
      <c r="AY40" s="3"/>
      <c r="AZ40" s="3"/>
      <c r="BA40" s="3"/>
      <c r="BB40" s="5"/>
      <c r="BC40" s="125"/>
      <c r="BD40" s="3"/>
      <c r="BE40" s="3"/>
      <c r="BF40" s="3"/>
      <c r="BG40" s="5"/>
      <c r="BH40" s="125"/>
      <c r="BI40" s="3"/>
      <c r="BJ40" s="3"/>
      <c r="BK40" s="3"/>
      <c r="BL40" s="3"/>
      <c r="BM40" s="109"/>
      <c r="BN40" s="109"/>
    </row>
    <row r="41" ht="14.25" customHeight="1">
      <c r="B41" s="13"/>
      <c r="C41" s="11"/>
      <c r="D41" s="11"/>
      <c r="E41" s="11"/>
      <c r="F41" s="11"/>
      <c r="G41" s="11"/>
      <c r="H41" s="11"/>
      <c r="I41" s="11"/>
      <c r="J41" s="11"/>
      <c r="V41" s="13"/>
      <c r="W41" s="11"/>
      <c r="X41" s="11"/>
      <c r="Y41" s="11"/>
      <c r="Z41" s="11"/>
      <c r="AA41" s="12"/>
      <c r="AG41" s="13"/>
      <c r="AH41" s="11"/>
      <c r="AI41" s="12"/>
      <c r="AJ41" s="13"/>
      <c r="AK41" s="11"/>
      <c r="AL41" s="11"/>
      <c r="AM41" s="11"/>
      <c r="AN41" s="11"/>
      <c r="AO41" s="11"/>
      <c r="AP41" s="11"/>
      <c r="AQ41" s="11"/>
      <c r="AR41" s="12"/>
      <c r="AS41" s="13"/>
      <c r="AT41" s="11"/>
      <c r="AU41" s="11"/>
      <c r="AV41" s="11"/>
      <c r="AW41" s="12"/>
      <c r="AX41" s="13"/>
      <c r="AY41" s="11"/>
      <c r="AZ41" s="11"/>
      <c r="BA41" s="11"/>
      <c r="BB41" s="12"/>
      <c r="BC41" s="13"/>
      <c r="BD41" s="11"/>
      <c r="BE41" s="11"/>
      <c r="BF41" s="11"/>
      <c r="BG41" s="12"/>
      <c r="BH41" s="13"/>
      <c r="BI41" s="11"/>
      <c r="BJ41" s="11"/>
      <c r="BK41" s="11"/>
      <c r="BL41" s="11"/>
      <c r="BM41" s="109"/>
      <c r="BN41" s="109"/>
    </row>
    <row r="42" ht="14.25" customHeight="1">
      <c r="K42" s="127" t="s">
        <v>77</v>
      </c>
      <c r="L42" s="3"/>
      <c r="M42" s="3"/>
      <c r="N42" s="3"/>
      <c r="O42" s="3"/>
      <c r="P42" s="3"/>
      <c r="Q42" s="3"/>
      <c r="R42" s="3"/>
      <c r="S42" s="3"/>
      <c r="T42" s="127" t="s">
        <v>78</v>
      </c>
      <c r="U42" s="3"/>
      <c r="V42" s="3"/>
      <c r="W42" s="3"/>
      <c r="X42" s="3"/>
      <c r="Z42" s="123"/>
      <c r="AA42" s="123"/>
      <c r="AB42" s="123" t="s">
        <v>79</v>
      </c>
      <c r="AC42" s="3"/>
      <c r="AD42" s="3"/>
      <c r="AE42" s="3"/>
      <c r="AF42" s="3"/>
      <c r="AG42" s="123" t="s">
        <v>80</v>
      </c>
      <c r="AH42" s="3"/>
      <c r="AI42" s="3"/>
      <c r="AL42" s="123" t="s">
        <v>81</v>
      </c>
      <c r="AM42" s="3"/>
      <c r="AN42" s="3"/>
      <c r="AO42" s="3"/>
      <c r="AP42" s="3"/>
      <c r="AQ42" s="123"/>
      <c r="AR42" s="123"/>
      <c r="AS42" s="123" t="s">
        <v>82</v>
      </c>
      <c r="AT42" s="3"/>
      <c r="AU42" s="3"/>
      <c r="AV42" s="3"/>
      <c r="AW42" s="3"/>
      <c r="AX42" s="123" t="s">
        <v>83</v>
      </c>
      <c r="AY42" s="3"/>
      <c r="AZ42" s="3"/>
      <c r="BA42" s="3"/>
      <c r="BB42" s="3"/>
      <c r="BC42" s="123" t="s">
        <v>84</v>
      </c>
      <c r="BD42" s="3"/>
      <c r="BE42" s="3"/>
      <c r="BF42" s="3"/>
      <c r="BG42" s="3"/>
      <c r="BH42" s="123" t="s">
        <v>85</v>
      </c>
      <c r="BI42" s="3"/>
      <c r="BJ42" s="3"/>
      <c r="BK42" s="3"/>
      <c r="BL42" s="3"/>
      <c r="BM42" s="109"/>
      <c r="BN42" s="109"/>
    </row>
    <row r="43" ht="14.25" customHeight="1">
      <c r="A43" s="128"/>
      <c r="B43" s="125"/>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109"/>
      <c r="BN43" s="109"/>
    </row>
    <row r="44" ht="14.25" customHeight="1">
      <c r="A44" s="129"/>
      <c r="B44" s="13"/>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09"/>
      <c r="BN44" s="109"/>
    </row>
    <row r="45" ht="14.25" customHeight="1">
      <c r="A45" s="130">
        <f>SUM(A46:A48)*5</f>
        <v>5</v>
      </c>
      <c r="B45" s="123" t="s">
        <v>86</v>
      </c>
      <c r="C45" s="3"/>
      <c r="D45" s="3"/>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2"/>
      <c r="BN45" s="132"/>
    </row>
    <row r="46" ht="14.25" customHeight="1">
      <c r="A46" s="133">
        <f>countif(AC49:AC86,"*")</f>
        <v>0</v>
      </c>
      <c r="N46" s="97">
        <v>400.0</v>
      </c>
      <c r="Q46" s="134" t="s">
        <v>87</v>
      </c>
      <c r="R46" s="11"/>
      <c r="S46" s="11"/>
      <c r="T46" s="11"/>
      <c r="U46" s="135">
        <f>sum(A90:A92)</f>
        <v>0</v>
      </c>
      <c r="V46" s="3"/>
      <c r="W46" s="3"/>
      <c r="X46" s="5"/>
      <c r="Y46" s="136" t="s">
        <v>88</v>
      </c>
      <c r="AC46" s="135">
        <f>sum(A87:A88)</f>
        <v>511</v>
      </c>
      <c r="AD46" s="3"/>
      <c r="AE46" s="3"/>
      <c r="AF46" s="5"/>
      <c r="AG46" s="7"/>
      <c r="AH46" s="11"/>
      <c r="AI46" s="11"/>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row>
    <row r="47" ht="14.25" customHeight="1">
      <c r="A47" s="133">
        <f>countif(BI49:BI62,"*")</f>
        <v>1</v>
      </c>
      <c r="B47" s="137" t="s">
        <v>89</v>
      </c>
      <c r="C47" s="3"/>
      <c r="D47" s="3"/>
      <c r="E47" s="3"/>
      <c r="F47" s="3"/>
      <c r="G47" s="3"/>
      <c r="H47" s="3"/>
      <c r="I47" s="3"/>
      <c r="J47" s="138" t="s">
        <v>90</v>
      </c>
      <c r="K47" s="3"/>
      <c r="L47" s="3"/>
      <c r="M47" s="139" t="s">
        <v>91</v>
      </c>
      <c r="N47" s="3"/>
      <c r="O47" s="3"/>
      <c r="P47" s="137" t="s">
        <v>92</v>
      </c>
      <c r="Q47" s="3"/>
      <c r="R47" s="3"/>
      <c r="S47" s="121" t="s">
        <v>93</v>
      </c>
      <c r="V47" s="140" t="s">
        <v>94</v>
      </c>
      <c r="Y47" s="141" t="s">
        <v>95</v>
      </c>
      <c r="Z47" s="3"/>
      <c r="AA47" s="3"/>
      <c r="AB47" s="3"/>
      <c r="AC47" s="142" t="s">
        <v>96</v>
      </c>
      <c r="AG47" s="143">
        <f>SUM((Z21-1)*15)</f>
        <v>15</v>
      </c>
      <c r="AH47" s="140" t="s">
        <v>89</v>
      </c>
      <c r="AP47" s="144" t="s">
        <v>90</v>
      </c>
      <c r="AS47" s="145" t="s">
        <v>91</v>
      </c>
      <c r="AV47" s="140" t="s">
        <v>92</v>
      </c>
      <c r="AY47" s="121" t="s">
        <v>93</v>
      </c>
      <c r="BB47" s="140" t="s">
        <v>94</v>
      </c>
      <c r="BE47" s="146" t="s">
        <v>95</v>
      </c>
      <c r="BI47" s="142" t="s">
        <v>96</v>
      </c>
      <c r="BM47" s="147">
        <f>ROUND(Ledger!AG12,0)</f>
        <v>0</v>
      </c>
      <c r="BN47" s="147"/>
    </row>
    <row r="48" ht="14.25" customHeight="1">
      <c r="A48" s="133">
        <f>countif(BI67:BI86,"*")</f>
        <v>0</v>
      </c>
      <c r="AG48" s="148"/>
      <c r="BM48" s="147"/>
      <c r="BN48" s="147"/>
    </row>
    <row r="49" ht="14.25" customHeight="1">
      <c r="A49" s="130">
        <f t="shared" ref="A49:A86" si="2">M49+P49+S49+Y49+V49</f>
        <v>5</v>
      </c>
      <c r="B49" s="149" t="s">
        <v>97</v>
      </c>
      <c r="C49" s="11"/>
      <c r="D49" s="11"/>
      <c r="E49" s="11"/>
      <c r="F49" s="11"/>
      <c r="G49" s="11"/>
      <c r="H49" s="11"/>
      <c r="I49" s="11"/>
      <c r="J49" s="150" t="s">
        <v>18</v>
      </c>
      <c r="K49" s="11"/>
      <c r="L49" s="11"/>
      <c r="M49" s="151"/>
      <c r="N49" s="11"/>
      <c r="O49" s="12"/>
      <c r="P49" s="152"/>
      <c r="Q49" s="11"/>
      <c r="R49" s="12"/>
      <c r="S49" s="153"/>
      <c r="T49" s="11"/>
      <c r="U49" s="12"/>
      <c r="V49" s="154">
        <f>IF(J49="COG",AR18,IF(J49="COO",AU18,IF(J49="INT",AX18,IF(J49="REF",BA18+BN65,IF(J49="SAV",BD18,IF(J49="SOM",BG18+BN65,IF(J49="WILL",BJ18,0)))))))</f>
        <v>5</v>
      </c>
      <c r="W49" s="155">
        <f t="shared" ref="W49:W86" si="3">IF(A49&gt;60,A49-BM49,A49)</f>
        <v>5</v>
      </c>
      <c r="X49" s="12"/>
      <c r="Y49" s="156"/>
      <c r="Z49" s="11"/>
      <c r="AA49" s="11"/>
      <c r="AB49" s="12"/>
      <c r="AC49" s="157"/>
      <c r="AD49" s="11"/>
      <c r="AE49" s="11"/>
      <c r="AF49" s="11"/>
      <c r="AG49" s="130">
        <f t="shared" ref="AG49:AG62" si="4">AS49+AV49+AY49+BE49+BB49</f>
        <v>15</v>
      </c>
      <c r="AH49" s="158" t="s">
        <v>98</v>
      </c>
      <c r="AI49" s="159"/>
      <c r="AJ49" s="159"/>
      <c r="AK49" s="159"/>
      <c r="AL49" s="159"/>
      <c r="AM49" s="159"/>
      <c r="AN49" s="159"/>
      <c r="AO49" s="160"/>
      <c r="AP49" s="161" t="s">
        <v>17</v>
      </c>
      <c r="AQ49" s="159"/>
      <c r="AR49" s="159"/>
      <c r="AS49" s="162"/>
      <c r="AT49" s="159"/>
      <c r="AU49" s="160"/>
      <c r="AV49" s="162"/>
      <c r="AW49" s="159"/>
      <c r="AX49" s="160"/>
      <c r="AY49" s="163"/>
      <c r="AZ49" s="159"/>
      <c r="BA49" s="160"/>
      <c r="BB49" s="154">
        <f>IF(AP49="COG",AR18,IF(AP49="COO",AU18,IF(AP49="INT",AX18,IF(AP49="REF",BA18+BN65,IF(AP49="SAV",BD18,IF(AP49="SOM",BG18+BN65,IF(AP49="WILL",BJ18,0)))))))</f>
        <v>15</v>
      </c>
      <c r="BC49" s="155">
        <f t="shared" ref="BC49:BC62" si="5">IF(AG49&gt;60,AG49-BN49,AG49)</f>
        <v>15</v>
      </c>
      <c r="BD49" s="160"/>
      <c r="BE49" s="162"/>
      <c r="BF49" s="159"/>
      <c r="BG49" s="159"/>
      <c r="BH49" s="160"/>
      <c r="BI49" s="164"/>
      <c r="BJ49" s="159"/>
      <c r="BK49" s="159"/>
      <c r="BL49" s="159"/>
      <c r="BM49" s="165">
        <f t="shared" ref="BM49:BM86" si="6">IF(A49&gt;60,SUM((A49-60)/2),0)</f>
        <v>0</v>
      </c>
      <c r="BN49" s="165">
        <f t="shared" ref="BN49:BN62" si="7">IF(AG49&gt;60,SUM((AG49-60)/2),0)</f>
        <v>0</v>
      </c>
    </row>
    <row r="50" ht="14.25" customHeight="1">
      <c r="A50" s="130">
        <f t="shared" si="2"/>
        <v>30</v>
      </c>
      <c r="B50" s="166" t="s">
        <v>99</v>
      </c>
      <c r="C50" s="11"/>
      <c r="D50" s="11"/>
      <c r="E50" s="11"/>
      <c r="F50" s="11"/>
      <c r="G50" s="11"/>
      <c r="H50" s="11"/>
      <c r="I50" s="12"/>
      <c r="J50" s="150" t="s">
        <v>15</v>
      </c>
      <c r="K50" s="11"/>
      <c r="L50" s="11"/>
      <c r="M50" s="167"/>
      <c r="N50" s="17"/>
      <c r="O50" s="168"/>
      <c r="P50" s="169"/>
      <c r="Q50" s="17"/>
      <c r="R50" s="168"/>
      <c r="S50" s="170"/>
      <c r="T50" s="17"/>
      <c r="U50" s="168"/>
      <c r="V50" s="154">
        <f>IF(J50="COG",AR18,IF(J50="COO",AU18,IF(J50="INT",AX18,IF(J50="REF",BA18+BN65,IF(J50="SAV",BD18,IF(J50="SOM",BG18+BN65,IF(J50="WILL",BJ18,0)))))))</f>
        <v>25</v>
      </c>
      <c r="W50" s="155">
        <f t="shared" si="3"/>
        <v>30</v>
      </c>
      <c r="X50" s="11"/>
      <c r="Y50" s="169">
        <v>5.0</v>
      </c>
      <c r="Z50" s="17"/>
      <c r="AA50" s="17"/>
      <c r="AB50" s="168"/>
      <c r="AC50" s="171"/>
      <c r="AD50" s="17"/>
      <c r="AE50" s="17"/>
      <c r="AF50" s="17"/>
      <c r="AG50" s="130">
        <f t="shared" si="4"/>
        <v>15</v>
      </c>
      <c r="AH50" s="172" t="s">
        <v>100</v>
      </c>
      <c r="AI50" s="173"/>
      <c r="AJ50" s="173"/>
      <c r="AK50" s="173"/>
      <c r="AL50" s="173"/>
      <c r="AM50" s="173"/>
      <c r="AN50" s="173"/>
      <c r="AO50" s="173"/>
      <c r="AP50" s="174" t="s">
        <v>17</v>
      </c>
      <c r="AQ50" s="175"/>
      <c r="AR50" s="175"/>
      <c r="AS50" s="176"/>
      <c r="AT50" s="173"/>
      <c r="AU50" s="177"/>
      <c r="AV50" s="178"/>
      <c r="AW50" s="173"/>
      <c r="AX50" s="177"/>
      <c r="AY50" s="179"/>
      <c r="AZ50" s="173"/>
      <c r="BA50" s="177"/>
      <c r="BB50" s="154">
        <f>IF(AP50="COG",AR18,IF(AP50="COO",AU18,IF(AP50="INT",AX18,IF(AP50="REF",BA18+BN65,IF(AP50="SAV",BD18,IF(AP50="SOM",BG18+BN65,IF(AP50="WILL",BJ18,0)))))))</f>
        <v>15</v>
      </c>
      <c r="BC50" s="155">
        <f t="shared" si="5"/>
        <v>15</v>
      </c>
      <c r="BD50" s="180"/>
      <c r="BE50" s="181"/>
      <c r="BF50" s="173"/>
      <c r="BG50" s="173"/>
      <c r="BH50" s="177"/>
      <c r="BI50" s="181"/>
      <c r="BJ50" s="173"/>
      <c r="BK50" s="173"/>
      <c r="BL50" s="173"/>
      <c r="BM50" s="165">
        <f t="shared" si="6"/>
        <v>0</v>
      </c>
      <c r="BN50" s="165">
        <f t="shared" si="7"/>
        <v>0</v>
      </c>
    </row>
    <row r="51" ht="14.25" customHeight="1">
      <c r="A51" s="130">
        <f t="shared" si="2"/>
        <v>50</v>
      </c>
      <c r="B51" s="182" t="s">
        <v>101</v>
      </c>
      <c r="C51" s="17"/>
      <c r="D51" s="17"/>
      <c r="E51" s="17"/>
      <c r="F51" s="17"/>
      <c r="G51" s="17"/>
      <c r="H51" s="17"/>
      <c r="I51" s="168"/>
      <c r="J51" s="150" t="s">
        <v>19</v>
      </c>
      <c r="K51" s="11"/>
      <c r="L51" s="11"/>
      <c r="M51" s="167"/>
      <c r="N51" s="17"/>
      <c r="O51" s="168"/>
      <c r="P51" s="169">
        <v>20.0</v>
      </c>
      <c r="Q51" s="17"/>
      <c r="R51" s="168"/>
      <c r="S51" s="170"/>
      <c r="T51" s="17"/>
      <c r="U51" s="168"/>
      <c r="V51" s="183">
        <f>IF(J51="COG",AR18,IF(J51="COO",AU18,IF(J51="INT",AX18,IF(J51="REF",BA18+BN65,IF(J51="SAV",BD18,IF(J51="SOM",BG18+BN65,IF(J51="WILL",BJ18,0)))))))</f>
        <v>30</v>
      </c>
      <c r="W51" s="184">
        <f t="shared" si="3"/>
        <v>50</v>
      </c>
      <c r="X51" s="17"/>
      <c r="Y51" s="171"/>
      <c r="Z51" s="17"/>
      <c r="AA51" s="17"/>
      <c r="AB51" s="168"/>
      <c r="AC51" s="167"/>
      <c r="AD51" s="17"/>
      <c r="AE51" s="17"/>
      <c r="AF51" s="17"/>
      <c r="AG51" s="130">
        <f t="shared" si="4"/>
        <v>35</v>
      </c>
      <c r="AH51" s="185" t="s">
        <v>102</v>
      </c>
      <c r="AI51" s="186"/>
      <c r="AJ51" s="186"/>
      <c r="AK51" s="186"/>
      <c r="AL51" s="186"/>
      <c r="AM51" s="186"/>
      <c r="AN51" s="186"/>
      <c r="AO51" s="186"/>
      <c r="AP51" s="161" t="s">
        <v>14</v>
      </c>
      <c r="AQ51" s="159"/>
      <c r="AR51" s="159"/>
      <c r="AS51" s="187"/>
      <c r="AT51" s="186"/>
      <c r="AU51" s="188"/>
      <c r="AV51" s="189">
        <v>15.0</v>
      </c>
      <c r="AW51" s="186"/>
      <c r="AX51" s="188"/>
      <c r="AY51" s="190"/>
      <c r="AZ51" s="186"/>
      <c r="BA51" s="188"/>
      <c r="BB51" s="191">
        <f>IF(AP51="COG",AR18,IF(AP51="COO",AU18,IF(AP51="INT",AX18,IF(AP51="REF",BA18+BN65,IF(AP51="SAV",BD18,IF(AP51="SOM",BG18+BN65,IF(AP51="WILL",BJ18,0)))))))</f>
        <v>20</v>
      </c>
      <c r="BC51" s="155">
        <f t="shared" si="5"/>
        <v>35</v>
      </c>
      <c r="BD51" s="160"/>
      <c r="BE51" s="192"/>
      <c r="BF51" s="186"/>
      <c r="BG51" s="186"/>
      <c r="BH51" s="188"/>
      <c r="BI51" s="192"/>
      <c r="BJ51" s="186"/>
      <c r="BK51" s="186"/>
      <c r="BL51" s="186"/>
      <c r="BM51" s="165">
        <f t="shared" si="6"/>
        <v>0</v>
      </c>
      <c r="BN51" s="165">
        <f t="shared" si="7"/>
        <v>0</v>
      </c>
    </row>
    <row r="52" ht="14.25" customHeight="1">
      <c r="A52" s="130">
        <f t="shared" si="2"/>
        <v>50</v>
      </c>
      <c r="B52" s="182" t="s">
        <v>103</v>
      </c>
      <c r="C52" s="17"/>
      <c r="D52" s="17"/>
      <c r="E52" s="17"/>
      <c r="F52" s="17"/>
      <c r="G52" s="17"/>
      <c r="H52" s="17"/>
      <c r="I52" s="168"/>
      <c r="J52" s="150" t="s">
        <v>19</v>
      </c>
      <c r="K52" s="11"/>
      <c r="L52" s="11"/>
      <c r="M52" s="171"/>
      <c r="N52" s="17"/>
      <c r="O52" s="168"/>
      <c r="P52" s="169">
        <v>20.0</v>
      </c>
      <c r="Q52" s="17"/>
      <c r="R52" s="168"/>
      <c r="S52" s="170"/>
      <c r="T52" s="17"/>
      <c r="U52" s="168"/>
      <c r="V52" s="183">
        <f>IF(J52="COG",AR18,IF(J52="COO",AU18,IF(J52="INT",AX18,IF(J52="REF",BA18+BN65,IF(J52="SAV",BD18,IF(J52="SOM",BG18+BN65,IF(J52="WILL",BJ18,0)))))))</f>
        <v>30</v>
      </c>
      <c r="W52" s="184">
        <f t="shared" si="3"/>
        <v>50</v>
      </c>
      <c r="X52" s="17"/>
      <c r="Y52" s="169"/>
      <c r="Z52" s="17"/>
      <c r="AA52" s="17"/>
      <c r="AB52" s="168"/>
      <c r="AC52" s="171"/>
      <c r="AD52" s="17"/>
      <c r="AE52" s="17"/>
      <c r="AF52" s="17"/>
      <c r="AG52" s="130">
        <f t="shared" si="4"/>
        <v>15</v>
      </c>
      <c r="AH52" s="193" t="s">
        <v>104</v>
      </c>
      <c r="AI52" s="173"/>
      <c r="AJ52" s="173"/>
      <c r="AK52" s="173"/>
      <c r="AL52" s="173"/>
      <c r="AM52" s="173"/>
      <c r="AN52" s="173"/>
      <c r="AO52" s="173"/>
      <c r="AP52" s="174" t="s">
        <v>18</v>
      </c>
      <c r="AQ52" s="175"/>
      <c r="AR52" s="175"/>
      <c r="AS52" s="176"/>
      <c r="AT52" s="173"/>
      <c r="AU52" s="177"/>
      <c r="AV52" s="178">
        <v>10.0</v>
      </c>
      <c r="AW52" s="173"/>
      <c r="AX52" s="177"/>
      <c r="AY52" s="179"/>
      <c r="AZ52" s="173"/>
      <c r="BA52" s="177"/>
      <c r="BB52" s="191">
        <f>IF(AP52="COG",AR18,IF(AP52="COO",AU18,IF(AP52="INT",AX18,IF(AP52="REF",BA18+BN65,IF(AP52="SAV",BD18,IF(AP52="SOM",BG18+BN65,IF(AP52="WILL",BJ18,0)))))))</f>
        <v>5</v>
      </c>
      <c r="BC52" s="155">
        <f t="shared" si="5"/>
        <v>15</v>
      </c>
      <c r="BD52" s="180"/>
      <c r="BE52" s="181"/>
      <c r="BF52" s="173"/>
      <c r="BG52" s="173"/>
      <c r="BH52" s="177"/>
      <c r="BI52" s="181"/>
      <c r="BJ52" s="173"/>
      <c r="BK52" s="173"/>
      <c r="BL52" s="173"/>
      <c r="BM52" s="165">
        <f t="shared" si="6"/>
        <v>0</v>
      </c>
      <c r="BN52" s="165">
        <f t="shared" si="7"/>
        <v>0</v>
      </c>
    </row>
    <row r="53" ht="14.25" customHeight="1">
      <c r="A53" s="130">
        <f t="shared" si="2"/>
        <v>30</v>
      </c>
      <c r="B53" s="182" t="s">
        <v>105</v>
      </c>
      <c r="C53" s="17"/>
      <c r="D53" s="17"/>
      <c r="E53" s="17"/>
      <c r="F53" s="17"/>
      <c r="G53" s="17"/>
      <c r="H53" s="17"/>
      <c r="I53" s="168"/>
      <c r="J53" s="150" t="s">
        <v>19</v>
      </c>
      <c r="K53" s="11"/>
      <c r="L53" s="11"/>
      <c r="M53" s="171"/>
      <c r="N53" s="17"/>
      <c r="O53" s="168"/>
      <c r="P53" s="169"/>
      <c r="Q53" s="17"/>
      <c r="R53" s="168"/>
      <c r="S53" s="170"/>
      <c r="T53" s="17"/>
      <c r="U53" s="168"/>
      <c r="V53" s="183">
        <f>IF(J53="COG",AR18,IF(J53="COO",AU18,IF(J53="INT",AX18,IF(J53="REF",BA18+BN65,IF(J53="SAV",BD18,IF(J53="SOM",BG18+BN65,IF(J53="WILL",BJ18,0)))))))</f>
        <v>30</v>
      </c>
      <c r="W53" s="184">
        <f t="shared" si="3"/>
        <v>30</v>
      </c>
      <c r="X53" s="17"/>
      <c r="Y53" s="167"/>
      <c r="Z53" s="17"/>
      <c r="AA53" s="17"/>
      <c r="AB53" s="168"/>
      <c r="AC53" s="171"/>
      <c r="AD53" s="17"/>
      <c r="AE53" s="17"/>
      <c r="AF53" s="17"/>
      <c r="AG53" s="130">
        <f t="shared" si="4"/>
        <v>10</v>
      </c>
      <c r="AH53" s="185" t="s">
        <v>106</v>
      </c>
      <c r="AI53" s="186"/>
      <c r="AJ53" s="186"/>
      <c r="AK53" s="186"/>
      <c r="AL53" s="186"/>
      <c r="AM53" s="186"/>
      <c r="AN53" s="186"/>
      <c r="AO53" s="186"/>
      <c r="AP53" s="161" t="s">
        <v>20</v>
      </c>
      <c r="AQ53" s="159"/>
      <c r="AR53" s="159"/>
      <c r="AS53" s="192"/>
      <c r="AT53" s="186"/>
      <c r="AU53" s="188"/>
      <c r="AV53" s="187"/>
      <c r="AW53" s="186"/>
      <c r="AX53" s="188"/>
      <c r="AY53" s="190"/>
      <c r="AZ53" s="186"/>
      <c r="BA53" s="188"/>
      <c r="BB53" s="191">
        <f>IF(AP53="COG",AR18,IF(AP53="COO",AU18,IF(AP53="INT",AX18,IF(AP53="REF",BA18+BN65,IF(AP53="SAV",BD18,IF(AP53="SOM",BG18+BN65,IF(AP53="WILL",BJ18,0)))))))</f>
        <v>10</v>
      </c>
      <c r="BC53" s="155">
        <f t="shared" si="5"/>
        <v>10</v>
      </c>
      <c r="BD53" s="160"/>
      <c r="BE53" s="192"/>
      <c r="BF53" s="186"/>
      <c r="BG53" s="186"/>
      <c r="BH53" s="188"/>
      <c r="BI53" s="192"/>
      <c r="BJ53" s="186"/>
      <c r="BK53" s="186"/>
      <c r="BL53" s="186"/>
      <c r="BM53" s="165">
        <f t="shared" si="6"/>
        <v>0</v>
      </c>
      <c r="BN53" s="165">
        <f t="shared" si="7"/>
        <v>0</v>
      </c>
    </row>
    <row r="54" ht="14.25" customHeight="1">
      <c r="A54" s="130">
        <f t="shared" si="2"/>
        <v>10</v>
      </c>
      <c r="B54" s="194" t="s">
        <v>107</v>
      </c>
      <c r="C54" s="17"/>
      <c r="D54" s="17"/>
      <c r="E54" s="17"/>
      <c r="F54" s="17"/>
      <c r="G54" s="17"/>
      <c r="H54" s="17"/>
      <c r="I54" s="168"/>
      <c r="J54" s="150" t="s">
        <v>20</v>
      </c>
      <c r="K54" s="11"/>
      <c r="L54" s="11"/>
      <c r="M54" s="171"/>
      <c r="N54" s="17"/>
      <c r="O54" s="168"/>
      <c r="P54" s="171"/>
      <c r="Q54" s="17"/>
      <c r="R54" s="168"/>
      <c r="S54" s="170"/>
      <c r="T54" s="17"/>
      <c r="U54" s="168"/>
      <c r="V54" s="183">
        <f>IF(J54="COG",AR18,IF(J54="COO",AU18,IF(J54="INT",AX18,IF(J54="REF",BA18+BN65,IF(J54="SAV",BD18,IF(J54="SOM",BG18+BN65,IF(J54="WILL",BJ18,0)))))))</f>
        <v>10</v>
      </c>
      <c r="W54" s="184">
        <f t="shared" si="3"/>
        <v>10</v>
      </c>
      <c r="X54" s="17"/>
      <c r="Y54" s="171"/>
      <c r="Z54" s="17"/>
      <c r="AA54" s="17"/>
      <c r="AB54" s="168"/>
      <c r="AC54" s="171"/>
      <c r="AD54" s="17"/>
      <c r="AE54" s="17"/>
      <c r="AF54" s="17"/>
      <c r="AG54" s="130">
        <f t="shared" si="4"/>
        <v>20</v>
      </c>
      <c r="AH54" s="193" t="s">
        <v>108</v>
      </c>
      <c r="AI54" s="173"/>
      <c r="AJ54" s="173"/>
      <c r="AK54" s="173"/>
      <c r="AL54" s="173"/>
      <c r="AM54" s="173"/>
      <c r="AN54" s="173"/>
      <c r="AO54" s="173"/>
      <c r="AP54" s="174" t="s">
        <v>16</v>
      </c>
      <c r="AQ54" s="175"/>
      <c r="AR54" s="175"/>
      <c r="AS54" s="181"/>
      <c r="AT54" s="173"/>
      <c r="AU54" s="177"/>
      <c r="AV54" s="176"/>
      <c r="AW54" s="173"/>
      <c r="AX54" s="177"/>
      <c r="AY54" s="179"/>
      <c r="AZ54" s="173"/>
      <c r="BA54" s="177"/>
      <c r="BB54" s="191">
        <f>IF(AP54="COG",AR18,IF(AP54="COO",AU18,IF(AP54="INT",AX18,IF(AP54="REF",BA18+BN65,IF(AP54="SAV",BD18,IF(AP54="SOM",BG18+BN65,IF(AP54="WILL",BJ18,0)))))))</f>
        <v>20</v>
      </c>
      <c r="BC54" s="155">
        <f t="shared" si="5"/>
        <v>20</v>
      </c>
      <c r="BD54" s="180"/>
      <c r="BE54" s="181"/>
      <c r="BF54" s="173"/>
      <c r="BG54" s="173"/>
      <c r="BH54" s="177"/>
      <c r="BI54" s="181"/>
      <c r="BJ54" s="173"/>
      <c r="BK54" s="173"/>
      <c r="BL54" s="173"/>
      <c r="BM54" s="165">
        <f t="shared" si="6"/>
        <v>0</v>
      </c>
      <c r="BN54" s="165">
        <f t="shared" si="7"/>
        <v>0</v>
      </c>
    </row>
    <row r="55" ht="14.25" customHeight="1">
      <c r="A55" s="130">
        <f t="shared" si="2"/>
        <v>15</v>
      </c>
      <c r="B55" s="194" t="s">
        <v>109</v>
      </c>
      <c r="C55" s="17"/>
      <c r="D55" s="17"/>
      <c r="E55" s="17"/>
      <c r="F55" s="17"/>
      <c r="G55" s="17"/>
      <c r="H55" s="17"/>
      <c r="I55" s="168"/>
      <c r="J55" s="150" t="s">
        <v>18</v>
      </c>
      <c r="K55" s="11"/>
      <c r="L55" s="11"/>
      <c r="M55" s="171"/>
      <c r="N55" s="17"/>
      <c r="O55" s="168"/>
      <c r="P55" s="169">
        <v>10.0</v>
      </c>
      <c r="Q55" s="17"/>
      <c r="R55" s="168"/>
      <c r="S55" s="170"/>
      <c r="T55" s="17"/>
      <c r="U55" s="168"/>
      <c r="V55" s="183">
        <f>IF(J55="COG",AR18,IF(S18="COO",AU18,IF(J55="INT",AX18,IF(J55="REF",BA18+BN65,IF(J55="SAV",BD18,IF(J55="SOM",BG18+BN65,IF(J55="WILL",BJ18,0)))))))</f>
        <v>5</v>
      </c>
      <c r="W55" s="184">
        <f t="shared" si="3"/>
        <v>15</v>
      </c>
      <c r="X55" s="17"/>
      <c r="Y55" s="167"/>
      <c r="Z55" s="17"/>
      <c r="AA55" s="17"/>
      <c r="AB55" s="168"/>
      <c r="AC55" s="167"/>
      <c r="AD55" s="17"/>
      <c r="AE55" s="17"/>
      <c r="AF55" s="17"/>
      <c r="AG55" s="130">
        <f t="shared" si="4"/>
        <v>40</v>
      </c>
      <c r="AH55" s="185" t="s">
        <v>110</v>
      </c>
      <c r="AI55" s="186"/>
      <c r="AJ55" s="186"/>
      <c r="AK55" s="186"/>
      <c r="AL55" s="186"/>
      <c r="AM55" s="186"/>
      <c r="AN55" s="186"/>
      <c r="AO55" s="188"/>
      <c r="AP55" s="161" t="s">
        <v>14</v>
      </c>
      <c r="AQ55" s="159"/>
      <c r="AR55" s="159"/>
      <c r="AS55" s="192"/>
      <c r="AT55" s="186"/>
      <c r="AU55" s="188"/>
      <c r="AV55" s="189">
        <v>20.0</v>
      </c>
      <c r="AW55" s="186"/>
      <c r="AX55" s="188"/>
      <c r="AY55" s="190"/>
      <c r="AZ55" s="186"/>
      <c r="BA55" s="188"/>
      <c r="BB55" s="191">
        <f>IF(AP55="COG",AR18,IF(AP55="COO",AU18,IF(AP55="INT",AX18,IF(AP55="REF",BA18+BN65,IF(AP55="SAV",BD18,IF(AP55="SOM",BG18+BN65,IF(AP55="WILL",BJ18,0)))))))</f>
        <v>20</v>
      </c>
      <c r="BC55" s="155">
        <f t="shared" si="5"/>
        <v>40</v>
      </c>
      <c r="BD55" s="160"/>
      <c r="BE55" s="192"/>
      <c r="BF55" s="186"/>
      <c r="BG55" s="186"/>
      <c r="BH55" s="188"/>
      <c r="BI55" s="192"/>
      <c r="BJ55" s="186"/>
      <c r="BK55" s="186"/>
      <c r="BL55" s="186"/>
      <c r="BM55" s="165">
        <f t="shared" si="6"/>
        <v>0</v>
      </c>
      <c r="BN55" s="165">
        <f t="shared" si="7"/>
        <v>0</v>
      </c>
    </row>
    <row r="56" ht="14.25" customHeight="1">
      <c r="A56" s="130">
        <f t="shared" si="2"/>
        <v>50</v>
      </c>
      <c r="B56" s="194" t="s">
        <v>111</v>
      </c>
      <c r="C56" s="17"/>
      <c r="D56" s="17"/>
      <c r="E56" s="17"/>
      <c r="F56" s="17"/>
      <c r="G56" s="17"/>
      <c r="H56" s="17"/>
      <c r="I56" s="168"/>
      <c r="J56" s="150" t="s">
        <v>14</v>
      </c>
      <c r="K56" s="11"/>
      <c r="L56" s="11"/>
      <c r="M56" s="169"/>
      <c r="N56" s="17"/>
      <c r="O56" s="168"/>
      <c r="P56" s="169">
        <v>30.0</v>
      </c>
      <c r="Q56" s="17"/>
      <c r="R56" s="168"/>
      <c r="S56" s="167"/>
      <c r="T56" s="17"/>
      <c r="U56" s="168"/>
      <c r="V56" s="183">
        <f>IF(J56="COG",AR18,IF(J56="COO",AU18,IF(J56="INT",AX18,IF(J56="REF",BA18+BN65,IF(J56="SAV",BD18,IF(J56="SOM",BG18+BN65,IF(J56="WILL",BJ18,0)))))))</f>
        <v>20</v>
      </c>
      <c r="W56" s="184">
        <f t="shared" si="3"/>
        <v>50</v>
      </c>
      <c r="X56" s="17"/>
      <c r="Y56" s="167"/>
      <c r="Z56" s="17"/>
      <c r="AA56" s="17"/>
      <c r="AB56" s="168"/>
      <c r="AC56" s="171"/>
      <c r="AD56" s="17"/>
      <c r="AE56" s="17"/>
      <c r="AF56" s="17"/>
      <c r="AG56" s="130">
        <f t="shared" si="4"/>
        <v>60</v>
      </c>
      <c r="AH56" s="193" t="s">
        <v>112</v>
      </c>
      <c r="AI56" s="173"/>
      <c r="AJ56" s="173"/>
      <c r="AK56" s="173"/>
      <c r="AL56" s="173"/>
      <c r="AM56" s="173"/>
      <c r="AN56" s="173"/>
      <c r="AO56" s="177"/>
      <c r="AP56" s="174" t="s">
        <v>16</v>
      </c>
      <c r="AQ56" s="175"/>
      <c r="AR56" s="175"/>
      <c r="AS56" s="181"/>
      <c r="AT56" s="173"/>
      <c r="AU56" s="177"/>
      <c r="AV56" s="178">
        <v>30.0</v>
      </c>
      <c r="AW56" s="173"/>
      <c r="AX56" s="177"/>
      <c r="AY56" s="176"/>
      <c r="AZ56" s="173"/>
      <c r="BA56" s="177"/>
      <c r="BB56" s="191">
        <f>IF(AP56="COG",AR18,IF(AP56="COO",AU18,IF(AP56="INT",AX18,IF(AP56="REF",BA18+BN65,IF(AP56="SAV",BD18,IF(AP56="SOM",BG18+BN65,IF(AP56="WILL",BJ18,0)))))))</f>
        <v>20</v>
      </c>
      <c r="BC56" s="155">
        <f t="shared" si="5"/>
        <v>60</v>
      </c>
      <c r="BD56" s="180"/>
      <c r="BE56" s="178">
        <v>10.0</v>
      </c>
      <c r="BF56" s="173"/>
      <c r="BG56" s="173"/>
      <c r="BH56" s="177"/>
      <c r="BI56" s="178" t="s">
        <v>113</v>
      </c>
      <c r="BJ56" s="173"/>
      <c r="BK56" s="173"/>
      <c r="BL56" s="173"/>
      <c r="BM56" s="165">
        <f t="shared" si="6"/>
        <v>0</v>
      </c>
      <c r="BN56" s="165">
        <f t="shared" si="7"/>
        <v>0</v>
      </c>
    </row>
    <row r="57" ht="14.25" customHeight="1">
      <c r="A57" s="130">
        <f t="shared" si="2"/>
        <v>25</v>
      </c>
      <c r="B57" s="194" t="s">
        <v>114</v>
      </c>
      <c r="C57" s="17"/>
      <c r="D57" s="17"/>
      <c r="E57" s="17"/>
      <c r="F57" s="17"/>
      <c r="G57" s="17"/>
      <c r="H57" s="17"/>
      <c r="I57" s="17"/>
      <c r="J57" s="150" t="s">
        <v>16</v>
      </c>
      <c r="K57" s="11"/>
      <c r="L57" s="11"/>
      <c r="M57" s="171"/>
      <c r="N57" s="17"/>
      <c r="O57" s="168"/>
      <c r="P57" s="169">
        <v>5.0</v>
      </c>
      <c r="Q57" s="17"/>
      <c r="R57" s="168"/>
      <c r="S57" s="167"/>
      <c r="T57" s="17"/>
      <c r="U57" s="168"/>
      <c r="V57" s="183">
        <f>IF(J57="COG",AR18,IF(J57="COO",AU18,IF(J57="INT",AX18,IF(J57="REF",BA18+BN65,IF(J57="SAV",BD18,IF(J57="SOM",BG18+BN65,IF(J57="WILL",BJ18,0)))))))</f>
        <v>20</v>
      </c>
      <c r="W57" s="184">
        <f t="shared" si="3"/>
        <v>25</v>
      </c>
      <c r="X57" s="17"/>
      <c r="Y57" s="171"/>
      <c r="Z57" s="17"/>
      <c r="AA57" s="17"/>
      <c r="AB57" s="168"/>
      <c r="AC57" s="171"/>
      <c r="AD57" s="17"/>
      <c r="AE57" s="17"/>
      <c r="AF57" s="17"/>
      <c r="AG57" s="130">
        <f t="shared" si="4"/>
        <v>25</v>
      </c>
      <c r="AH57" s="185" t="s">
        <v>115</v>
      </c>
      <c r="AI57" s="186"/>
      <c r="AJ57" s="186"/>
      <c r="AK57" s="186"/>
      <c r="AL57" s="186"/>
      <c r="AM57" s="186"/>
      <c r="AN57" s="186"/>
      <c r="AO57" s="188"/>
      <c r="AP57" s="161" t="s">
        <v>15</v>
      </c>
      <c r="AQ57" s="159"/>
      <c r="AR57" s="159"/>
      <c r="AS57" s="192"/>
      <c r="AT57" s="186"/>
      <c r="AU57" s="188"/>
      <c r="AV57" s="189"/>
      <c r="AW57" s="186"/>
      <c r="AX57" s="188"/>
      <c r="AY57" s="187"/>
      <c r="AZ57" s="186"/>
      <c r="BA57" s="188"/>
      <c r="BB57" s="191">
        <f>IF(AP57="COG",AR18,IF(AP57="COO",AU18,IF(AP57="INT",AX18,IF(AP57="REF",BA18+BN65,IF(AP57="SAV",BD18,IF(AP57="SOM",BG18+BN65,IF(AP57="WILL",BJ18,0)))))))</f>
        <v>25</v>
      </c>
      <c r="BC57" s="155">
        <f t="shared" si="5"/>
        <v>25</v>
      </c>
      <c r="BD57" s="160"/>
      <c r="BE57" s="192"/>
      <c r="BF57" s="186"/>
      <c r="BG57" s="186"/>
      <c r="BH57" s="188"/>
      <c r="BI57" s="192"/>
      <c r="BJ57" s="186"/>
      <c r="BK57" s="186"/>
      <c r="BL57" s="186"/>
      <c r="BM57" s="165">
        <f t="shared" si="6"/>
        <v>0</v>
      </c>
      <c r="BN57" s="165">
        <f t="shared" si="7"/>
        <v>0</v>
      </c>
    </row>
    <row r="58" ht="14.25" customHeight="1">
      <c r="A58" s="130">
        <f t="shared" si="2"/>
        <v>30</v>
      </c>
      <c r="B58" s="194" t="s">
        <v>116</v>
      </c>
      <c r="C58" s="17"/>
      <c r="D58" s="17"/>
      <c r="E58" s="17"/>
      <c r="F58" s="17"/>
      <c r="G58" s="17"/>
      <c r="H58" s="17"/>
      <c r="I58" s="17"/>
      <c r="J58" s="150" t="s">
        <v>19</v>
      </c>
      <c r="K58" s="11"/>
      <c r="L58" s="11"/>
      <c r="M58" s="171"/>
      <c r="N58" s="17"/>
      <c r="O58" s="168"/>
      <c r="P58" s="171"/>
      <c r="Q58" s="17"/>
      <c r="R58" s="168"/>
      <c r="S58" s="167"/>
      <c r="T58" s="17"/>
      <c r="U58" s="168"/>
      <c r="V58" s="183">
        <f>IF(J58="COG",AR18,IF(J58="COO",AU18,IF(J58="INT",AX18,IF(J58="REF",BA18+BN65,IF(J58="SAV",BD18,IF(J58="SOM",BG18+BN65,IF(J58="WILL",BJ18,0)))))))</f>
        <v>30</v>
      </c>
      <c r="W58" s="184">
        <f t="shared" si="3"/>
        <v>30</v>
      </c>
      <c r="X58" s="17"/>
      <c r="Y58" s="171"/>
      <c r="Z58" s="17"/>
      <c r="AA58" s="17"/>
      <c r="AB58" s="168"/>
      <c r="AC58" s="171"/>
      <c r="AD58" s="17"/>
      <c r="AE58" s="17"/>
      <c r="AF58" s="17"/>
      <c r="AG58" s="130">
        <f t="shared" si="4"/>
        <v>10</v>
      </c>
      <c r="AH58" s="193" t="s">
        <v>117</v>
      </c>
      <c r="AI58" s="173"/>
      <c r="AJ58" s="173"/>
      <c r="AK58" s="173"/>
      <c r="AL58" s="173"/>
      <c r="AM58" s="173"/>
      <c r="AN58" s="173"/>
      <c r="AO58" s="177"/>
      <c r="AP58" s="174" t="s">
        <v>20</v>
      </c>
      <c r="AQ58" s="175"/>
      <c r="AR58" s="175"/>
      <c r="AS58" s="181"/>
      <c r="AT58" s="173"/>
      <c r="AU58" s="177"/>
      <c r="AV58" s="181"/>
      <c r="AW58" s="173"/>
      <c r="AX58" s="177"/>
      <c r="AY58" s="176"/>
      <c r="AZ58" s="173"/>
      <c r="BA58" s="177"/>
      <c r="BB58" s="191">
        <f>IF(AP58="COG",AR18,IF(AP58="COO",AU18,IF(AP58="INT",AX18,IF(AP58="REF",BA18+BN65,IF(AP58="SAV",BD18,IF(AP58="SOM",BG18+BN65,IF(AP58="WILL",BJ18,0)))))))</f>
        <v>10</v>
      </c>
      <c r="BC58" s="155">
        <f t="shared" si="5"/>
        <v>10</v>
      </c>
      <c r="BD58" s="180"/>
      <c r="BE58" s="181"/>
      <c r="BF58" s="173"/>
      <c r="BG58" s="173"/>
      <c r="BH58" s="177"/>
      <c r="BI58" s="181"/>
      <c r="BJ58" s="173"/>
      <c r="BK58" s="173"/>
      <c r="BL58" s="173"/>
      <c r="BM58" s="165">
        <f t="shared" si="6"/>
        <v>0</v>
      </c>
      <c r="BN58" s="165">
        <f t="shared" si="7"/>
        <v>0</v>
      </c>
    </row>
    <row r="59" ht="14.25" customHeight="1">
      <c r="A59" s="130">
        <f t="shared" si="2"/>
        <v>30</v>
      </c>
      <c r="B59" s="194" t="s">
        <v>116</v>
      </c>
      <c r="C59" s="17"/>
      <c r="D59" s="17"/>
      <c r="E59" s="17"/>
      <c r="F59" s="17"/>
      <c r="G59" s="17"/>
      <c r="H59" s="17"/>
      <c r="I59" s="17"/>
      <c r="J59" s="150" t="s">
        <v>19</v>
      </c>
      <c r="K59" s="11"/>
      <c r="L59" s="11"/>
      <c r="M59" s="171"/>
      <c r="N59" s="17"/>
      <c r="O59" s="168"/>
      <c r="P59" s="171"/>
      <c r="Q59" s="17"/>
      <c r="R59" s="168"/>
      <c r="S59" s="167"/>
      <c r="T59" s="17"/>
      <c r="U59" s="168"/>
      <c r="V59" s="183">
        <f>IF(J59="COG",AR18,IF(J59="COO",AU18,IF(J59="INT",AX18,IF(J59="REF",BA18+BN65,IF(J59="SAV",BD18,IF(J59="SOM",BG18+BN65,IF(J59="WILL",BJ18,0)))))))</f>
        <v>30</v>
      </c>
      <c r="W59" s="184">
        <f t="shared" si="3"/>
        <v>30</v>
      </c>
      <c r="X59" s="17"/>
      <c r="Y59" s="171"/>
      <c r="Z59" s="17"/>
      <c r="AA59" s="17"/>
      <c r="AB59" s="168"/>
      <c r="AC59" s="167"/>
      <c r="AD59" s="17"/>
      <c r="AE59" s="17"/>
      <c r="AF59" s="17"/>
      <c r="AG59" s="130">
        <f t="shared" si="4"/>
        <v>30</v>
      </c>
      <c r="AH59" s="185" t="s">
        <v>118</v>
      </c>
      <c r="AI59" s="186"/>
      <c r="AJ59" s="186"/>
      <c r="AK59" s="186"/>
      <c r="AL59" s="186"/>
      <c r="AM59" s="186"/>
      <c r="AN59" s="186"/>
      <c r="AO59" s="188"/>
      <c r="AP59" s="161" t="s">
        <v>15</v>
      </c>
      <c r="AQ59" s="159"/>
      <c r="AR59" s="159"/>
      <c r="AS59" s="192"/>
      <c r="AT59" s="186"/>
      <c r="AU59" s="188"/>
      <c r="AV59" s="189">
        <v>5.0</v>
      </c>
      <c r="AW59" s="186"/>
      <c r="AX59" s="188"/>
      <c r="AY59" s="187"/>
      <c r="AZ59" s="186"/>
      <c r="BA59" s="188"/>
      <c r="BB59" s="191">
        <f>IF(AP59="COG",AR18,IF(AP59="COO",AU18,IF(AP59="INT",AX18,IF(AP59="REF",BA18+BN65,IF(AP59="SAV",BD18,IF(AP59="SOM",BG18+BN65,IF(AP59="WILL",BJ18,0)))))))</f>
        <v>25</v>
      </c>
      <c r="BC59" s="155">
        <f t="shared" si="5"/>
        <v>30</v>
      </c>
      <c r="BD59" s="160"/>
      <c r="BE59" s="192"/>
      <c r="BF59" s="186"/>
      <c r="BG59" s="186"/>
      <c r="BH59" s="188"/>
      <c r="BI59" s="192"/>
      <c r="BJ59" s="186"/>
      <c r="BK59" s="186"/>
      <c r="BL59" s="186"/>
      <c r="BM59" s="165">
        <f t="shared" si="6"/>
        <v>0</v>
      </c>
      <c r="BN59" s="165">
        <f t="shared" si="7"/>
        <v>0</v>
      </c>
    </row>
    <row r="60" ht="14.25" customHeight="1">
      <c r="A60" s="130">
        <f t="shared" si="2"/>
        <v>25</v>
      </c>
      <c r="B60" s="194" t="s">
        <v>119</v>
      </c>
      <c r="C60" s="17"/>
      <c r="D60" s="17"/>
      <c r="E60" s="17"/>
      <c r="F60" s="17"/>
      <c r="G60" s="17"/>
      <c r="H60" s="17"/>
      <c r="I60" s="17"/>
      <c r="J60" s="150" t="s">
        <v>15</v>
      </c>
      <c r="K60" s="11"/>
      <c r="L60" s="11"/>
      <c r="M60" s="171"/>
      <c r="N60" s="17"/>
      <c r="O60" s="168"/>
      <c r="P60" s="171"/>
      <c r="Q60" s="17"/>
      <c r="R60" s="168"/>
      <c r="S60" s="170"/>
      <c r="T60" s="17"/>
      <c r="U60" s="168"/>
      <c r="V60" s="183">
        <f>IF(J60="COG",AR18,IF(J60="COO",AU18,IF(J60="INT",AX18,IF(J60="REF",BA18+BN65,IF(J60="SAV",BD18,IF(J60="SOM",BG18+BN65,IF(J60="WILL",BJ18,0)))))))</f>
        <v>25</v>
      </c>
      <c r="W60" s="184">
        <f t="shared" si="3"/>
        <v>25</v>
      </c>
      <c r="X60" s="17"/>
      <c r="Y60" s="171"/>
      <c r="Z60" s="17"/>
      <c r="AA60" s="17"/>
      <c r="AB60" s="168"/>
      <c r="AC60" s="167"/>
      <c r="AD60" s="17"/>
      <c r="AE60" s="17"/>
      <c r="AF60" s="17"/>
      <c r="AG60" s="130">
        <f t="shared" si="4"/>
        <v>30</v>
      </c>
      <c r="AH60" s="193" t="s">
        <v>120</v>
      </c>
      <c r="AI60" s="173"/>
      <c r="AJ60" s="173"/>
      <c r="AK60" s="173"/>
      <c r="AL60" s="173"/>
      <c r="AM60" s="173"/>
      <c r="AN60" s="173"/>
      <c r="AO60" s="177"/>
      <c r="AP60" s="174" t="s">
        <v>19</v>
      </c>
      <c r="AQ60" s="175"/>
      <c r="AR60" s="175"/>
      <c r="AS60" s="181"/>
      <c r="AT60" s="173"/>
      <c r="AU60" s="177"/>
      <c r="AV60" s="178"/>
      <c r="AW60" s="173"/>
      <c r="AX60" s="177"/>
      <c r="AY60" s="179"/>
      <c r="AZ60" s="173"/>
      <c r="BA60" s="177"/>
      <c r="BB60" s="191">
        <f>IF(AP60="COG",AR18,IF(AP60="COO",AU18,IF(AP60="INT",AX18,IF(AP60="REF",BA18+BN65,IF(AP60="SAV",BD18,IF(AP60="SOM",BG18+BN65,IF(AP60="WILL",BJ18,0)))))))</f>
        <v>30</v>
      </c>
      <c r="BC60" s="155">
        <f t="shared" si="5"/>
        <v>30</v>
      </c>
      <c r="BD60" s="180"/>
      <c r="BE60" s="176"/>
      <c r="BF60" s="173"/>
      <c r="BG60" s="173"/>
      <c r="BH60" s="177"/>
      <c r="BI60" s="181"/>
      <c r="BJ60" s="173"/>
      <c r="BK60" s="173"/>
      <c r="BL60" s="173"/>
      <c r="BM60" s="165">
        <f t="shared" si="6"/>
        <v>0</v>
      </c>
      <c r="BN60" s="165">
        <f t="shared" si="7"/>
        <v>0</v>
      </c>
    </row>
    <row r="61" ht="14.25" customHeight="1">
      <c r="A61" s="130">
        <f t="shared" si="2"/>
        <v>25</v>
      </c>
      <c r="B61" s="194" t="s">
        <v>119</v>
      </c>
      <c r="C61" s="17"/>
      <c r="D61" s="17"/>
      <c r="E61" s="17"/>
      <c r="F61" s="17"/>
      <c r="G61" s="17"/>
      <c r="H61" s="17"/>
      <c r="I61" s="17"/>
      <c r="J61" s="151" t="s">
        <v>15</v>
      </c>
      <c r="K61" s="11"/>
      <c r="L61" s="11"/>
      <c r="M61" s="171"/>
      <c r="N61" s="17"/>
      <c r="O61" s="168"/>
      <c r="P61" s="171"/>
      <c r="Q61" s="17"/>
      <c r="R61" s="168"/>
      <c r="S61" s="170"/>
      <c r="T61" s="17"/>
      <c r="U61" s="168"/>
      <c r="V61" s="183">
        <f>IF(J61="COG",AR18,IF(J61="COO",AU18,IF(J61="INT",AX18,IF(J61="REF",BA18+BN65,IF(J61="SAV",BD18,IF(J61="SOM",BG18+BN65,IF(J61="WILL",BJ18,0)))))))</f>
        <v>25</v>
      </c>
      <c r="W61" s="184">
        <f t="shared" si="3"/>
        <v>25</v>
      </c>
      <c r="X61" s="17"/>
      <c r="Y61" s="171"/>
      <c r="Z61" s="17"/>
      <c r="AA61" s="17"/>
      <c r="AB61" s="168"/>
      <c r="AC61" s="171"/>
      <c r="AD61" s="17"/>
      <c r="AE61" s="17"/>
      <c r="AF61" s="17"/>
      <c r="AG61" s="130">
        <f t="shared" si="4"/>
        <v>40</v>
      </c>
      <c r="AH61" s="185" t="s">
        <v>121</v>
      </c>
      <c r="AI61" s="186"/>
      <c r="AJ61" s="186"/>
      <c r="AK61" s="186"/>
      <c r="AL61" s="186"/>
      <c r="AM61" s="186"/>
      <c r="AN61" s="186"/>
      <c r="AO61" s="188"/>
      <c r="AP61" s="161" t="s">
        <v>19</v>
      </c>
      <c r="AQ61" s="159"/>
      <c r="AR61" s="159"/>
      <c r="AS61" s="192"/>
      <c r="AT61" s="186"/>
      <c r="AU61" s="188"/>
      <c r="AV61" s="189">
        <v>10.0</v>
      </c>
      <c r="AW61" s="186"/>
      <c r="AX61" s="188"/>
      <c r="AY61" s="187"/>
      <c r="AZ61" s="186"/>
      <c r="BA61" s="188"/>
      <c r="BB61" s="191">
        <f>IF(AP61="COG",AR18,IF(AP61="COO",AU18,IF(AP61="INT",AX18,IF(AP61="REF",BA18+BN65,IF(AP61="SAV",BD18,IF(AP61="SOM",BG18+BN65,IF(AP61="WILL",BJ18,0)))))))</f>
        <v>30</v>
      </c>
      <c r="BC61" s="155">
        <f t="shared" si="5"/>
        <v>40</v>
      </c>
      <c r="BD61" s="160"/>
      <c r="BE61" s="187"/>
      <c r="BF61" s="186"/>
      <c r="BG61" s="186"/>
      <c r="BH61" s="188"/>
      <c r="BI61" s="192"/>
      <c r="BJ61" s="186"/>
      <c r="BK61" s="186"/>
      <c r="BL61" s="186"/>
      <c r="BM61" s="165">
        <f t="shared" si="6"/>
        <v>0</v>
      </c>
      <c r="BN61" s="165">
        <f t="shared" si="7"/>
        <v>0</v>
      </c>
    </row>
    <row r="62" ht="14.25" customHeight="1">
      <c r="A62" s="130">
        <f t="shared" si="2"/>
        <v>45</v>
      </c>
      <c r="B62" s="194" t="s">
        <v>122</v>
      </c>
      <c r="C62" s="17"/>
      <c r="D62" s="17"/>
      <c r="E62" s="17"/>
      <c r="F62" s="17"/>
      <c r="G62" s="17"/>
      <c r="H62" s="17"/>
      <c r="I62" s="17"/>
      <c r="J62" s="150" t="s">
        <v>15</v>
      </c>
      <c r="K62" s="11"/>
      <c r="L62" s="11"/>
      <c r="M62" s="171"/>
      <c r="N62" s="17"/>
      <c r="O62" s="168"/>
      <c r="P62" s="169">
        <v>20.0</v>
      </c>
      <c r="Q62" s="17"/>
      <c r="R62" s="168"/>
      <c r="S62" s="170"/>
      <c r="T62" s="17"/>
      <c r="U62" s="168"/>
      <c r="V62" s="183">
        <f>IF(J62="COG",AR18,IF(J62="COO",AU18,IF(J62="INT",AX18,IF(J62="REF",BA18+BN65,IF(J62="SAV",BD18,IF(J62="SOM",BG18+BN65,IF(J62="WILL",BJ18,0)))))))</f>
        <v>25</v>
      </c>
      <c r="W62" s="184">
        <f t="shared" si="3"/>
        <v>45</v>
      </c>
      <c r="X62" s="17"/>
      <c r="Y62" s="171"/>
      <c r="Z62" s="17"/>
      <c r="AA62" s="17"/>
      <c r="AB62" s="168"/>
      <c r="AC62" s="195"/>
      <c r="AD62" s="3"/>
      <c r="AE62" s="3"/>
      <c r="AF62" s="3"/>
      <c r="AG62" s="130">
        <f t="shared" si="4"/>
        <v>50</v>
      </c>
      <c r="AH62" s="193" t="s">
        <v>123</v>
      </c>
      <c r="AI62" s="173"/>
      <c r="AJ62" s="173"/>
      <c r="AK62" s="173"/>
      <c r="AL62" s="173"/>
      <c r="AM62" s="173"/>
      <c r="AN62" s="173"/>
      <c r="AO62" s="177"/>
      <c r="AP62" s="174" t="s">
        <v>19</v>
      </c>
      <c r="AQ62" s="175"/>
      <c r="AR62" s="175"/>
      <c r="AS62" s="178"/>
      <c r="AT62" s="173"/>
      <c r="AU62" s="177"/>
      <c r="AV62" s="178">
        <v>20.0</v>
      </c>
      <c r="AW62" s="173"/>
      <c r="AX62" s="177"/>
      <c r="AY62" s="179"/>
      <c r="AZ62" s="173"/>
      <c r="BA62" s="177"/>
      <c r="BB62" s="191">
        <f>IF(AP62="COG",AR18,IF(AP62="COO",AU18,IF(AP62="INT",AX18,IF(AP62="REF",BA18+BN65,IF(AP62="SAV",BD18,IF(AP62="SOM",BG18+BN65,IF(AP62="WILL",BJ18,0)))))))</f>
        <v>30</v>
      </c>
      <c r="BC62" s="155">
        <f t="shared" si="5"/>
        <v>50</v>
      </c>
      <c r="BD62" s="180"/>
      <c r="BE62" s="176"/>
      <c r="BF62" s="173"/>
      <c r="BG62" s="173"/>
      <c r="BH62" s="177"/>
      <c r="BI62" s="176"/>
      <c r="BJ62" s="173"/>
      <c r="BK62" s="173"/>
      <c r="BL62" s="173"/>
      <c r="BM62" s="165">
        <f t="shared" si="6"/>
        <v>0</v>
      </c>
      <c r="BN62" s="165">
        <f t="shared" si="7"/>
        <v>0</v>
      </c>
    </row>
    <row r="63" ht="14.25" customHeight="1">
      <c r="A63" s="130">
        <f t="shared" si="2"/>
        <v>45</v>
      </c>
      <c r="B63" s="194" t="s">
        <v>124</v>
      </c>
      <c r="C63" s="17"/>
      <c r="D63" s="17"/>
      <c r="E63" s="17"/>
      <c r="F63" s="17"/>
      <c r="G63" s="17"/>
      <c r="H63" s="17"/>
      <c r="I63" s="17"/>
      <c r="J63" s="150" t="s">
        <v>17</v>
      </c>
      <c r="K63" s="11"/>
      <c r="L63" s="11"/>
      <c r="M63" s="167"/>
      <c r="N63" s="17"/>
      <c r="O63" s="168"/>
      <c r="P63" s="169">
        <v>30.0</v>
      </c>
      <c r="Q63" s="17"/>
      <c r="R63" s="168"/>
      <c r="S63" s="151"/>
      <c r="T63" s="11"/>
      <c r="U63" s="12"/>
      <c r="V63" s="183">
        <f>IF(J63="COG",AR18,IF(J63="COO",AU18,IF(J63="INT",AX18,IF(J63="REF",BA18+BN65,IF(J63="SAV",BD18,IF(J63="SOM",BG18+BN65,IF(J63="WILL",BJ18,0)))))))</f>
        <v>15</v>
      </c>
      <c r="W63" s="184">
        <f t="shared" si="3"/>
        <v>45</v>
      </c>
      <c r="X63" s="17"/>
      <c r="Y63" s="167"/>
      <c r="Z63" s="17"/>
      <c r="AA63" s="17"/>
      <c r="AB63" s="168"/>
      <c r="AC63" s="196"/>
      <c r="AD63" s="17"/>
      <c r="AE63" s="17"/>
      <c r="AF63" s="17"/>
      <c r="AG63" s="197"/>
      <c r="AP63" s="198" t="s">
        <v>125</v>
      </c>
      <c r="BM63" s="199">
        <f t="shared" si="6"/>
        <v>0</v>
      </c>
      <c r="BN63" s="133">
        <f>SUM(Z37+AB37+AC37)</f>
        <v>0</v>
      </c>
    </row>
    <row r="64" ht="14.25" customHeight="1">
      <c r="A64" s="130">
        <f t="shared" si="2"/>
        <v>25</v>
      </c>
      <c r="B64" s="194" t="s">
        <v>126</v>
      </c>
      <c r="C64" s="17"/>
      <c r="D64" s="17"/>
      <c r="E64" s="17"/>
      <c r="F64" s="17"/>
      <c r="G64" s="17"/>
      <c r="H64" s="17"/>
      <c r="I64" s="17"/>
      <c r="J64" s="150" t="s">
        <v>17</v>
      </c>
      <c r="K64" s="11"/>
      <c r="L64" s="11"/>
      <c r="M64" s="171"/>
      <c r="N64" s="17"/>
      <c r="O64" s="168"/>
      <c r="P64" s="169">
        <v>10.0</v>
      </c>
      <c r="Q64" s="17"/>
      <c r="R64" s="168"/>
      <c r="S64" s="170"/>
      <c r="T64" s="17"/>
      <c r="U64" s="168"/>
      <c r="V64" s="183">
        <f>IF(J64="COG",AR18,IF(J64="COO",AU18,IF(J64="INT",AX18,IF(J64="REF",BA18+BN65,IF(J64="SAV",BD18,IF(J64="SOM",BG18+BN65,IF(J64="WILL",BJ18,0)))))))</f>
        <v>15</v>
      </c>
      <c r="W64" s="184">
        <f t="shared" si="3"/>
        <v>25</v>
      </c>
      <c r="X64" s="17"/>
      <c r="Y64" s="171"/>
      <c r="Z64" s="17"/>
      <c r="AA64" s="17"/>
      <c r="AB64" s="168"/>
      <c r="AC64" s="196"/>
      <c r="AD64" s="17"/>
      <c r="AE64" s="17"/>
      <c r="AF64" s="17"/>
      <c r="AG64" s="197"/>
      <c r="AH64" s="134" t="s">
        <v>88</v>
      </c>
      <c r="AI64" s="11"/>
      <c r="AJ64" s="11"/>
      <c r="AK64" s="11"/>
      <c r="AL64" s="135">
        <f>A89</f>
        <v>340</v>
      </c>
      <c r="AM64" s="3"/>
      <c r="AN64" s="3"/>
      <c r="AO64" s="5"/>
      <c r="AP64" s="97">
        <v>300.0</v>
      </c>
      <c r="BM64" s="199">
        <f t="shared" si="6"/>
        <v>0</v>
      </c>
      <c r="BN64" s="200">
        <f>AY79+BB79+70</f>
        <v>90</v>
      </c>
    </row>
    <row r="65" ht="14.25" customHeight="1">
      <c r="A65" s="130">
        <f t="shared" si="2"/>
        <v>76</v>
      </c>
      <c r="B65" s="194" t="s">
        <v>127</v>
      </c>
      <c r="C65" s="17"/>
      <c r="D65" s="17"/>
      <c r="E65" s="17"/>
      <c r="F65" s="17"/>
      <c r="G65" s="17"/>
      <c r="H65" s="17"/>
      <c r="I65" s="17"/>
      <c r="J65" s="150" t="s">
        <v>19</v>
      </c>
      <c r="K65" s="11"/>
      <c r="L65" s="11"/>
      <c r="M65" s="167"/>
      <c r="N65" s="17"/>
      <c r="O65" s="168"/>
      <c r="P65" s="169">
        <v>26.0</v>
      </c>
      <c r="Q65" s="17"/>
      <c r="R65" s="168"/>
      <c r="S65" s="170"/>
      <c r="T65" s="17"/>
      <c r="U65" s="168"/>
      <c r="V65" s="183">
        <f>IF(J65="COG",AR18,IF(J65="COO",AU18,IF(J65="INT",AX18,IF(J65="REF",BA18+BN65,IF(J65="SAV",BD18,IF(J65="SOM",BG18+BN65,IF(J65="WILL",BJ18,0)))))))</f>
        <v>30</v>
      </c>
      <c r="W65" s="184">
        <f t="shared" si="3"/>
        <v>68</v>
      </c>
      <c r="X65" s="17"/>
      <c r="Y65" s="169">
        <v>20.0</v>
      </c>
      <c r="Z65" s="17"/>
      <c r="AA65" s="17"/>
      <c r="AB65" s="168"/>
      <c r="AC65" s="157"/>
      <c r="AD65" s="11"/>
      <c r="AE65" s="11"/>
      <c r="AF65" s="11"/>
      <c r="AG65" s="148"/>
      <c r="AH65" s="140" t="s">
        <v>128</v>
      </c>
      <c r="AP65" s="138" t="s">
        <v>90</v>
      </c>
      <c r="AQ65" s="3"/>
      <c r="AR65" s="3"/>
      <c r="AS65" s="139" t="s">
        <v>91</v>
      </c>
      <c r="AT65" s="3"/>
      <c r="AU65" s="3"/>
      <c r="AV65" s="137" t="s">
        <v>92</v>
      </c>
      <c r="AW65" s="3"/>
      <c r="AX65" s="3"/>
      <c r="AY65" s="201" t="s">
        <v>93</v>
      </c>
      <c r="AZ65" s="3"/>
      <c r="BA65" s="3"/>
      <c r="BB65" s="137" t="s">
        <v>94</v>
      </c>
      <c r="BC65" s="3"/>
      <c r="BD65" s="3"/>
      <c r="BE65" s="141" t="s">
        <v>95</v>
      </c>
      <c r="BF65" s="3"/>
      <c r="BG65" s="3"/>
      <c r="BH65" s="3"/>
      <c r="BI65" s="202" t="s">
        <v>96</v>
      </c>
      <c r="BJ65" s="3"/>
      <c r="BK65" s="3"/>
      <c r="BL65" s="3"/>
      <c r="BM65" s="165">
        <f t="shared" si="6"/>
        <v>8</v>
      </c>
      <c r="BN65" s="133">
        <f>IF(BN63&gt;0,BN63*-1,BN63)</f>
        <v>0</v>
      </c>
    </row>
    <row r="66" ht="14.25" customHeight="1">
      <c r="A66" s="130">
        <f t="shared" si="2"/>
        <v>30</v>
      </c>
      <c r="B66" s="194" t="s">
        <v>129</v>
      </c>
      <c r="C66" s="17"/>
      <c r="D66" s="17"/>
      <c r="E66" s="17"/>
      <c r="F66" s="17"/>
      <c r="G66" s="17"/>
      <c r="H66" s="17"/>
      <c r="I66" s="17"/>
      <c r="J66" s="150" t="s">
        <v>16</v>
      </c>
      <c r="K66" s="11"/>
      <c r="L66" s="11"/>
      <c r="M66" s="167"/>
      <c r="N66" s="17"/>
      <c r="O66" s="168"/>
      <c r="P66" s="169">
        <v>10.0</v>
      </c>
      <c r="Q66" s="17"/>
      <c r="R66" s="168"/>
      <c r="S66" s="167"/>
      <c r="T66" s="17"/>
      <c r="U66" s="168"/>
      <c r="V66" s="183">
        <f>IF(J66="COG",AR18,IF(J66="COO",AU18,IF(J66="INT",AX18,IF(J66="REF",BA18+BN65,IF(J66="SAV",BD18,IF(J66="SOM",BG18+BN65,IF(J66="WILL",BJ18,0)))))))</f>
        <v>20</v>
      </c>
      <c r="W66" s="184">
        <f t="shared" si="3"/>
        <v>30</v>
      </c>
      <c r="X66" s="17"/>
      <c r="Y66" s="169"/>
      <c r="Z66" s="17"/>
      <c r="AA66" s="17"/>
      <c r="AB66" s="168"/>
      <c r="AC66" s="171"/>
      <c r="AD66" s="17"/>
      <c r="AE66" s="17"/>
      <c r="AF66" s="17"/>
      <c r="AG66" s="148"/>
      <c r="BM66" s="165">
        <f t="shared" si="6"/>
        <v>0</v>
      </c>
      <c r="BN66" s="133">
        <f>SUM(Z37:AE38)</f>
        <v>2000</v>
      </c>
    </row>
    <row r="67" ht="14.25" customHeight="1">
      <c r="A67" s="130">
        <f t="shared" si="2"/>
        <v>40</v>
      </c>
      <c r="B67" s="203" t="s">
        <v>130</v>
      </c>
      <c r="C67" s="17"/>
      <c r="D67" s="17"/>
      <c r="E67" s="17"/>
      <c r="F67" s="17"/>
      <c r="G67" s="17"/>
      <c r="H67" s="17"/>
      <c r="I67" s="17"/>
      <c r="J67" s="150" t="s">
        <v>15</v>
      </c>
      <c r="K67" s="11"/>
      <c r="L67" s="11"/>
      <c r="M67" s="167"/>
      <c r="N67" s="17"/>
      <c r="O67" s="168"/>
      <c r="P67" s="169">
        <v>15.0</v>
      </c>
      <c r="Q67" s="17"/>
      <c r="R67" s="168"/>
      <c r="S67" s="170"/>
      <c r="T67" s="17"/>
      <c r="U67" s="168"/>
      <c r="V67" s="183">
        <f>IF(J67="COG",AR18,IF(J67="COO",AU18,IF(J67="INT",AX18,IF(J67="REF",BA18+BN65,IF(J67="SAV",BD18,IF(J67="SOM",BG18+BN65,IF(J67="WILL",BJ18,0)))))))</f>
        <v>25</v>
      </c>
      <c r="W67" s="184">
        <f t="shared" si="3"/>
        <v>40</v>
      </c>
      <c r="X67" s="17"/>
      <c r="Y67" s="169"/>
      <c r="Z67" s="17"/>
      <c r="AA67" s="17"/>
      <c r="AB67" s="168"/>
      <c r="AC67" s="171"/>
      <c r="AD67" s="17"/>
      <c r="AE67" s="17"/>
      <c r="AF67" s="17"/>
      <c r="AG67" s="130">
        <f t="shared" ref="AG67:AG78" si="8">AS67+AV67+AY67+BE67+BB67</f>
        <v>40</v>
      </c>
      <c r="AH67" s="158" t="s">
        <v>131</v>
      </c>
      <c r="AI67" s="159"/>
      <c r="AJ67" s="159"/>
      <c r="AK67" s="159"/>
      <c r="AL67" s="159"/>
      <c r="AM67" s="159"/>
      <c r="AN67" s="159"/>
      <c r="AO67" s="160"/>
      <c r="AP67" s="161" t="s">
        <v>14</v>
      </c>
      <c r="AQ67" s="159"/>
      <c r="AR67" s="160"/>
      <c r="AS67" s="164"/>
      <c r="AT67" s="159"/>
      <c r="AU67" s="160"/>
      <c r="AV67" s="162">
        <v>20.0</v>
      </c>
      <c r="AW67" s="159"/>
      <c r="AX67" s="160"/>
      <c r="AY67" s="163"/>
      <c r="AZ67" s="159"/>
      <c r="BA67" s="160"/>
      <c r="BB67" s="154">
        <f>IF(AP67="COG",AR18,IF(AP67="COO",AU18,IF(AP67="INT",AX18,IF(AP67="REF",BA18,IF(AP67="SAV",BD18,IF(AP67="SOM",BG18,IF(AP67="WILL",BJ18,0)))))))</f>
        <v>20</v>
      </c>
      <c r="BC67" s="155">
        <f t="shared" ref="BC67:BC86" si="9">IF(AG67&gt;60,AG67-BN67,AG67)</f>
        <v>40</v>
      </c>
      <c r="BD67" s="160"/>
      <c r="BE67" s="204"/>
      <c r="BF67" s="159"/>
      <c r="BG67" s="159"/>
      <c r="BH67" s="160"/>
      <c r="BI67" s="204"/>
      <c r="BJ67" s="159"/>
      <c r="BK67" s="159"/>
      <c r="BL67" s="159"/>
      <c r="BM67" s="165">
        <f t="shared" si="6"/>
        <v>0</v>
      </c>
      <c r="BN67" s="165">
        <f t="shared" ref="BN67:BN78" si="10">IF(AG67&gt;60,SUM((AG67-60)/2),0)</f>
        <v>0</v>
      </c>
    </row>
    <row r="68" ht="14.25" customHeight="1">
      <c r="A68" s="130">
        <f t="shared" si="2"/>
        <v>40</v>
      </c>
      <c r="B68" s="203" t="s">
        <v>132</v>
      </c>
      <c r="C68" s="17"/>
      <c r="D68" s="17"/>
      <c r="E68" s="17"/>
      <c r="F68" s="17"/>
      <c r="G68" s="17"/>
      <c r="H68" s="17"/>
      <c r="I68" s="17"/>
      <c r="J68" s="150" t="s">
        <v>15</v>
      </c>
      <c r="K68" s="11"/>
      <c r="L68" s="11"/>
      <c r="M68" s="171"/>
      <c r="N68" s="17"/>
      <c r="O68" s="168"/>
      <c r="P68" s="169">
        <v>15.0</v>
      </c>
      <c r="Q68" s="17"/>
      <c r="R68" s="168"/>
      <c r="S68" s="170"/>
      <c r="T68" s="17"/>
      <c r="U68" s="168"/>
      <c r="V68" s="183">
        <f>IF(J68="COG",AR18,IF(J68="COO",AU18,IF(J68="INT",AX18,IF(J68="REF",BA18+BN65,IF(J68="SAV",BD18,IF(J68="SOM",BG18+BN65,IF(J68="WILL",BJ18,0)))))))</f>
        <v>25</v>
      </c>
      <c r="W68" s="184">
        <f t="shared" si="3"/>
        <v>40</v>
      </c>
      <c r="X68" s="17"/>
      <c r="Y68" s="169"/>
      <c r="Z68" s="17"/>
      <c r="AA68" s="17"/>
      <c r="AB68" s="168"/>
      <c r="AC68" s="171"/>
      <c r="AD68" s="17"/>
      <c r="AE68" s="17"/>
      <c r="AF68" s="17"/>
      <c r="AG68" s="130">
        <f t="shared" si="8"/>
        <v>50</v>
      </c>
      <c r="AH68" s="172" t="s">
        <v>133</v>
      </c>
      <c r="AI68" s="173"/>
      <c r="AJ68" s="173"/>
      <c r="AK68" s="173"/>
      <c r="AL68" s="173"/>
      <c r="AM68" s="173"/>
      <c r="AN68" s="173"/>
      <c r="AO68" s="177"/>
      <c r="AP68" s="205" t="s">
        <v>14</v>
      </c>
      <c r="AQ68" s="173"/>
      <c r="AR68" s="177"/>
      <c r="AS68" s="181"/>
      <c r="AT68" s="173"/>
      <c r="AU68" s="177"/>
      <c r="AV68" s="178">
        <v>30.0</v>
      </c>
      <c r="AW68" s="173"/>
      <c r="AX68" s="177"/>
      <c r="AY68" s="179"/>
      <c r="AZ68" s="173"/>
      <c r="BA68" s="177"/>
      <c r="BB68" s="183">
        <f>IF(AP68="COG",AR18,IF(AP68="COO",AU18,IF(AP68="INT",AX18,IF(AP68="REF",BA18,IF(AP68="SAV",BD18,IF(AP68="SOM",BG18,IF(AP68="WILL",BJ18,0)))))))</f>
        <v>20</v>
      </c>
      <c r="BC68" s="184">
        <f t="shared" si="9"/>
        <v>50</v>
      </c>
      <c r="BD68" s="177"/>
      <c r="BE68" s="181"/>
      <c r="BF68" s="173"/>
      <c r="BG68" s="173"/>
      <c r="BH68" s="177"/>
      <c r="BI68" s="181"/>
      <c r="BJ68" s="173"/>
      <c r="BK68" s="173"/>
      <c r="BL68" s="173"/>
      <c r="BM68" s="165">
        <f t="shared" si="6"/>
        <v>0</v>
      </c>
      <c r="BN68" s="165">
        <f t="shared" si="10"/>
        <v>0</v>
      </c>
    </row>
    <row r="69" ht="14.25" customHeight="1">
      <c r="A69" s="130">
        <f t="shared" si="2"/>
        <v>5</v>
      </c>
      <c r="B69" s="194" t="s">
        <v>134</v>
      </c>
      <c r="C69" s="17"/>
      <c r="D69" s="17"/>
      <c r="E69" s="17"/>
      <c r="F69" s="17"/>
      <c r="G69" s="17"/>
      <c r="H69" s="17"/>
      <c r="I69" s="17"/>
      <c r="J69" s="150" t="s">
        <v>18</v>
      </c>
      <c r="K69" s="11"/>
      <c r="L69" s="11"/>
      <c r="M69" s="171"/>
      <c r="N69" s="17"/>
      <c r="O69" s="168"/>
      <c r="P69" s="167"/>
      <c r="Q69" s="17"/>
      <c r="R69" s="168"/>
      <c r="S69" s="170"/>
      <c r="T69" s="17"/>
      <c r="U69" s="168"/>
      <c r="V69" s="183">
        <f>IF(J69="COG",AR18,IF(J69="COO",AU18,IF(J69="INT",AX18,IF(J69="REF",BA18+BN65,IF(J69="SAV",BD18,IF(J69="SOM",BG18+BN65,IF(J69="WILL",BJ18,0)))))))</f>
        <v>5</v>
      </c>
      <c r="W69" s="184">
        <f t="shared" si="3"/>
        <v>5</v>
      </c>
      <c r="X69" s="17"/>
      <c r="Y69" s="167"/>
      <c r="Z69" s="17"/>
      <c r="AA69" s="17"/>
      <c r="AB69" s="168"/>
      <c r="AC69" s="171"/>
      <c r="AD69" s="17"/>
      <c r="AE69" s="17"/>
      <c r="AF69" s="17"/>
      <c r="AG69" s="130">
        <f t="shared" si="8"/>
        <v>30</v>
      </c>
      <c r="AH69" s="158" t="s">
        <v>135</v>
      </c>
      <c r="AI69" s="159"/>
      <c r="AJ69" s="159"/>
      <c r="AK69" s="159"/>
      <c r="AL69" s="159"/>
      <c r="AM69" s="159"/>
      <c r="AN69" s="159"/>
      <c r="AO69" s="160"/>
      <c r="AP69" s="206" t="s">
        <v>14</v>
      </c>
      <c r="AQ69" s="186"/>
      <c r="AR69" s="188"/>
      <c r="AS69" s="187"/>
      <c r="AT69" s="186"/>
      <c r="AU69" s="188"/>
      <c r="AV69" s="189">
        <v>10.0</v>
      </c>
      <c r="AW69" s="186"/>
      <c r="AX69" s="188"/>
      <c r="AY69" s="190"/>
      <c r="AZ69" s="186"/>
      <c r="BA69" s="188"/>
      <c r="BB69" s="207">
        <f>IF(AP69="COG",AR18,IF(AP69="COO",AU18,IF(AP69="INT",AX18,IF(AP69="REF",BA18,IF(AP69="SAV",BD18,IF(AP69="SOM",BG18,IF(AP69="WILL",BJ18,0)))))))</f>
        <v>20</v>
      </c>
      <c r="BC69" s="184">
        <f t="shared" si="9"/>
        <v>30</v>
      </c>
      <c r="BD69" s="188"/>
      <c r="BE69" s="192"/>
      <c r="BF69" s="186"/>
      <c r="BG69" s="186"/>
      <c r="BH69" s="188"/>
      <c r="BI69" s="192"/>
      <c r="BJ69" s="186"/>
      <c r="BK69" s="186"/>
      <c r="BL69" s="186"/>
      <c r="BM69" s="165">
        <f t="shared" si="6"/>
        <v>0</v>
      </c>
      <c r="BN69" s="165">
        <f t="shared" si="10"/>
        <v>0</v>
      </c>
    </row>
    <row r="70" ht="14.25" customHeight="1">
      <c r="A70" s="130">
        <f t="shared" si="2"/>
        <v>45</v>
      </c>
      <c r="B70" s="194" t="s">
        <v>136</v>
      </c>
      <c r="C70" s="17"/>
      <c r="D70" s="17"/>
      <c r="E70" s="17"/>
      <c r="F70" s="17"/>
      <c r="G70" s="17"/>
      <c r="H70" s="17"/>
      <c r="I70" s="17"/>
      <c r="J70" s="150" t="s">
        <v>15</v>
      </c>
      <c r="K70" s="11"/>
      <c r="L70" s="11"/>
      <c r="M70" s="167"/>
      <c r="N70" s="17"/>
      <c r="O70" s="168"/>
      <c r="P70" s="169">
        <v>20.0</v>
      </c>
      <c r="Q70" s="17"/>
      <c r="R70" s="168"/>
      <c r="S70" s="167"/>
      <c r="T70" s="17"/>
      <c r="U70" s="168"/>
      <c r="V70" s="183">
        <f>IF(J70="COG",AR18,IF(J70="COO",AU18,IF(J70="INT",AX18,IF(J70="REF",BA18+BN65,IF(J70="SAV",BD18,IF(J70="SOM",BG18+BN65,IF(J70="WILL",BJ18,0)))))))</f>
        <v>25</v>
      </c>
      <c r="W70" s="184">
        <f t="shared" si="3"/>
        <v>45</v>
      </c>
      <c r="X70" s="17"/>
      <c r="Y70" s="171"/>
      <c r="Z70" s="17"/>
      <c r="AA70" s="17"/>
      <c r="AB70" s="168"/>
      <c r="AC70" s="167"/>
      <c r="AD70" s="17"/>
      <c r="AE70" s="17"/>
      <c r="AF70" s="17"/>
      <c r="AG70" s="130">
        <f t="shared" si="8"/>
        <v>30</v>
      </c>
      <c r="AH70" s="172" t="s">
        <v>137</v>
      </c>
      <c r="AI70" s="173"/>
      <c r="AJ70" s="173"/>
      <c r="AK70" s="173"/>
      <c r="AL70" s="173"/>
      <c r="AM70" s="173"/>
      <c r="AN70" s="173"/>
      <c r="AO70" s="177"/>
      <c r="AP70" s="205" t="s">
        <v>14</v>
      </c>
      <c r="AQ70" s="173"/>
      <c r="AR70" s="177"/>
      <c r="AS70" s="181"/>
      <c r="AT70" s="173"/>
      <c r="AU70" s="177"/>
      <c r="AV70" s="178">
        <v>10.0</v>
      </c>
      <c r="AW70" s="173"/>
      <c r="AX70" s="177"/>
      <c r="AY70" s="179"/>
      <c r="AZ70" s="173"/>
      <c r="BA70" s="177"/>
      <c r="BB70" s="207">
        <f>IF(AP70="COG",AR18,IF(AP70="COO",AU18,IF(AP70="INT",AX18,IF(AP70="REF",BA18,IF(AP70="SAV",BD18,IF(AP70="SOM",BG18,IF(AP70="WILL",BJ18,0)))))))</f>
        <v>20</v>
      </c>
      <c r="BC70" s="184">
        <f t="shared" si="9"/>
        <v>30</v>
      </c>
      <c r="BD70" s="177"/>
      <c r="BE70" s="181"/>
      <c r="BF70" s="173"/>
      <c r="BG70" s="173"/>
      <c r="BH70" s="177"/>
      <c r="BI70" s="181"/>
      <c r="BJ70" s="173"/>
      <c r="BK70" s="173"/>
      <c r="BL70" s="173"/>
      <c r="BM70" s="165">
        <f t="shared" si="6"/>
        <v>0</v>
      </c>
      <c r="BN70" s="165">
        <f t="shared" si="10"/>
        <v>0</v>
      </c>
    </row>
    <row r="71" ht="14.25" customHeight="1">
      <c r="A71" s="130">
        <f t="shared" si="2"/>
        <v>40</v>
      </c>
      <c r="B71" s="194" t="s">
        <v>138</v>
      </c>
      <c r="C71" s="17"/>
      <c r="D71" s="17"/>
      <c r="E71" s="17"/>
      <c r="F71" s="17"/>
      <c r="G71" s="17"/>
      <c r="H71" s="17"/>
      <c r="I71" s="17"/>
      <c r="J71" s="150" t="s">
        <v>14</v>
      </c>
      <c r="K71" s="11"/>
      <c r="L71" s="11"/>
      <c r="M71" s="171"/>
      <c r="N71" s="17"/>
      <c r="O71" s="168"/>
      <c r="P71" s="169">
        <v>20.0</v>
      </c>
      <c r="Q71" s="17"/>
      <c r="R71" s="168"/>
      <c r="S71" s="167"/>
      <c r="T71" s="17"/>
      <c r="U71" s="168"/>
      <c r="V71" s="183">
        <f>IF(J71="COG",AR18,IF(J71="COO",AU18,IF(J71="INT",AX18,IF(J71="REF",BA18+BN65,IF(J71="SAV",BD18,IF(J71="SOM",BG18+BN65,IF(J71="WILL",BJ18,0)))))))</f>
        <v>20</v>
      </c>
      <c r="W71" s="184">
        <f t="shared" si="3"/>
        <v>40</v>
      </c>
      <c r="X71" s="17"/>
      <c r="Y71" s="171"/>
      <c r="Z71" s="17"/>
      <c r="AA71" s="17"/>
      <c r="AB71" s="168"/>
      <c r="AC71" s="171"/>
      <c r="AD71" s="17"/>
      <c r="AE71" s="17"/>
      <c r="AF71" s="17"/>
      <c r="AG71" s="130">
        <f t="shared" si="8"/>
        <v>40</v>
      </c>
      <c r="AH71" s="208" t="s">
        <v>139</v>
      </c>
      <c r="AI71" s="186"/>
      <c r="AJ71" s="186"/>
      <c r="AK71" s="186"/>
      <c r="AL71" s="186"/>
      <c r="AM71" s="186"/>
      <c r="AN71" s="186"/>
      <c r="AO71" s="188"/>
      <c r="AP71" s="206" t="s">
        <v>16</v>
      </c>
      <c r="AQ71" s="186"/>
      <c r="AR71" s="188"/>
      <c r="AS71" s="192"/>
      <c r="AT71" s="186"/>
      <c r="AU71" s="188"/>
      <c r="AV71" s="189">
        <v>20.0</v>
      </c>
      <c r="AW71" s="186"/>
      <c r="AX71" s="188"/>
      <c r="AY71" s="190"/>
      <c r="AZ71" s="186"/>
      <c r="BA71" s="188"/>
      <c r="BB71" s="207">
        <f>IF(AP71="COG",AR18,IF(AP71="COO",AU18,IF(AP71="INT",AX18,IF(AP71="REF",BA18,IF(AP71="SAV",BD18,IF(AP71="SOM",BG18,IF(AP71="WILL",BJ18,0)))))))</f>
        <v>20</v>
      </c>
      <c r="BC71" s="184">
        <f t="shared" si="9"/>
        <v>40</v>
      </c>
      <c r="BD71" s="188"/>
      <c r="BE71" s="192"/>
      <c r="BF71" s="186"/>
      <c r="BG71" s="186"/>
      <c r="BH71" s="188"/>
      <c r="BI71" s="192"/>
      <c r="BJ71" s="186"/>
      <c r="BK71" s="186"/>
      <c r="BL71" s="186"/>
      <c r="BM71" s="165">
        <f t="shared" si="6"/>
        <v>0</v>
      </c>
      <c r="BN71" s="165">
        <f t="shared" si="10"/>
        <v>0</v>
      </c>
    </row>
    <row r="72" ht="14.25" customHeight="1">
      <c r="A72" s="130">
        <f t="shared" si="2"/>
        <v>30</v>
      </c>
      <c r="B72" s="194" t="s">
        <v>140</v>
      </c>
      <c r="C72" s="17"/>
      <c r="D72" s="17"/>
      <c r="E72" s="17"/>
      <c r="F72" s="17"/>
      <c r="G72" s="17"/>
      <c r="H72" s="17"/>
      <c r="I72" s="17"/>
      <c r="J72" s="150" t="s">
        <v>14</v>
      </c>
      <c r="K72" s="11"/>
      <c r="L72" s="11"/>
      <c r="M72" s="171"/>
      <c r="N72" s="17"/>
      <c r="O72" s="168"/>
      <c r="P72" s="169">
        <v>10.0</v>
      </c>
      <c r="Q72" s="17"/>
      <c r="R72" s="168"/>
      <c r="S72" s="167"/>
      <c r="T72" s="17"/>
      <c r="U72" s="168"/>
      <c r="V72" s="183">
        <f>IF(J72="COG",AR18,IF(J72="COO",AU18,IF(J72="INT",AX18,IF(J72="REF",BA18+BN65,IF(J72="SAV",BD18,IF(J72="SOM",BG18+BN65,IF(J72="WILL",BJ18,0)))))))</f>
        <v>20</v>
      </c>
      <c r="W72" s="184">
        <f t="shared" si="3"/>
        <v>30</v>
      </c>
      <c r="X72" s="17"/>
      <c r="Y72" s="171"/>
      <c r="Z72" s="17"/>
      <c r="AA72" s="17"/>
      <c r="AB72" s="168"/>
      <c r="AC72" s="171"/>
      <c r="AD72" s="17"/>
      <c r="AE72" s="17"/>
      <c r="AF72" s="17"/>
      <c r="AG72" s="130">
        <f t="shared" si="8"/>
        <v>30</v>
      </c>
      <c r="AH72" s="172" t="s">
        <v>141</v>
      </c>
      <c r="AI72" s="173"/>
      <c r="AJ72" s="173"/>
      <c r="AK72" s="173"/>
      <c r="AL72" s="173"/>
      <c r="AM72" s="173"/>
      <c r="AN72" s="173"/>
      <c r="AO72" s="177"/>
      <c r="AP72" s="205" t="s">
        <v>16</v>
      </c>
      <c r="AQ72" s="173"/>
      <c r="AR72" s="177"/>
      <c r="AS72" s="181"/>
      <c r="AT72" s="173"/>
      <c r="AU72" s="177"/>
      <c r="AV72" s="178">
        <v>10.0</v>
      </c>
      <c r="AW72" s="173"/>
      <c r="AX72" s="177"/>
      <c r="AY72" s="179"/>
      <c r="AZ72" s="173"/>
      <c r="BA72" s="177"/>
      <c r="BB72" s="207">
        <f>IF(AP72="COG",AR18,IF(AP72="COO",AU18,IF(AP72="INT",AX18,IF(AP72="REF",BA18,IF(AP72="SAV",BD18,IF(AP72="SOM",BG18,IF(AP72="WILL",BJ18,0)))))))</f>
        <v>20</v>
      </c>
      <c r="BC72" s="184">
        <f t="shared" si="9"/>
        <v>30</v>
      </c>
      <c r="BD72" s="177"/>
      <c r="BE72" s="181"/>
      <c r="BF72" s="173"/>
      <c r="BG72" s="173"/>
      <c r="BH72" s="177"/>
      <c r="BI72" s="181"/>
      <c r="BJ72" s="173"/>
      <c r="BK72" s="173"/>
      <c r="BL72" s="173"/>
      <c r="BM72" s="165">
        <f t="shared" si="6"/>
        <v>0</v>
      </c>
      <c r="BN72" s="165">
        <f t="shared" si="10"/>
        <v>0</v>
      </c>
    </row>
    <row r="73" ht="14.25" customHeight="1">
      <c r="A73" s="130">
        <f t="shared" si="2"/>
        <v>20</v>
      </c>
      <c r="B73" s="194" t="s">
        <v>142</v>
      </c>
      <c r="C73" s="17"/>
      <c r="D73" s="17"/>
      <c r="E73" s="17"/>
      <c r="F73" s="17"/>
      <c r="G73" s="17"/>
      <c r="H73" s="17"/>
      <c r="I73" s="17"/>
      <c r="J73" s="150" t="s">
        <v>20</v>
      </c>
      <c r="K73" s="11"/>
      <c r="L73" s="11"/>
      <c r="M73" s="171"/>
      <c r="N73" s="17"/>
      <c r="O73" s="168"/>
      <c r="P73" s="169">
        <v>10.0</v>
      </c>
      <c r="Q73" s="17"/>
      <c r="R73" s="168"/>
      <c r="S73" s="167"/>
      <c r="T73" s="17"/>
      <c r="U73" s="168"/>
      <c r="V73" s="183">
        <f>IF(J73="COG",AR18,IF(J73="COO",AU18,IF(J73="INT",AX18,IF(J73="REF",BA18+BN65,IF(J73="SAV",BD18,IF(J73="SOM",BG18+BN65,IF(J73="WILL",BJ18,0)))))))</f>
        <v>10</v>
      </c>
      <c r="W73" s="184">
        <f t="shared" si="3"/>
        <v>20</v>
      </c>
      <c r="X73" s="17"/>
      <c r="Y73" s="171"/>
      <c r="Z73" s="17"/>
      <c r="AA73" s="17"/>
      <c r="AB73" s="168"/>
      <c r="AC73" s="171"/>
      <c r="AD73" s="17"/>
      <c r="AE73" s="17"/>
      <c r="AF73" s="17"/>
      <c r="AG73" s="130">
        <f t="shared" si="8"/>
        <v>20</v>
      </c>
      <c r="AH73" s="208" t="s">
        <v>143</v>
      </c>
      <c r="AI73" s="186"/>
      <c r="AJ73" s="186"/>
      <c r="AK73" s="186"/>
      <c r="AL73" s="186"/>
      <c r="AM73" s="186"/>
      <c r="AN73" s="186"/>
      <c r="AO73" s="188"/>
      <c r="AP73" s="206" t="s">
        <v>16</v>
      </c>
      <c r="AQ73" s="186"/>
      <c r="AR73" s="188"/>
      <c r="AS73" s="192"/>
      <c r="AT73" s="186"/>
      <c r="AU73" s="188"/>
      <c r="AV73" s="187"/>
      <c r="AW73" s="186"/>
      <c r="AX73" s="188"/>
      <c r="AY73" s="190"/>
      <c r="AZ73" s="186"/>
      <c r="BA73" s="188"/>
      <c r="BB73" s="207">
        <f>IF(AP73="COG",AR18,IF(AP73="COO",AU18,IF(AP73="INT",AX18,IF(AP73="REF",BA18,IF(AP73="SAV",BD18,IF(AP73="SOM",BG18,IF(AP73="WILL",BJ18,0)))))))</f>
        <v>20</v>
      </c>
      <c r="BC73" s="184">
        <f t="shared" si="9"/>
        <v>20</v>
      </c>
      <c r="BD73" s="188"/>
      <c r="BE73" s="192"/>
      <c r="BF73" s="186"/>
      <c r="BG73" s="186"/>
      <c r="BH73" s="188"/>
      <c r="BI73" s="192"/>
      <c r="BJ73" s="186"/>
      <c r="BK73" s="186"/>
      <c r="BL73" s="186"/>
      <c r="BM73" s="165">
        <f t="shared" si="6"/>
        <v>0</v>
      </c>
      <c r="BN73" s="165">
        <f t="shared" si="10"/>
        <v>0</v>
      </c>
    </row>
    <row r="74" ht="14.25" customHeight="1">
      <c r="A74" s="130">
        <f t="shared" si="2"/>
        <v>40</v>
      </c>
      <c r="B74" s="194" t="s">
        <v>144</v>
      </c>
      <c r="C74" s="17"/>
      <c r="D74" s="17"/>
      <c r="E74" s="17"/>
      <c r="F74" s="17"/>
      <c r="G74" s="17"/>
      <c r="H74" s="17"/>
      <c r="I74" s="17"/>
      <c r="J74" s="150" t="s">
        <v>14</v>
      </c>
      <c r="K74" s="11"/>
      <c r="L74" s="11"/>
      <c r="M74" s="171"/>
      <c r="N74" s="17"/>
      <c r="O74" s="168"/>
      <c r="P74" s="169">
        <v>20.0</v>
      </c>
      <c r="Q74" s="17"/>
      <c r="R74" s="168"/>
      <c r="S74" s="170"/>
      <c r="T74" s="17"/>
      <c r="U74" s="168"/>
      <c r="V74" s="183">
        <f>IF(J74="COG",AR18,IF(J74="COO",AU18,IF(J74="INT",AX18,IF(J74="REF",BA18+BN65,IF(J74="SAV",BD18,IF(J74="SOM",BG18+BN65,IF(J74="WILL",BJ18,0)))))))</f>
        <v>20</v>
      </c>
      <c r="W74" s="184">
        <f t="shared" si="3"/>
        <v>40</v>
      </c>
      <c r="X74" s="17"/>
      <c r="Y74" s="167"/>
      <c r="Z74" s="17"/>
      <c r="AA74" s="17"/>
      <c r="AB74" s="168"/>
      <c r="AC74" s="171"/>
      <c r="AD74" s="17"/>
      <c r="AE74" s="17"/>
      <c r="AF74" s="17"/>
      <c r="AG74" s="130">
        <f t="shared" si="8"/>
        <v>20</v>
      </c>
      <c r="AH74" s="172" t="s">
        <v>143</v>
      </c>
      <c r="AI74" s="173"/>
      <c r="AJ74" s="173"/>
      <c r="AK74" s="173"/>
      <c r="AL74" s="173"/>
      <c r="AM74" s="173"/>
      <c r="AN74" s="173"/>
      <c r="AO74" s="177"/>
      <c r="AP74" s="209" t="s">
        <v>16</v>
      </c>
      <c r="AQ74" s="173"/>
      <c r="AR74" s="177"/>
      <c r="AS74" s="181"/>
      <c r="AT74" s="173"/>
      <c r="AU74" s="177"/>
      <c r="AV74" s="176"/>
      <c r="AW74" s="173"/>
      <c r="AX74" s="177"/>
      <c r="AY74" s="176"/>
      <c r="AZ74" s="173"/>
      <c r="BA74" s="177"/>
      <c r="BB74" s="207">
        <f>IF(AP74="COG",AR18,IF(AP74="COO",AU18,IF(AP74="INT",AX18,IF(AP74="REF",BA18,IF(AP74="SAV",BD18,IF(AP74="SOM",BG18,IF(AP74="WILL",BJ18,0)))))))</f>
        <v>20</v>
      </c>
      <c r="BC74" s="184">
        <f t="shared" si="9"/>
        <v>20</v>
      </c>
      <c r="BD74" s="177"/>
      <c r="BE74" s="181"/>
      <c r="BF74" s="173"/>
      <c r="BG74" s="173"/>
      <c r="BH74" s="177"/>
      <c r="BI74" s="181"/>
      <c r="BJ74" s="173"/>
      <c r="BK74" s="173"/>
      <c r="BL74" s="173"/>
      <c r="BM74" s="165">
        <f t="shared" si="6"/>
        <v>0</v>
      </c>
      <c r="BN74" s="165">
        <f t="shared" si="10"/>
        <v>0</v>
      </c>
    </row>
    <row r="75" ht="14.25" customHeight="1">
      <c r="A75" s="130">
        <f t="shared" si="2"/>
        <v>30</v>
      </c>
      <c r="B75" s="194" t="s">
        <v>145</v>
      </c>
      <c r="C75" s="17"/>
      <c r="D75" s="17"/>
      <c r="E75" s="17"/>
      <c r="F75" s="17"/>
      <c r="G75" s="17"/>
      <c r="H75" s="17"/>
      <c r="I75" s="17"/>
      <c r="J75" s="150" t="s">
        <v>16</v>
      </c>
      <c r="K75" s="11"/>
      <c r="L75" s="11"/>
      <c r="M75" s="167"/>
      <c r="N75" s="17"/>
      <c r="O75" s="168"/>
      <c r="P75" s="169">
        <v>10.0</v>
      </c>
      <c r="Q75" s="17"/>
      <c r="R75" s="168"/>
      <c r="S75" s="170"/>
      <c r="T75" s="17"/>
      <c r="U75" s="168"/>
      <c r="V75" s="183">
        <f>IF(J75="COG",AR18,IF(J75="COO",AU18,IF(J75="INT",AX18,IF(J75="REF",BA18+BN65,IF(J75="SAV",BD18,IF(J75="SOM",BG18+BN65,IF(J75="WILL",BJ18,0)))))))</f>
        <v>20</v>
      </c>
      <c r="W75" s="184">
        <f t="shared" si="3"/>
        <v>30</v>
      </c>
      <c r="X75" s="17"/>
      <c r="Y75" s="170"/>
      <c r="Z75" s="17"/>
      <c r="AA75" s="17"/>
      <c r="AB75" s="168"/>
      <c r="AC75" s="171"/>
      <c r="AD75" s="17"/>
      <c r="AE75" s="17"/>
      <c r="AF75" s="17"/>
      <c r="AG75" s="130">
        <f t="shared" si="8"/>
        <v>40</v>
      </c>
      <c r="AH75" s="208" t="s">
        <v>146</v>
      </c>
      <c r="AI75" s="186"/>
      <c r="AJ75" s="186"/>
      <c r="AK75" s="186"/>
      <c r="AL75" s="186"/>
      <c r="AM75" s="186"/>
      <c r="AN75" s="186"/>
      <c r="AO75" s="188"/>
      <c r="AP75" s="206" t="s">
        <v>14</v>
      </c>
      <c r="AQ75" s="186"/>
      <c r="AR75" s="188"/>
      <c r="AS75" s="192"/>
      <c r="AT75" s="186"/>
      <c r="AU75" s="188"/>
      <c r="AV75" s="189">
        <v>20.0</v>
      </c>
      <c r="AW75" s="186"/>
      <c r="AX75" s="188"/>
      <c r="AY75" s="187"/>
      <c r="AZ75" s="186"/>
      <c r="BA75" s="188"/>
      <c r="BB75" s="207">
        <f>IF(AP75="COG",AR18,IF(AP75="COO",AU18,IF(AP75="INT",AX18,IF(AP75="REF",BA18,IF(AP75="SAV",BD18,IF(AP75="SOM",BG18,IF(AP75="WILL",BJ18,0)))))))</f>
        <v>20</v>
      </c>
      <c r="BC75" s="184">
        <f t="shared" si="9"/>
        <v>40</v>
      </c>
      <c r="BD75" s="188"/>
      <c r="BE75" s="192"/>
      <c r="BF75" s="186"/>
      <c r="BG75" s="186"/>
      <c r="BH75" s="188"/>
      <c r="BI75" s="192"/>
      <c r="BJ75" s="186"/>
      <c r="BK75" s="186"/>
      <c r="BL75" s="186"/>
      <c r="BM75" s="165">
        <f t="shared" si="6"/>
        <v>0</v>
      </c>
      <c r="BN75" s="165">
        <f t="shared" si="10"/>
        <v>0</v>
      </c>
    </row>
    <row r="76" ht="14.25" customHeight="1">
      <c r="A76" s="130">
        <f t="shared" si="2"/>
        <v>45</v>
      </c>
      <c r="B76" s="194" t="s">
        <v>147</v>
      </c>
      <c r="C76" s="17"/>
      <c r="D76" s="17"/>
      <c r="E76" s="17"/>
      <c r="F76" s="17"/>
      <c r="G76" s="17"/>
      <c r="H76" s="17"/>
      <c r="I76" s="17"/>
      <c r="J76" s="150" t="s">
        <v>15</v>
      </c>
      <c r="K76" s="11"/>
      <c r="L76" s="11"/>
      <c r="M76" s="169"/>
      <c r="N76" s="17"/>
      <c r="O76" s="168"/>
      <c r="P76" s="169">
        <v>20.0</v>
      </c>
      <c r="Q76" s="17"/>
      <c r="R76" s="168"/>
      <c r="S76" s="170"/>
      <c r="T76" s="17"/>
      <c r="U76" s="168"/>
      <c r="V76" s="183">
        <f>IF(J76="COG",AR18,IF(J76="COO",AU18,IF(J76="INT",AX18,IF(J76="REF",BA18+BN65,IF(J76="SAV",BD18,IF(J76="SOM",BG18+BN65,IF(J76="WILL",BJ18,0)))))))</f>
        <v>25</v>
      </c>
      <c r="W76" s="184">
        <f t="shared" si="3"/>
        <v>45</v>
      </c>
      <c r="X76" s="17"/>
      <c r="Y76" s="169"/>
      <c r="Z76" s="17"/>
      <c r="AA76" s="17"/>
      <c r="AB76" s="168"/>
      <c r="AC76" s="167"/>
      <c r="AD76" s="17"/>
      <c r="AE76" s="17"/>
      <c r="AF76" s="17"/>
      <c r="AG76" s="130">
        <f t="shared" si="8"/>
        <v>50</v>
      </c>
      <c r="AH76" s="172" t="s">
        <v>148</v>
      </c>
      <c r="AI76" s="173"/>
      <c r="AJ76" s="173"/>
      <c r="AK76" s="173"/>
      <c r="AL76" s="173"/>
      <c r="AM76" s="173"/>
      <c r="AN76" s="173"/>
      <c r="AO76" s="177"/>
      <c r="AP76" s="205" t="s">
        <v>14</v>
      </c>
      <c r="AQ76" s="173"/>
      <c r="AR76" s="177"/>
      <c r="AS76" s="181"/>
      <c r="AT76" s="173"/>
      <c r="AU76" s="177"/>
      <c r="AV76" s="178">
        <v>30.0</v>
      </c>
      <c r="AW76" s="173"/>
      <c r="AX76" s="177"/>
      <c r="AY76" s="176"/>
      <c r="AZ76" s="173"/>
      <c r="BA76" s="177"/>
      <c r="BB76" s="207">
        <f>IF(AP76="COG",AR18,IF(AP76="COO",AU18,IF(AP76="INT",AX18,IF(AP76="REF",BA18,IF(AP76="SAV",BD18,IF(AP76="SOM",BG18,IF(AP76="WILL",BJ18,0)))))))</f>
        <v>20</v>
      </c>
      <c r="BC76" s="184">
        <f t="shared" si="9"/>
        <v>50</v>
      </c>
      <c r="BD76" s="177"/>
      <c r="BE76" s="181"/>
      <c r="BF76" s="173"/>
      <c r="BG76" s="173"/>
      <c r="BH76" s="177"/>
      <c r="BI76" s="181"/>
      <c r="BJ76" s="173"/>
      <c r="BK76" s="173"/>
      <c r="BL76" s="173"/>
      <c r="BM76" s="165">
        <f t="shared" si="6"/>
        <v>0</v>
      </c>
      <c r="BN76" s="165">
        <f t="shared" si="10"/>
        <v>0</v>
      </c>
    </row>
    <row r="77" ht="14.25" customHeight="1">
      <c r="A77" s="130">
        <f t="shared" si="2"/>
        <v>40</v>
      </c>
      <c r="B77" s="203" t="s">
        <v>149</v>
      </c>
      <c r="C77" s="17"/>
      <c r="D77" s="17"/>
      <c r="E77" s="17"/>
      <c r="F77" s="17"/>
      <c r="G77" s="17"/>
      <c r="H77" s="17"/>
      <c r="I77" s="17"/>
      <c r="J77" s="150" t="s">
        <v>14</v>
      </c>
      <c r="K77" s="11"/>
      <c r="L77" s="11"/>
      <c r="M77" s="167"/>
      <c r="N77" s="17"/>
      <c r="O77" s="168"/>
      <c r="P77" s="169">
        <v>20.0</v>
      </c>
      <c r="Q77" s="17"/>
      <c r="R77" s="168"/>
      <c r="S77" s="167"/>
      <c r="T77" s="17"/>
      <c r="U77" s="168"/>
      <c r="V77" s="183">
        <f>IF(J77="COG",AR18,IF(J77="COO",AU18,IF(J77="INT",AX18,IF(J77="REF",BA18+BN65,IF(J77="SAV",BD18,IF(J77="SOM",BG18+BN65,IF(J77="WILL",BJ18,0)))))))</f>
        <v>20</v>
      </c>
      <c r="W77" s="184">
        <f t="shared" si="3"/>
        <v>40</v>
      </c>
      <c r="X77" s="17"/>
      <c r="Y77" s="171"/>
      <c r="Z77" s="17"/>
      <c r="AA77" s="17"/>
      <c r="AB77" s="168"/>
      <c r="AC77" s="171"/>
      <c r="AD77" s="17"/>
      <c r="AE77" s="17"/>
      <c r="AF77" s="17"/>
      <c r="AG77" s="130">
        <f t="shared" si="8"/>
        <v>20</v>
      </c>
      <c r="AH77" s="208" t="s">
        <v>150</v>
      </c>
      <c r="AI77" s="186"/>
      <c r="AJ77" s="186"/>
      <c r="AK77" s="186"/>
      <c r="AL77" s="186"/>
      <c r="AM77" s="186"/>
      <c r="AN77" s="186"/>
      <c r="AO77" s="188"/>
      <c r="AP77" s="206" t="s">
        <v>14</v>
      </c>
      <c r="AQ77" s="186"/>
      <c r="AR77" s="188"/>
      <c r="AS77" s="192"/>
      <c r="AT77" s="186"/>
      <c r="AU77" s="188"/>
      <c r="AV77" s="189"/>
      <c r="AW77" s="186"/>
      <c r="AX77" s="188"/>
      <c r="AY77" s="187"/>
      <c r="AZ77" s="186"/>
      <c r="BA77" s="188"/>
      <c r="BB77" s="207">
        <f>IF(AP77="COG",AR18,IF(AP77="COO",AU18,IF(AP77="INT",AX18,IF(AP77="REF",BA18,IF(AP77="SAV",BD18,IF(AP77="SOM",BG18,IF(AP77="WILL",BJ18,0)))))))</f>
        <v>20</v>
      </c>
      <c r="BC77" s="184">
        <f t="shared" si="9"/>
        <v>20</v>
      </c>
      <c r="BD77" s="188"/>
      <c r="BE77" s="192"/>
      <c r="BF77" s="186"/>
      <c r="BG77" s="186"/>
      <c r="BH77" s="188"/>
      <c r="BI77" s="192"/>
      <c r="BJ77" s="186"/>
      <c r="BK77" s="186"/>
      <c r="BL77" s="186"/>
      <c r="BM77" s="165">
        <f t="shared" si="6"/>
        <v>0</v>
      </c>
      <c r="BN77" s="165">
        <f t="shared" si="10"/>
        <v>0</v>
      </c>
    </row>
    <row r="78" ht="14.25" customHeight="1">
      <c r="A78" s="130">
        <f t="shared" si="2"/>
        <v>20</v>
      </c>
      <c r="B78" s="203" t="s">
        <v>151</v>
      </c>
      <c r="C78" s="17"/>
      <c r="D78" s="17"/>
      <c r="E78" s="17"/>
      <c r="F78" s="17"/>
      <c r="G78" s="17"/>
      <c r="H78" s="17"/>
      <c r="I78" s="17"/>
      <c r="J78" s="150" t="s">
        <v>14</v>
      </c>
      <c r="K78" s="11"/>
      <c r="L78" s="11"/>
      <c r="M78" s="171"/>
      <c r="N78" s="17"/>
      <c r="O78" s="168"/>
      <c r="P78" s="167"/>
      <c r="Q78" s="17"/>
      <c r="R78" s="168"/>
      <c r="S78" s="167"/>
      <c r="T78" s="17"/>
      <c r="U78" s="168"/>
      <c r="V78" s="183">
        <f>IF(J78="COG",AR18,IF(J78="COO",AU18,IF(J78="INT",AX18,IF(J78="REF",BA18+BN65,IF(J78="SAV",BD18,IF(J78="SOM",BG18+BN65,IF(J78="WILL",BJ18,0)))))))</f>
        <v>20</v>
      </c>
      <c r="W78" s="184">
        <f t="shared" si="3"/>
        <v>20</v>
      </c>
      <c r="X78" s="17"/>
      <c r="Y78" s="171"/>
      <c r="Z78" s="17"/>
      <c r="AA78" s="17"/>
      <c r="AB78" s="168"/>
      <c r="AC78" s="171"/>
      <c r="AD78" s="17"/>
      <c r="AE78" s="17"/>
      <c r="AF78" s="17"/>
      <c r="AG78" s="130">
        <f t="shared" si="8"/>
        <v>20</v>
      </c>
      <c r="AH78" s="172" t="s">
        <v>150</v>
      </c>
      <c r="AI78" s="173"/>
      <c r="AJ78" s="173"/>
      <c r="AK78" s="173"/>
      <c r="AL78" s="173"/>
      <c r="AM78" s="173"/>
      <c r="AN78" s="173"/>
      <c r="AO78" s="177"/>
      <c r="AP78" s="205" t="s">
        <v>14</v>
      </c>
      <c r="AQ78" s="173"/>
      <c r="AR78" s="177"/>
      <c r="AS78" s="181"/>
      <c r="AT78" s="173"/>
      <c r="AU78" s="177"/>
      <c r="AV78" s="178"/>
      <c r="AW78" s="173"/>
      <c r="AX78" s="177"/>
      <c r="AY78" s="179"/>
      <c r="AZ78" s="173"/>
      <c r="BA78" s="177"/>
      <c r="BB78" s="207">
        <f>IF(AP78="COG",AR18,IF(AP78="COO",AU18,IF(AP78="INT",AX18,IF(AP78="REF",BA18,IF(AP78="SAV",BD18,IF(AP78="SOM",BG18,IF(AP78="WILL",BJ18,0)))))))</f>
        <v>20</v>
      </c>
      <c r="BC78" s="184">
        <f t="shared" si="9"/>
        <v>20</v>
      </c>
      <c r="BD78" s="177"/>
      <c r="BE78" s="181"/>
      <c r="BF78" s="173"/>
      <c r="BG78" s="173"/>
      <c r="BH78" s="177"/>
      <c r="BI78" s="181"/>
      <c r="BJ78" s="173"/>
      <c r="BK78" s="173"/>
      <c r="BL78" s="173"/>
      <c r="BM78" s="165">
        <f t="shared" si="6"/>
        <v>0</v>
      </c>
      <c r="BN78" s="165">
        <f t="shared" si="10"/>
        <v>0</v>
      </c>
    </row>
    <row r="79" ht="14.25" customHeight="1">
      <c r="A79" s="130">
        <f t="shared" si="2"/>
        <v>20</v>
      </c>
      <c r="B79" s="182" t="s">
        <v>152</v>
      </c>
      <c r="C79" s="17"/>
      <c r="D79" s="17"/>
      <c r="E79" s="17"/>
      <c r="F79" s="17"/>
      <c r="G79" s="17"/>
      <c r="H79" s="17"/>
      <c r="I79" s="17"/>
      <c r="J79" s="150" t="s">
        <v>16</v>
      </c>
      <c r="K79" s="11"/>
      <c r="L79" s="11"/>
      <c r="M79" s="171"/>
      <c r="N79" s="17"/>
      <c r="O79" s="168"/>
      <c r="P79" s="169"/>
      <c r="Q79" s="17"/>
      <c r="R79" s="168"/>
      <c r="S79" s="167"/>
      <c r="T79" s="17"/>
      <c r="U79" s="168"/>
      <c r="V79" s="183">
        <f>IF(J79="COG",AR18,IF(J79="COO",AU18,IF(J79="INT",AX18,IF(J79="REF",BA18+BN65,IF(J79="SAV",BD18,IF(J79="SOM",BG18+BN65,IF(J79="WILL",BJ18,0)))))))</f>
        <v>20</v>
      </c>
      <c r="W79" s="184">
        <f t="shared" si="3"/>
        <v>20</v>
      </c>
      <c r="X79" s="17"/>
      <c r="Y79" s="171"/>
      <c r="Z79" s="17"/>
      <c r="AA79" s="17"/>
      <c r="AB79" s="168"/>
      <c r="AC79" s="171"/>
      <c r="AD79" s="17"/>
      <c r="AE79" s="17"/>
      <c r="AF79" s="17"/>
      <c r="AG79" s="130">
        <f>SUM(70+AS79+AV79+AY79+BE79+BB79)</f>
        <v>90</v>
      </c>
      <c r="AH79" s="210" t="s">
        <v>153</v>
      </c>
      <c r="AI79" s="186"/>
      <c r="AJ79" s="186"/>
      <c r="AK79" s="186"/>
      <c r="AL79" s="186"/>
      <c r="AM79" s="186"/>
      <c r="AN79" s="186"/>
      <c r="AO79" s="188"/>
      <c r="AP79" s="206" t="s">
        <v>16</v>
      </c>
      <c r="AQ79" s="186"/>
      <c r="AR79" s="188"/>
      <c r="AS79" s="192"/>
      <c r="AT79" s="186"/>
      <c r="AU79" s="188"/>
      <c r="AV79" s="187"/>
      <c r="AW79" s="186"/>
      <c r="AX79" s="188"/>
      <c r="AY79" s="187"/>
      <c r="AZ79" s="186"/>
      <c r="BA79" s="188"/>
      <c r="BB79" s="207">
        <f>IF(AP79="COG",AR18,IF(AP79="COO",AU18,IF(AP79="INT",AX18,IF(AP79="REF",BA18,IF(AP79="SAV",BD18,IF(AP79="SOM",BG18,IF(AP79="WILL",BJ18,0)))))))</f>
        <v>20</v>
      </c>
      <c r="BC79" s="184">
        <f t="shared" si="9"/>
        <v>90</v>
      </c>
      <c r="BD79" s="188"/>
      <c r="BE79" s="190"/>
      <c r="BF79" s="186"/>
      <c r="BG79" s="186"/>
      <c r="BH79" s="188"/>
      <c r="BI79" s="192"/>
      <c r="BJ79" s="186"/>
      <c r="BK79" s="186"/>
      <c r="BL79" s="186"/>
      <c r="BM79" s="165">
        <f t="shared" si="6"/>
        <v>0</v>
      </c>
      <c r="BN79" s="165">
        <f>IF(AG79&gt;BN64,SUM(AG79-BN64)/2,0)</f>
        <v>0</v>
      </c>
    </row>
    <row r="80" ht="14.25" customHeight="1">
      <c r="A80" s="130">
        <f t="shared" si="2"/>
        <v>15</v>
      </c>
      <c r="B80" s="203" t="s">
        <v>154</v>
      </c>
      <c r="C80" s="17"/>
      <c r="D80" s="17"/>
      <c r="E80" s="17"/>
      <c r="F80" s="17"/>
      <c r="G80" s="17"/>
      <c r="H80" s="17"/>
      <c r="I80" s="17"/>
      <c r="J80" s="150" t="s">
        <v>18</v>
      </c>
      <c r="K80" s="11"/>
      <c r="L80" s="11"/>
      <c r="M80" s="167"/>
      <c r="N80" s="17"/>
      <c r="O80" s="168"/>
      <c r="P80" s="169">
        <v>10.0</v>
      </c>
      <c r="Q80" s="17"/>
      <c r="R80" s="168"/>
      <c r="S80" s="167"/>
      <c r="T80" s="17"/>
      <c r="U80" s="168"/>
      <c r="V80" s="183">
        <f>IF(J80="COG",AR18,IF(J80="COO",AU18,IF(J80="INT",AX18,IF(J80="REF",BA18+BN65,IF(J80="SAV",BD18,IF(J80="SOM",BG18+BN65,IF(J80="WILL",BJ18,0)))))))</f>
        <v>5</v>
      </c>
      <c r="W80" s="184">
        <f t="shared" si="3"/>
        <v>15</v>
      </c>
      <c r="X80" s="17"/>
      <c r="Y80" s="171"/>
      <c r="Z80" s="17"/>
      <c r="AA80" s="17"/>
      <c r="AB80" s="168"/>
      <c r="AC80" s="171"/>
      <c r="AD80" s="17"/>
      <c r="AE80" s="17"/>
      <c r="AF80" s="17"/>
      <c r="AG80" s="130">
        <f t="shared" ref="AG80:AG86" si="11">AS80+AV80+AY80+BE80+BB80</f>
        <v>50</v>
      </c>
      <c r="AH80" s="172" t="s">
        <v>155</v>
      </c>
      <c r="AI80" s="173"/>
      <c r="AJ80" s="173"/>
      <c r="AK80" s="173"/>
      <c r="AL80" s="173"/>
      <c r="AM80" s="173"/>
      <c r="AN80" s="173"/>
      <c r="AO80" s="177"/>
      <c r="AP80" s="205" t="s">
        <v>16</v>
      </c>
      <c r="AQ80" s="173"/>
      <c r="AR80" s="177"/>
      <c r="AS80" s="181"/>
      <c r="AT80" s="173"/>
      <c r="AU80" s="177"/>
      <c r="AV80" s="178">
        <v>30.0</v>
      </c>
      <c r="AW80" s="173"/>
      <c r="AX80" s="177"/>
      <c r="AY80" s="179"/>
      <c r="AZ80" s="173"/>
      <c r="BA80" s="177"/>
      <c r="BB80" s="183">
        <f>IF(AP80="COG",AR18,IF(AP80="COO",AU18,IF(AP80="INT",AX18,IF(AP80="REF",BA18,IF(AP80="SAV",BD18,IF(AP80="SOM",BG18,IF(AP80="WILL",BJ18,0)))))))</f>
        <v>20</v>
      </c>
      <c r="BC80" s="184">
        <f t="shared" si="9"/>
        <v>50</v>
      </c>
      <c r="BD80" s="177"/>
      <c r="BE80" s="181"/>
      <c r="BF80" s="173"/>
      <c r="BG80" s="173"/>
      <c r="BH80" s="177"/>
      <c r="BI80" s="181"/>
      <c r="BJ80" s="173"/>
      <c r="BK80" s="173"/>
      <c r="BL80" s="173"/>
      <c r="BM80" s="165">
        <f t="shared" si="6"/>
        <v>0</v>
      </c>
      <c r="BN80" s="165">
        <f t="shared" ref="BN80:BN86" si="12">IF(AG80&gt;60,SUM((AG80-60)/2),0)</f>
        <v>0</v>
      </c>
    </row>
    <row r="81" ht="14.25" customHeight="1">
      <c r="A81" s="130">
        <f t="shared" si="2"/>
        <v>5</v>
      </c>
      <c r="B81" s="203" t="s">
        <v>156</v>
      </c>
      <c r="C81" s="17"/>
      <c r="D81" s="17"/>
      <c r="E81" s="17"/>
      <c r="F81" s="17"/>
      <c r="G81" s="17"/>
      <c r="H81" s="17"/>
      <c r="I81" s="17"/>
      <c r="J81" s="150" t="s">
        <v>18</v>
      </c>
      <c r="K81" s="11"/>
      <c r="L81" s="11"/>
      <c r="M81" s="167"/>
      <c r="N81" s="17"/>
      <c r="O81" s="168"/>
      <c r="P81" s="167"/>
      <c r="Q81" s="17"/>
      <c r="R81" s="168"/>
      <c r="S81" s="167"/>
      <c r="T81" s="17"/>
      <c r="U81" s="168"/>
      <c r="V81" s="183">
        <f>IF(J81="COG",AR18,IF(J81="COO",AU18,IF(J81="INT",AX18,IF(J81="REF",BA18+BN65,IF(J81="SAV",BD18,IF(J81="SOM",BG18+BN65,IF(J81="WILL",BJ18,0)))))))</f>
        <v>5</v>
      </c>
      <c r="W81" s="184">
        <f t="shared" si="3"/>
        <v>5</v>
      </c>
      <c r="X81" s="17"/>
      <c r="Y81" s="171"/>
      <c r="Z81" s="17"/>
      <c r="AA81" s="17"/>
      <c r="AB81" s="168"/>
      <c r="AC81" s="171"/>
      <c r="AD81" s="17"/>
      <c r="AE81" s="17"/>
      <c r="AF81" s="17"/>
      <c r="AG81" s="130">
        <f t="shared" si="11"/>
        <v>40</v>
      </c>
      <c r="AH81" s="208" t="s">
        <v>157</v>
      </c>
      <c r="AI81" s="186"/>
      <c r="AJ81" s="186"/>
      <c r="AK81" s="186"/>
      <c r="AL81" s="186"/>
      <c r="AM81" s="186"/>
      <c r="AN81" s="186"/>
      <c r="AO81" s="188"/>
      <c r="AP81" s="206" t="s">
        <v>16</v>
      </c>
      <c r="AQ81" s="186"/>
      <c r="AR81" s="188"/>
      <c r="AS81" s="192"/>
      <c r="AT81" s="186"/>
      <c r="AU81" s="188"/>
      <c r="AV81" s="189">
        <v>20.0</v>
      </c>
      <c r="AW81" s="186"/>
      <c r="AX81" s="188"/>
      <c r="AY81" s="187"/>
      <c r="AZ81" s="186"/>
      <c r="BA81" s="188"/>
      <c r="BB81" s="183">
        <f>IF(AP81="COG",AR18,IF(AP81="COO",AU18,IF(AP81="INT",AX18,IF(AP81="REF",BA18,IF(AP81="SAV",BD18,IF(AP81="SOM",BG18,IF(AP81="WILL",BJ18,0)))))))</f>
        <v>20</v>
      </c>
      <c r="BC81" s="184">
        <f t="shared" si="9"/>
        <v>40</v>
      </c>
      <c r="BD81" s="188"/>
      <c r="BE81" s="192"/>
      <c r="BF81" s="186"/>
      <c r="BG81" s="186"/>
      <c r="BH81" s="188"/>
      <c r="BI81" s="192"/>
      <c r="BJ81" s="186"/>
      <c r="BK81" s="186"/>
      <c r="BL81" s="186"/>
      <c r="BM81" s="165">
        <f t="shared" si="6"/>
        <v>0</v>
      </c>
      <c r="BN81" s="165">
        <f t="shared" si="12"/>
        <v>0</v>
      </c>
    </row>
    <row r="82" ht="14.25" customHeight="1">
      <c r="A82" s="130">
        <f t="shared" si="2"/>
        <v>5</v>
      </c>
      <c r="B82" s="203" t="s">
        <v>156</v>
      </c>
      <c r="C82" s="17"/>
      <c r="D82" s="17"/>
      <c r="E82" s="17"/>
      <c r="F82" s="17"/>
      <c r="G82" s="17"/>
      <c r="H82" s="17"/>
      <c r="I82" s="17"/>
      <c r="J82" s="150" t="s">
        <v>18</v>
      </c>
      <c r="K82" s="11"/>
      <c r="L82" s="11"/>
      <c r="M82" s="167"/>
      <c r="N82" s="17"/>
      <c r="O82" s="168"/>
      <c r="P82" s="167"/>
      <c r="Q82" s="17"/>
      <c r="R82" s="168"/>
      <c r="S82" s="171"/>
      <c r="T82" s="17"/>
      <c r="U82" s="168"/>
      <c r="V82" s="183">
        <f>IF(J82="COG",AR18,IF(J82="COO",AU18,IF(J82="INT",AX18,IF(J82="REF",BA18+BN65,IF(J82="SAV",BD18,IF(J82="SOM",BG18+BN65,IF(J82="WILL",BJ18,0)))))))</f>
        <v>5</v>
      </c>
      <c r="W82" s="184">
        <f t="shared" si="3"/>
        <v>5</v>
      </c>
      <c r="X82" s="17"/>
      <c r="Y82" s="171"/>
      <c r="Z82" s="17"/>
      <c r="AA82" s="17"/>
      <c r="AB82" s="168"/>
      <c r="AC82" s="171"/>
      <c r="AD82" s="17"/>
      <c r="AE82" s="17"/>
      <c r="AF82" s="17"/>
      <c r="AG82" s="130">
        <f t="shared" si="11"/>
        <v>40</v>
      </c>
      <c r="AH82" s="172" t="s">
        <v>158</v>
      </c>
      <c r="AI82" s="173"/>
      <c r="AJ82" s="173"/>
      <c r="AK82" s="173"/>
      <c r="AL82" s="173"/>
      <c r="AM82" s="173"/>
      <c r="AN82" s="173"/>
      <c r="AO82" s="177"/>
      <c r="AP82" s="205" t="s">
        <v>16</v>
      </c>
      <c r="AQ82" s="173"/>
      <c r="AR82" s="177"/>
      <c r="AS82" s="181"/>
      <c r="AT82" s="173"/>
      <c r="AU82" s="177"/>
      <c r="AV82" s="178">
        <v>20.0</v>
      </c>
      <c r="AW82" s="173"/>
      <c r="AX82" s="177"/>
      <c r="AY82" s="176"/>
      <c r="AZ82" s="173"/>
      <c r="BA82" s="177"/>
      <c r="BB82" s="207">
        <f>IF(AP82="COG",AR18,IF(AP82="COO",AU18,IF(AP82="INT",AX18,IF(AP82="REF",BA18,IF(AP82="SAV",BD18,IF(AP82="SOM",BG18,IF(AP82="WILL",BJ18,0)))))))</f>
        <v>20</v>
      </c>
      <c r="BC82" s="184">
        <f t="shared" si="9"/>
        <v>40</v>
      </c>
      <c r="BD82" s="177"/>
      <c r="BE82" s="181"/>
      <c r="BF82" s="173"/>
      <c r="BG82" s="173"/>
      <c r="BH82" s="177"/>
      <c r="BI82" s="181"/>
      <c r="BJ82" s="173"/>
      <c r="BK82" s="173"/>
      <c r="BL82" s="173"/>
      <c r="BM82" s="165">
        <f t="shared" si="6"/>
        <v>0</v>
      </c>
      <c r="BN82" s="165">
        <f t="shared" si="12"/>
        <v>0</v>
      </c>
    </row>
    <row r="83" ht="14.25" customHeight="1">
      <c r="A83" s="130">
        <f t="shared" si="2"/>
        <v>5</v>
      </c>
      <c r="B83" s="203" t="s">
        <v>156</v>
      </c>
      <c r="C83" s="17"/>
      <c r="D83" s="17"/>
      <c r="E83" s="17"/>
      <c r="F83" s="17"/>
      <c r="G83" s="17"/>
      <c r="H83" s="17"/>
      <c r="I83" s="17"/>
      <c r="J83" s="150" t="s">
        <v>18</v>
      </c>
      <c r="K83" s="11"/>
      <c r="L83" s="11"/>
      <c r="M83" s="167"/>
      <c r="N83" s="17"/>
      <c r="O83" s="168"/>
      <c r="P83" s="171"/>
      <c r="Q83" s="17"/>
      <c r="R83" s="168"/>
      <c r="S83" s="171"/>
      <c r="T83" s="17"/>
      <c r="U83" s="168"/>
      <c r="V83" s="183">
        <f>IF(J83="COG",AR18,IF(J83="COO",AU18,IF(J83="INT",AX18,IF(J83="REF",BA18+BN65,IF(J83="SAV",BD18,IF(J83="SOM",BG18+BN65,IF(J83="WILL",BJ18,0)))))))</f>
        <v>5</v>
      </c>
      <c r="W83" s="184">
        <f t="shared" si="3"/>
        <v>5</v>
      </c>
      <c r="X83" s="17"/>
      <c r="Y83" s="171"/>
      <c r="Z83" s="17"/>
      <c r="AA83" s="17"/>
      <c r="AB83" s="168"/>
      <c r="AC83" s="171"/>
      <c r="AD83" s="17"/>
      <c r="AE83" s="17"/>
      <c r="AF83" s="17"/>
      <c r="AG83" s="130">
        <f t="shared" si="11"/>
        <v>60</v>
      </c>
      <c r="AH83" s="208" t="s">
        <v>159</v>
      </c>
      <c r="AI83" s="186"/>
      <c r="AJ83" s="186"/>
      <c r="AK83" s="186"/>
      <c r="AL83" s="186"/>
      <c r="AM83" s="186"/>
      <c r="AN83" s="186"/>
      <c r="AO83" s="188"/>
      <c r="AP83" s="211" t="s">
        <v>14</v>
      </c>
      <c r="AQ83" s="186"/>
      <c r="AR83" s="188"/>
      <c r="AS83" s="187"/>
      <c r="AT83" s="186"/>
      <c r="AU83" s="188"/>
      <c r="AV83" s="189">
        <v>40.0</v>
      </c>
      <c r="AW83" s="186"/>
      <c r="AX83" s="188"/>
      <c r="AY83" s="187"/>
      <c r="AZ83" s="186"/>
      <c r="BA83" s="188"/>
      <c r="BB83" s="207">
        <f>IF(AP83="COG",AR18,IF(AP83="COO",AU18,IF(AP83="INT",AX18,IF(AP83="REF",BA18,IF(AP83="SAV",BD18,IF(AP83="SOM",BG18,IF(AP83="WILL",BJ18,0)))))))</f>
        <v>20</v>
      </c>
      <c r="BC83" s="184">
        <f t="shared" si="9"/>
        <v>60</v>
      </c>
      <c r="BD83" s="188"/>
      <c r="BE83" s="192"/>
      <c r="BF83" s="186"/>
      <c r="BG83" s="186"/>
      <c r="BH83" s="188"/>
      <c r="BI83" s="192"/>
      <c r="BJ83" s="186"/>
      <c r="BK83" s="186"/>
      <c r="BL83" s="186"/>
      <c r="BM83" s="165">
        <f t="shared" si="6"/>
        <v>0</v>
      </c>
      <c r="BN83" s="165">
        <f t="shared" si="12"/>
        <v>0</v>
      </c>
    </row>
    <row r="84" ht="14.25" customHeight="1">
      <c r="A84" s="130">
        <f t="shared" si="2"/>
        <v>40</v>
      </c>
      <c r="B84" s="182" t="s">
        <v>160</v>
      </c>
      <c r="C84" s="17"/>
      <c r="D84" s="17"/>
      <c r="E84" s="17"/>
      <c r="F84" s="17"/>
      <c r="G84" s="17"/>
      <c r="H84" s="17"/>
      <c r="I84" s="17"/>
      <c r="J84" s="150" t="s">
        <v>15</v>
      </c>
      <c r="K84" s="11"/>
      <c r="L84" s="11"/>
      <c r="M84" s="167"/>
      <c r="N84" s="17"/>
      <c r="O84" s="168"/>
      <c r="P84" s="169">
        <v>15.0</v>
      </c>
      <c r="Q84" s="17"/>
      <c r="R84" s="168"/>
      <c r="S84" s="167"/>
      <c r="T84" s="17"/>
      <c r="U84" s="168"/>
      <c r="V84" s="183">
        <f>IF(J84="COG",AR18,IF(J84="COO",AU18,IF(J84="INT",AX18,IF(J84="REF",BA18+BN65,IF(J84="SAV",BD18,IF(J84="SOM",BG18+BN65,IF(J84="WILL",BJ18,0)))))))</f>
        <v>25</v>
      </c>
      <c r="W84" s="184">
        <f t="shared" si="3"/>
        <v>40</v>
      </c>
      <c r="X84" s="17"/>
      <c r="Y84" s="171"/>
      <c r="Z84" s="17"/>
      <c r="AA84" s="17"/>
      <c r="AB84" s="168"/>
      <c r="AC84" s="171"/>
      <c r="AD84" s="17"/>
      <c r="AE84" s="17"/>
      <c r="AF84" s="17"/>
      <c r="AG84" s="130">
        <f t="shared" si="11"/>
        <v>60</v>
      </c>
      <c r="AH84" s="172" t="s">
        <v>161</v>
      </c>
      <c r="AI84" s="173"/>
      <c r="AJ84" s="173"/>
      <c r="AK84" s="173"/>
      <c r="AL84" s="173"/>
      <c r="AM84" s="173"/>
      <c r="AN84" s="173"/>
      <c r="AO84" s="177"/>
      <c r="AP84" s="209" t="s">
        <v>14</v>
      </c>
      <c r="AQ84" s="173"/>
      <c r="AR84" s="177"/>
      <c r="AS84" s="181"/>
      <c r="AT84" s="173"/>
      <c r="AU84" s="177"/>
      <c r="AV84" s="178">
        <v>40.0</v>
      </c>
      <c r="AW84" s="173"/>
      <c r="AX84" s="177"/>
      <c r="AY84" s="179"/>
      <c r="AZ84" s="173"/>
      <c r="BA84" s="177"/>
      <c r="BB84" s="207">
        <f>IF(AP84="COG",AR18,IF(AP84="COO",AU18,IF(AP84="INT",AX18,IF(AP84="REF",BA18,IF(AP84="SAV",BD18,IF(AP84="SOM",BG18,IF(AP84="WILL",BJ18,0)))))))</f>
        <v>20</v>
      </c>
      <c r="BC84" s="184">
        <f t="shared" si="9"/>
        <v>60</v>
      </c>
      <c r="BD84" s="177"/>
      <c r="BE84" s="181"/>
      <c r="BF84" s="173"/>
      <c r="BG84" s="173"/>
      <c r="BH84" s="177"/>
      <c r="BI84" s="181"/>
      <c r="BJ84" s="173"/>
      <c r="BK84" s="173"/>
      <c r="BL84" s="173"/>
      <c r="BM84" s="165">
        <f t="shared" si="6"/>
        <v>0</v>
      </c>
      <c r="BN84" s="165">
        <f t="shared" si="12"/>
        <v>0</v>
      </c>
    </row>
    <row r="85" ht="14.25" customHeight="1">
      <c r="A85" s="130">
        <f t="shared" si="2"/>
        <v>60</v>
      </c>
      <c r="B85" s="212" t="s">
        <v>162</v>
      </c>
      <c r="C85" s="3"/>
      <c r="D85" s="3"/>
      <c r="E85" s="3"/>
      <c r="F85" s="3"/>
      <c r="G85" s="3"/>
      <c r="H85" s="3"/>
      <c r="I85" s="3"/>
      <c r="J85" s="213" t="s">
        <v>16</v>
      </c>
      <c r="M85" s="195"/>
      <c r="N85" s="3"/>
      <c r="O85" s="5"/>
      <c r="P85" s="214">
        <v>20.0</v>
      </c>
      <c r="Q85" s="3"/>
      <c r="R85" s="5"/>
      <c r="S85" s="215"/>
      <c r="T85" s="3"/>
      <c r="U85" s="5"/>
      <c r="V85" s="216">
        <f>IF(J85="COG",AR18,IF(J85="COO",AU18,IF(J85="INT",AX18,IF(J85="REF",BA18+BN65,IF(J85="SAV",BD18,IF(J85="SOM",BG18+BN65,IF(J85="WILL",BJ18,0)))))))</f>
        <v>20</v>
      </c>
      <c r="W85" s="217">
        <f t="shared" si="3"/>
        <v>60</v>
      </c>
      <c r="X85" s="3"/>
      <c r="Y85" s="214">
        <v>20.0</v>
      </c>
      <c r="Z85" s="3"/>
      <c r="AA85" s="3"/>
      <c r="AB85" s="5"/>
      <c r="AC85" s="215"/>
      <c r="AD85" s="3"/>
      <c r="AE85" s="3"/>
      <c r="AF85" s="3"/>
      <c r="AG85" s="130">
        <f t="shared" si="11"/>
        <v>40</v>
      </c>
      <c r="AH85" s="208" t="s">
        <v>163</v>
      </c>
      <c r="AI85" s="186"/>
      <c r="AJ85" s="186"/>
      <c r="AK85" s="186"/>
      <c r="AL85" s="186"/>
      <c r="AM85" s="186"/>
      <c r="AN85" s="186"/>
      <c r="AO85" s="188"/>
      <c r="AP85" s="206" t="s">
        <v>14</v>
      </c>
      <c r="AQ85" s="186"/>
      <c r="AR85" s="188"/>
      <c r="AS85" s="192"/>
      <c r="AT85" s="186"/>
      <c r="AU85" s="188"/>
      <c r="AV85" s="189">
        <v>20.0</v>
      </c>
      <c r="AW85" s="186"/>
      <c r="AX85" s="188"/>
      <c r="AY85" s="187"/>
      <c r="AZ85" s="186"/>
      <c r="BA85" s="188"/>
      <c r="BB85" s="207">
        <f>IF(AP85="COG",AR18,IF(AP85="COO",AU18,IF(AP85="INT",AX18,IF(AP85="REF",BA18,IF(AP85="SAV",BD18,IF(AP85="SOM",BG18,IF(AP85="WILL",BJ18,0)))))))</f>
        <v>20</v>
      </c>
      <c r="BC85" s="184">
        <f t="shared" si="9"/>
        <v>40</v>
      </c>
      <c r="BD85" s="188"/>
      <c r="BE85" s="192"/>
      <c r="BF85" s="186"/>
      <c r="BG85" s="186"/>
      <c r="BH85" s="188"/>
      <c r="BI85" s="192"/>
      <c r="BJ85" s="186"/>
      <c r="BK85" s="186"/>
      <c r="BL85" s="186"/>
      <c r="BM85" s="165">
        <f t="shared" si="6"/>
        <v>0</v>
      </c>
      <c r="BN85" s="165">
        <f t="shared" si="12"/>
        <v>0</v>
      </c>
    </row>
    <row r="86" ht="14.25" customHeight="1">
      <c r="A86" s="130">
        <f t="shared" si="2"/>
        <v>20</v>
      </c>
      <c r="B86" s="212" t="s">
        <v>164</v>
      </c>
      <c r="C86" s="3"/>
      <c r="D86" s="3"/>
      <c r="E86" s="3"/>
      <c r="F86" s="3"/>
      <c r="G86" s="3"/>
      <c r="H86" s="3"/>
      <c r="I86" s="3"/>
      <c r="J86" s="218" t="s">
        <v>18</v>
      </c>
      <c r="K86" s="3"/>
      <c r="L86" s="5"/>
      <c r="M86" s="219"/>
      <c r="N86" s="3"/>
      <c r="O86" s="5"/>
      <c r="P86" s="214">
        <v>15.0</v>
      </c>
      <c r="Q86" s="3"/>
      <c r="R86" s="5"/>
      <c r="S86" s="215"/>
      <c r="T86" s="3"/>
      <c r="U86" s="5"/>
      <c r="V86" s="220">
        <f>IF(J86="COG",AR18,IF(J86="COO",AU18,IF(J86="INT",AX18,IF(J86="REF",BA18+BN65,IF(J86="SAV",BD18,IF(J86="SOM"+BN65,BG18,IF(J86="WILL",BJ18,0)))))))</f>
        <v>5</v>
      </c>
      <c r="W86" s="217">
        <f t="shared" si="3"/>
        <v>20</v>
      </c>
      <c r="X86" s="5"/>
      <c r="Y86" s="215"/>
      <c r="Z86" s="3"/>
      <c r="AA86" s="3"/>
      <c r="AB86" s="5"/>
      <c r="AC86" s="195"/>
      <c r="AD86" s="3"/>
      <c r="AE86" s="3"/>
      <c r="AF86" s="3"/>
      <c r="AG86" s="130">
        <f t="shared" si="11"/>
        <v>40</v>
      </c>
      <c r="AH86" s="172" t="s">
        <v>165</v>
      </c>
      <c r="AI86" s="173"/>
      <c r="AJ86" s="173"/>
      <c r="AK86" s="173"/>
      <c r="AL86" s="173"/>
      <c r="AM86" s="173"/>
      <c r="AN86" s="173"/>
      <c r="AO86" s="177"/>
      <c r="AP86" s="221" t="s">
        <v>14</v>
      </c>
      <c r="AQ86" s="222"/>
      <c r="AR86" s="223"/>
      <c r="AS86" s="224"/>
      <c r="AT86" s="222"/>
      <c r="AU86" s="223"/>
      <c r="AV86" s="225">
        <v>20.0</v>
      </c>
      <c r="AW86" s="222"/>
      <c r="AX86" s="223"/>
      <c r="AY86" s="226"/>
      <c r="AZ86" s="222"/>
      <c r="BA86" s="223"/>
      <c r="BB86" s="227">
        <f>IF(AP86="COG",AR18,IF(AP86="COO",AU18,IF(AP86="INT",AX18,IF(AP86="REF",BA18,IF(AP86="SAV",BD18,IF(AP86="SOM",BG18,IF(AP86="WILL",BJ18,0)))))))</f>
        <v>20</v>
      </c>
      <c r="BC86" s="217">
        <f t="shared" si="9"/>
        <v>40</v>
      </c>
      <c r="BD86" s="223"/>
      <c r="BE86" s="224"/>
      <c r="BF86" s="222"/>
      <c r="BG86" s="222"/>
      <c r="BH86" s="223"/>
      <c r="BI86" s="224"/>
      <c r="BJ86" s="222"/>
      <c r="BK86" s="222"/>
      <c r="BL86" s="222"/>
      <c r="BM86" s="165">
        <f t="shared" si="6"/>
        <v>0</v>
      </c>
      <c r="BN86" s="165">
        <f t="shared" si="12"/>
        <v>0</v>
      </c>
    </row>
    <row r="87" ht="14.25" customHeight="1">
      <c r="A87" s="133">
        <f>SUM(P49:R86)</f>
        <v>401</v>
      </c>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133"/>
      <c r="BN87" s="133"/>
    </row>
    <row r="88" ht="14.25" customHeight="1">
      <c r="A88" s="133">
        <f>SUM(AV49:AX62)</f>
        <v>110</v>
      </c>
      <c r="B88" s="101" t="s">
        <v>166</v>
      </c>
      <c r="C88" s="3"/>
      <c r="D88" s="3"/>
      <c r="E88" s="3"/>
      <c r="F88" s="3"/>
      <c r="G88" s="3"/>
      <c r="H88" s="3"/>
      <c r="I88" s="3"/>
      <c r="J88" s="228"/>
      <c r="K88" s="4" t="s">
        <v>167</v>
      </c>
      <c r="L88" s="228"/>
      <c r="M88" s="228"/>
      <c r="N88" s="228"/>
      <c r="O88" s="228"/>
      <c r="P88" s="228"/>
      <c r="Q88" s="228"/>
      <c r="R88" s="228"/>
      <c r="S88" s="228"/>
      <c r="T88" s="228"/>
      <c r="U88" s="228"/>
      <c r="V88" s="229" t="s">
        <v>168</v>
      </c>
      <c r="W88" s="228"/>
      <c r="X88" s="228"/>
      <c r="Y88" s="228"/>
      <c r="Z88" s="228"/>
      <c r="AA88" s="230"/>
      <c r="AB88" s="231" t="s">
        <v>169</v>
      </c>
      <c r="AC88" s="228"/>
      <c r="AD88" s="228"/>
      <c r="AE88" s="228"/>
      <c r="AF88" s="228"/>
      <c r="AG88" s="229">
        <v>-2.0</v>
      </c>
      <c r="AH88" s="228"/>
      <c r="AI88" s="230"/>
      <c r="AJ88" s="232" t="s">
        <v>170</v>
      </c>
      <c r="AK88" s="228"/>
      <c r="AL88" s="228"/>
      <c r="AM88" s="228"/>
      <c r="AN88" s="228"/>
      <c r="AO88" s="228"/>
      <c r="AP88" s="228"/>
      <c r="AQ88" s="228"/>
      <c r="AR88" s="230"/>
      <c r="AS88" s="125"/>
      <c r="AT88" s="228"/>
      <c r="AU88" s="228"/>
      <c r="AV88" s="228"/>
      <c r="AW88" s="230"/>
      <c r="AX88" s="125"/>
      <c r="AY88" s="228"/>
      <c r="AZ88" s="228"/>
      <c r="BA88" s="228"/>
      <c r="BB88" s="230"/>
      <c r="BC88" s="125"/>
      <c r="BD88" s="228"/>
      <c r="BE88" s="228"/>
      <c r="BF88" s="228"/>
      <c r="BG88" s="230"/>
      <c r="BH88" s="125"/>
      <c r="BI88" s="228"/>
      <c r="BJ88" s="228"/>
      <c r="BK88" s="228"/>
      <c r="BL88" s="228"/>
      <c r="BM88" s="233"/>
      <c r="BN88" s="234"/>
    </row>
    <row r="89" ht="14.25" customHeight="1">
      <c r="A89" s="133">
        <f>SUM(AV67:AX86)</f>
        <v>340</v>
      </c>
      <c r="B89" s="13"/>
      <c r="C89" s="11"/>
      <c r="D89" s="11"/>
      <c r="E89" s="11"/>
      <c r="F89" s="11"/>
      <c r="G89" s="11"/>
      <c r="H89" s="11"/>
      <c r="I89" s="11"/>
      <c r="J89" s="175"/>
      <c r="V89" s="235"/>
      <c r="W89" s="175"/>
      <c r="X89" s="175"/>
      <c r="Y89" s="175"/>
      <c r="Z89" s="175"/>
      <c r="AA89" s="180"/>
      <c r="AG89" s="235"/>
      <c r="AH89" s="175"/>
      <c r="AI89" s="180"/>
      <c r="AJ89" s="235"/>
      <c r="AK89" s="175"/>
      <c r="AL89" s="175"/>
      <c r="AM89" s="175"/>
      <c r="AN89" s="175"/>
      <c r="AO89" s="175"/>
      <c r="AP89" s="175"/>
      <c r="AQ89" s="175"/>
      <c r="AR89" s="180"/>
      <c r="AS89" s="235"/>
      <c r="AT89" s="175"/>
      <c r="AU89" s="175"/>
      <c r="AV89" s="175"/>
      <c r="AW89" s="180"/>
      <c r="AX89" s="235"/>
      <c r="AY89" s="175"/>
      <c r="AZ89" s="175"/>
      <c r="BA89" s="175"/>
      <c r="BB89" s="180"/>
      <c r="BC89" s="235"/>
      <c r="BD89" s="175"/>
      <c r="BE89" s="175"/>
      <c r="BF89" s="175"/>
      <c r="BG89" s="180"/>
      <c r="BH89" s="235"/>
      <c r="BI89" s="175"/>
      <c r="BJ89" s="175"/>
      <c r="BK89" s="175"/>
      <c r="BL89" s="175"/>
      <c r="BM89" s="233"/>
      <c r="BN89" s="234"/>
    </row>
    <row r="90" ht="14.25" customHeight="1">
      <c r="A90" s="133">
        <f>SUM(M49:O86)</f>
        <v>0</v>
      </c>
      <c r="K90" s="236" t="s">
        <v>77</v>
      </c>
      <c r="L90" s="228"/>
      <c r="M90" s="228"/>
      <c r="N90" s="228"/>
      <c r="O90" s="228"/>
      <c r="P90" s="228"/>
      <c r="Q90" s="228"/>
      <c r="R90" s="228"/>
      <c r="S90" s="228"/>
      <c r="T90" s="236"/>
      <c r="U90" s="236"/>
      <c r="V90" s="237" t="s">
        <v>78</v>
      </c>
      <c r="W90" s="228"/>
      <c r="X90" s="228"/>
      <c r="Z90" s="238"/>
      <c r="AA90" s="238"/>
      <c r="AB90" s="238" t="s">
        <v>79</v>
      </c>
      <c r="AC90" s="228"/>
      <c r="AD90" s="228"/>
      <c r="AE90" s="228"/>
      <c r="AF90" s="228"/>
      <c r="AG90" s="238" t="s">
        <v>80</v>
      </c>
      <c r="AH90" s="228"/>
      <c r="AI90" s="228"/>
      <c r="AL90" s="238" t="s">
        <v>81</v>
      </c>
      <c r="AM90" s="228"/>
      <c r="AN90" s="228"/>
      <c r="AO90" s="228"/>
      <c r="AP90" s="228"/>
      <c r="AQ90" s="238"/>
      <c r="AR90" s="238"/>
      <c r="AS90" s="238" t="s">
        <v>82</v>
      </c>
      <c r="AT90" s="228"/>
      <c r="AU90" s="228"/>
      <c r="AV90" s="228"/>
      <c r="AW90" s="228"/>
      <c r="AX90" s="238" t="s">
        <v>83</v>
      </c>
      <c r="AY90" s="228"/>
      <c r="AZ90" s="228"/>
      <c r="BA90" s="228"/>
      <c r="BB90" s="228"/>
      <c r="BC90" s="238" t="s">
        <v>84</v>
      </c>
      <c r="BD90" s="228"/>
      <c r="BE90" s="228"/>
      <c r="BF90" s="228"/>
      <c r="BG90" s="228"/>
      <c r="BH90" s="238" t="s">
        <v>85</v>
      </c>
      <c r="BI90" s="228"/>
      <c r="BJ90" s="228"/>
      <c r="BK90" s="228"/>
      <c r="BL90" s="228"/>
      <c r="BM90" s="233"/>
      <c r="BN90" s="234"/>
    </row>
    <row r="91" ht="14.25" customHeight="1">
      <c r="A91" s="133">
        <f>SUM(AS49:AU62)</f>
        <v>0</v>
      </c>
      <c r="B91" s="239" t="s">
        <v>86</v>
      </c>
      <c r="E91" s="229"/>
      <c r="F91" s="3"/>
      <c r="G91" s="3"/>
      <c r="H91" s="3"/>
      <c r="I91" s="3"/>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33"/>
      <c r="BN91" s="234"/>
    </row>
    <row r="92" ht="14.25" customHeight="1">
      <c r="A92" s="133">
        <f>SUM(AS67:AU86)</f>
        <v>0</v>
      </c>
      <c r="E92" s="13"/>
      <c r="F92" s="11"/>
      <c r="G92" s="11"/>
      <c r="H92" s="11"/>
      <c r="I92" s="11"/>
      <c r="J92" s="159"/>
      <c r="K92" s="159"/>
      <c r="L92" s="159"/>
      <c r="M92" s="159"/>
      <c r="N92" s="159"/>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233"/>
      <c r="BN92" s="240"/>
    </row>
    <row r="93" ht="14.25" customHeight="1">
      <c r="A93" s="133">
        <f>SUM(A87:A89)</f>
        <v>851</v>
      </c>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c r="AC93" s="241"/>
      <c r="AD93" s="241"/>
      <c r="AE93" s="241"/>
      <c r="AF93" s="241"/>
      <c r="AG93" s="241"/>
      <c r="AH93" s="241"/>
      <c r="AI93" s="241"/>
      <c r="AJ93" s="241"/>
      <c r="AK93" s="241"/>
      <c r="AL93" s="241"/>
      <c r="AM93" s="241"/>
      <c r="AN93" s="241"/>
      <c r="AO93" s="241"/>
      <c r="AP93" s="241"/>
      <c r="AQ93" s="241"/>
      <c r="AR93" s="241"/>
      <c r="AS93" s="241"/>
      <c r="AT93" s="241"/>
      <c r="AU93" s="241"/>
      <c r="AV93" s="241"/>
      <c r="AW93" s="241"/>
      <c r="AX93" s="241"/>
      <c r="AY93" s="241"/>
      <c r="AZ93" s="241"/>
      <c r="BA93" s="241"/>
      <c r="BB93" s="241"/>
      <c r="BC93" s="241"/>
      <c r="BD93" s="241"/>
      <c r="BE93" s="241"/>
      <c r="BF93" s="241"/>
      <c r="BG93" s="241"/>
      <c r="BH93" s="241"/>
      <c r="BI93" s="241"/>
      <c r="BJ93" s="241"/>
      <c r="BK93" s="241"/>
      <c r="BL93" s="241"/>
      <c r="BM93" s="233"/>
      <c r="BN93" s="240"/>
    </row>
    <row r="94" ht="14.25" customHeight="1">
      <c r="A94" s="133">
        <f>SUM(A90:A92)</f>
        <v>0</v>
      </c>
      <c r="B94" s="101" t="s">
        <v>171</v>
      </c>
      <c r="C94" s="228"/>
      <c r="D94" s="228"/>
      <c r="E94" s="228"/>
      <c r="F94" s="228"/>
      <c r="G94" s="228"/>
      <c r="H94" s="228"/>
      <c r="I94" s="228"/>
      <c r="J94" s="228"/>
      <c r="K94" s="4"/>
      <c r="L94" s="228"/>
      <c r="M94" s="228"/>
      <c r="N94" s="228"/>
      <c r="O94" s="228"/>
      <c r="P94" s="228"/>
      <c r="Q94" s="228"/>
      <c r="R94" s="228"/>
      <c r="S94" s="228"/>
      <c r="T94" s="228"/>
      <c r="U94" s="228"/>
      <c r="V94" s="229"/>
      <c r="W94" s="228"/>
      <c r="X94" s="228"/>
      <c r="Y94" s="228"/>
      <c r="Z94" s="228"/>
      <c r="AA94" s="230"/>
      <c r="AB94" s="242"/>
      <c r="AC94" s="228"/>
      <c r="AD94" s="228"/>
      <c r="AE94" s="228"/>
      <c r="AF94" s="228"/>
      <c r="AG94" s="229"/>
      <c r="AH94" s="228"/>
      <c r="AI94" s="230"/>
      <c r="AJ94" s="243"/>
      <c r="AK94" s="228"/>
      <c r="AL94" s="228"/>
      <c r="AM94" s="228"/>
      <c r="AN94" s="228"/>
      <c r="AO94" s="228"/>
      <c r="AP94" s="228"/>
      <c r="AQ94" s="228"/>
      <c r="AR94" s="230"/>
      <c r="AS94" s="125"/>
      <c r="AT94" s="228"/>
      <c r="AU94" s="228"/>
      <c r="AV94" s="228"/>
      <c r="AW94" s="230"/>
      <c r="AX94" s="125"/>
      <c r="AY94" s="228"/>
      <c r="AZ94" s="228"/>
      <c r="BA94" s="228"/>
      <c r="BB94" s="230"/>
      <c r="BC94" s="125"/>
      <c r="BD94" s="228"/>
      <c r="BE94" s="228"/>
      <c r="BF94" s="228"/>
      <c r="BG94" s="230"/>
      <c r="BH94" s="125"/>
      <c r="BI94" s="228"/>
      <c r="BJ94" s="228"/>
      <c r="BK94" s="228"/>
      <c r="BL94" s="228"/>
      <c r="BM94" s="234"/>
      <c r="BN94" s="234"/>
    </row>
    <row r="95" ht="14.25" customHeight="1">
      <c r="A95" s="133"/>
      <c r="B95" s="235"/>
      <c r="C95" s="175"/>
      <c r="D95" s="175"/>
      <c r="E95" s="175"/>
      <c r="F95" s="175"/>
      <c r="G95" s="175"/>
      <c r="H95" s="175"/>
      <c r="I95" s="175"/>
      <c r="J95" s="175"/>
      <c r="V95" s="235"/>
      <c r="W95" s="175"/>
      <c r="X95" s="175"/>
      <c r="Y95" s="175"/>
      <c r="Z95" s="175"/>
      <c r="AA95" s="180"/>
      <c r="AG95" s="235"/>
      <c r="AH95" s="175"/>
      <c r="AI95" s="180"/>
      <c r="AJ95" s="235"/>
      <c r="AK95" s="175"/>
      <c r="AL95" s="175"/>
      <c r="AM95" s="175"/>
      <c r="AN95" s="175"/>
      <c r="AO95" s="175"/>
      <c r="AP95" s="175"/>
      <c r="AQ95" s="175"/>
      <c r="AR95" s="180"/>
      <c r="AS95" s="235"/>
      <c r="AT95" s="175"/>
      <c r="AU95" s="175"/>
      <c r="AV95" s="175"/>
      <c r="AW95" s="180"/>
      <c r="AX95" s="235"/>
      <c r="AY95" s="175"/>
      <c r="AZ95" s="175"/>
      <c r="BA95" s="175"/>
      <c r="BB95" s="180"/>
      <c r="BC95" s="235"/>
      <c r="BD95" s="175"/>
      <c r="BE95" s="175"/>
      <c r="BF95" s="175"/>
      <c r="BG95" s="180"/>
      <c r="BH95" s="235"/>
      <c r="BI95" s="175"/>
      <c r="BJ95" s="175"/>
      <c r="BK95" s="175"/>
      <c r="BL95" s="175"/>
      <c r="BM95" s="234"/>
      <c r="BN95" s="234"/>
    </row>
    <row r="96" ht="14.25" customHeight="1">
      <c r="A96" s="133"/>
      <c r="K96" s="236" t="s">
        <v>77</v>
      </c>
      <c r="L96" s="228"/>
      <c r="M96" s="228"/>
      <c r="N96" s="228"/>
      <c r="O96" s="228"/>
      <c r="P96" s="228"/>
      <c r="Q96" s="228"/>
      <c r="R96" s="228"/>
      <c r="S96" s="228"/>
      <c r="T96" s="236" t="s">
        <v>78</v>
      </c>
      <c r="U96" s="228"/>
      <c r="V96" s="228"/>
      <c r="W96" s="228"/>
      <c r="X96" s="228"/>
      <c r="Z96" s="238"/>
      <c r="AA96" s="238"/>
      <c r="AB96" s="238" t="s">
        <v>79</v>
      </c>
      <c r="AC96" s="228"/>
      <c r="AD96" s="228"/>
      <c r="AE96" s="228"/>
      <c r="AF96" s="228"/>
      <c r="AG96" s="238" t="s">
        <v>80</v>
      </c>
      <c r="AH96" s="228"/>
      <c r="AI96" s="228"/>
      <c r="AL96" s="238" t="s">
        <v>81</v>
      </c>
      <c r="AM96" s="228"/>
      <c r="AN96" s="228"/>
      <c r="AO96" s="228"/>
      <c r="AP96" s="228"/>
      <c r="AQ96" s="238"/>
      <c r="AR96" s="238"/>
      <c r="AS96" s="238" t="s">
        <v>82</v>
      </c>
      <c r="AT96" s="228"/>
      <c r="AU96" s="228"/>
      <c r="AV96" s="228"/>
      <c r="AW96" s="228"/>
      <c r="AX96" s="238" t="s">
        <v>83</v>
      </c>
      <c r="AY96" s="228"/>
      <c r="AZ96" s="228"/>
      <c r="BA96" s="228"/>
      <c r="BB96" s="228"/>
      <c r="BC96" s="238" t="s">
        <v>84</v>
      </c>
      <c r="BD96" s="228"/>
      <c r="BE96" s="228"/>
      <c r="BF96" s="228"/>
      <c r="BG96" s="228"/>
      <c r="BH96" s="238" t="s">
        <v>85</v>
      </c>
      <c r="BI96" s="228"/>
      <c r="BJ96" s="228"/>
      <c r="BK96" s="228"/>
      <c r="BL96" s="228"/>
      <c r="BM96" s="234"/>
      <c r="BN96" s="234"/>
    </row>
    <row r="97" ht="14.25" customHeight="1">
      <c r="A97" s="133"/>
      <c r="B97" s="239" t="s">
        <v>86</v>
      </c>
      <c r="D97" s="244"/>
      <c r="E97" s="229"/>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c r="BC97" s="222"/>
      <c r="BD97" s="222"/>
      <c r="BE97" s="222"/>
      <c r="BF97" s="222"/>
      <c r="BG97" s="222"/>
      <c r="BH97" s="222"/>
      <c r="BI97" s="222"/>
      <c r="BJ97" s="222"/>
      <c r="BK97" s="222"/>
      <c r="BL97" s="222"/>
      <c r="BM97" s="234"/>
      <c r="BN97" s="234"/>
    </row>
    <row r="98" ht="14.25" customHeight="1">
      <c r="A98" s="133"/>
      <c r="D98" s="245"/>
      <c r="E98" s="246"/>
      <c r="BM98" s="234"/>
      <c r="BN98" s="234"/>
    </row>
    <row r="99" ht="14.25" customHeight="1">
      <c r="A99" s="133"/>
      <c r="B99" s="247" t="s">
        <v>172</v>
      </c>
      <c r="J99" s="248"/>
      <c r="K99" s="248"/>
      <c r="L99" s="248"/>
      <c r="M99" s="249"/>
      <c r="N99" s="249"/>
      <c r="O99" s="249"/>
      <c r="P99" s="248"/>
      <c r="Q99" s="248"/>
      <c r="R99" s="248"/>
      <c r="S99" s="248"/>
      <c r="T99" s="248"/>
      <c r="U99" s="248"/>
      <c r="V99" s="249"/>
      <c r="W99" s="250"/>
      <c r="X99" s="250"/>
      <c r="Y99" s="248"/>
      <c r="Z99" s="248"/>
      <c r="AA99" s="251"/>
      <c r="AG99" s="252"/>
      <c r="AH99" s="55"/>
      <c r="AI99" s="55"/>
      <c r="AJ99" s="55"/>
      <c r="AK99" s="55"/>
      <c r="AL99" s="55"/>
      <c r="AM99" s="55"/>
      <c r="AN99" s="55"/>
      <c r="AO99" s="55"/>
      <c r="AP99" s="55"/>
      <c r="AQ99" s="55"/>
      <c r="AR99" s="55"/>
      <c r="AS99" s="55"/>
      <c r="AT99" s="47"/>
      <c r="AV99" s="55"/>
      <c r="AW99" s="55"/>
      <c r="AX99" s="55"/>
      <c r="AY99" s="55"/>
      <c r="AZ99" s="55"/>
      <c r="BA99" s="55"/>
      <c r="BB99" s="55"/>
      <c r="BC99" s="55"/>
      <c r="BD99" s="55"/>
      <c r="BE99" s="55"/>
      <c r="BF99" s="55"/>
      <c r="BG99" s="55"/>
      <c r="BH99" s="253"/>
      <c r="BM99" s="234"/>
      <c r="BN99" s="234"/>
    </row>
    <row r="100" ht="14.25" customHeight="1">
      <c r="A100" s="133"/>
      <c r="J100" s="110"/>
      <c r="BM100" s="234"/>
      <c r="BN100" s="234"/>
    </row>
    <row r="101" ht="14.25" customHeight="1">
      <c r="A101" s="133"/>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234"/>
      <c r="BN101" s="234"/>
    </row>
    <row r="102" ht="14.25" customHeight="1">
      <c r="A102" s="133"/>
      <c r="J102" s="254"/>
      <c r="K102" s="228"/>
      <c r="L102" s="228"/>
      <c r="M102" s="228"/>
      <c r="N102" s="228"/>
      <c r="O102" s="228"/>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8"/>
      <c r="AZ102" s="228"/>
      <c r="BA102" s="228"/>
      <c r="BB102" s="228"/>
      <c r="BC102" s="228"/>
      <c r="BD102" s="228"/>
      <c r="BE102" s="228"/>
      <c r="BF102" s="228"/>
      <c r="BG102" s="228"/>
      <c r="BH102" s="228"/>
      <c r="BI102" s="228"/>
      <c r="BJ102" s="228"/>
      <c r="BK102" s="228"/>
      <c r="BL102" s="228"/>
      <c r="BM102" s="234"/>
      <c r="BN102" s="234"/>
    </row>
    <row r="103" ht="14.25" customHeight="1">
      <c r="A103" s="133"/>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234"/>
      <c r="BN103" s="234"/>
    </row>
    <row r="104" ht="14.25" customHeight="1">
      <c r="A104" s="133"/>
      <c r="B104" s="255"/>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c r="AN104" s="228"/>
      <c r="AO104" s="228"/>
      <c r="AP104" s="228"/>
      <c r="AQ104" s="228"/>
      <c r="AR104" s="228"/>
      <c r="AS104" s="228"/>
      <c r="AT104" s="228"/>
      <c r="AU104" s="228"/>
      <c r="AV104" s="228"/>
      <c r="AW104" s="228"/>
      <c r="AX104" s="228"/>
      <c r="AY104" s="228"/>
      <c r="AZ104" s="228"/>
      <c r="BA104" s="228"/>
      <c r="BB104" s="228"/>
      <c r="BC104" s="228"/>
      <c r="BD104" s="228"/>
      <c r="BE104" s="228"/>
      <c r="BF104" s="228"/>
      <c r="BG104" s="228"/>
      <c r="BH104" s="228"/>
      <c r="BI104" s="228"/>
      <c r="BJ104" s="228"/>
      <c r="BK104" s="228"/>
      <c r="BL104" s="228"/>
      <c r="BM104" s="234"/>
      <c r="BN104" s="234"/>
    </row>
    <row r="105" ht="14.25" customHeight="1">
      <c r="A105" s="133"/>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234"/>
      <c r="BN105" s="234"/>
    </row>
    <row r="106" ht="14.25" customHeight="1">
      <c r="A106" s="133"/>
      <c r="B106" s="254"/>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34"/>
      <c r="BN106" s="234"/>
    </row>
    <row r="107" ht="14.25" customHeight="1">
      <c r="A107" s="133"/>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234"/>
      <c r="BN107" s="234"/>
    </row>
    <row r="108" ht="14.25" customHeight="1">
      <c r="A108" s="133"/>
      <c r="B108" s="256"/>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57"/>
      <c r="BN108" s="257"/>
    </row>
    <row r="109" ht="14.25" customHeight="1">
      <c r="A109" s="133"/>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257"/>
      <c r="BN109" s="257"/>
    </row>
    <row r="110" ht="14.25" customHeight="1">
      <c r="A110" s="133"/>
      <c r="B110" s="254"/>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8"/>
      <c r="AZ110" s="228"/>
      <c r="BA110" s="228"/>
      <c r="BB110" s="228"/>
      <c r="BC110" s="228"/>
      <c r="BD110" s="228"/>
      <c r="BE110" s="228"/>
      <c r="BF110" s="228"/>
      <c r="BG110" s="228"/>
      <c r="BH110" s="228"/>
      <c r="BI110" s="228"/>
      <c r="BJ110" s="228"/>
      <c r="BK110" s="228"/>
      <c r="BL110" s="228"/>
      <c r="BM110" s="257"/>
      <c r="BN110" s="257"/>
    </row>
    <row r="111" ht="14.25" customHeight="1">
      <c r="A111" s="133"/>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257"/>
      <c r="BN111" s="257"/>
    </row>
    <row r="112" ht="14.25" customHeight="1">
      <c r="A112" s="133"/>
      <c r="B112" s="256"/>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c r="AA112" s="228"/>
      <c r="AB112" s="228"/>
      <c r="AC112" s="228"/>
      <c r="AD112" s="228"/>
      <c r="AE112" s="228"/>
      <c r="AF112" s="228"/>
      <c r="AG112" s="228"/>
      <c r="AH112" s="228"/>
      <c r="AI112" s="228"/>
      <c r="AJ112" s="228"/>
      <c r="AK112" s="228"/>
      <c r="AL112" s="228"/>
      <c r="AM112" s="228"/>
      <c r="AN112" s="228"/>
      <c r="AO112" s="228"/>
      <c r="AP112" s="228"/>
      <c r="AQ112" s="228"/>
      <c r="AR112" s="228"/>
      <c r="AS112" s="228"/>
      <c r="AT112" s="228"/>
      <c r="AU112" s="228"/>
      <c r="AV112" s="228"/>
      <c r="AW112" s="228"/>
      <c r="AX112" s="228"/>
      <c r="AY112" s="228"/>
      <c r="AZ112" s="228"/>
      <c r="BA112" s="228"/>
      <c r="BB112" s="228"/>
      <c r="BC112" s="228"/>
      <c r="BD112" s="228"/>
      <c r="BE112" s="228"/>
      <c r="BF112" s="228"/>
      <c r="BG112" s="228"/>
      <c r="BH112" s="228"/>
      <c r="BI112" s="228"/>
      <c r="BJ112" s="228"/>
      <c r="BK112" s="228"/>
      <c r="BL112" s="228"/>
      <c r="BM112" s="257"/>
      <c r="BN112" s="257"/>
    </row>
    <row r="113" ht="14.25" customHeight="1">
      <c r="A113" s="133"/>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257"/>
      <c r="BN113" s="257"/>
    </row>
    <row r="114" ht="14.25" customHeight="1">
      <c r="A114" s="133"/>
      <c r="B114" s="254"/>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c r="AA114" s="228"/>
      <c r="AB114" s="228"/>
      <c r="AC114" s="228"/>
      <c r="AD114" s="228"/>
      <c r="AE114" s="228"/>
      <c r="AF114" s="228"/>
      <c r="AG114" s="228"/>
      <c r="AH114" s="228"/>
      <c r="AI114" s="228"/>
      <c r="AJ114" s="228"/>
      <c r="AK114" s="228"/>
      <c r="AL114" s="228"/>
      <c r="AM114" s="228"/>
      <c r="AN114" s="228"/>
      <c r="AO114" s="228"/>
      <c r="AP114" s="228"/>
      <c r="AQ114" s="228"/>
      <c r="AR114" s="228"/>
      <c r="AS114" s="228"/>
      <c r="AT114" s="228"/>
      <c r="AU114" s="228"/>
      <c r="AV114" s="228"/>
      <c r="AW114" s="228"/>
      <c r="AX114" s="228"/>
      <c r="AY114" s="228"/>
      <c r="AZ114" s="228"/>
      <c r="BA114" s="228"/>
      <c r="BB114" s="228"/>
      <c r="BC114" s="228"/>
      <c r="BD114" s="228"/>
      <c r="BE114" s="228"/>
      <c r="BF114" s="228"/>
      <c r="BG114" s="228"/>
      <c r="BH114" s="228"/>
      <c r="BI114" s="228"/>
      <c r="BJ114" s="228"/>
      <c r="BK114" s="228"/>
      <c r="BL114" s="228"/>
      <c r="BM114" s="133"/>
      <c r="BN114" s="133"/>
    </row>
    <row r="115" ht="14.25" customHeight="1">
      <c r="A115" s="133"/>
      <c r="BM115" s="133"/>
      <c r="BN115" s="133"/>
    </row>
    <row r="116" ht="14.25" customHeight="1">
      <c r="A116" s="133"/>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9"/>
      <c r="BK116" s="259"/>
      <c r="BL116" s="259"/>
      <c r="BM116" s="133"/>
      <c r="BN116" s="133"/>
    </row>
  </sheetData>
  <mergeCells count="840">
    <mergeCell ref="BG16:BI16"/>
    <mergeCell ref="BJ16:BL16"/>
    <mergeCell ref="BM25:BN28"/>
    <mergeCell ref="BE27:BF28"/>
    <mergeCell ref="BG27:BH28"/>
    <mergeCell ref="BI27:BJ28"/>
    <mergeCell ref="BK27:BL28"/>
    <mergeCell ref="BD13:BF14"/>
    <mergeCell ref="BG13:BI14"/>
    <mergeCell ref="BM13:BN18"/>
    <mergeCell ref="BD15:BF15"/>
    <mergeCell ref="BG15:BI15"/>
    <mergeCell ref="BJ15:BL15"/>
    <mergeCell ref="BD16:BF16"/>
    <mergeCell ref="A1:BL2"/>
    <mergeCell ref="B3:H4"/>
    <mergeCell ref="I3:AE4"/>
    <mergeCell ref="AI3:AO4"/>
    <mergeCell ref="AP3:BL4"/>
    <mergeCell ref="B6:H7"/>
    <mergeCell ref="I6:AE7"/>
    <mergeCell ref="AI7:AO8"/>
    <mergeCell ref="AP7:BL9"/>
    <mergeCell ref="B9:H10"/>
    <mergeCell ref="I9:AE10"/>
    <mergeCell ref="AI9:AO10"/>
    <mergeCell ref="I12:AE13"/>
    <mergeCell ref="AK13:AL13"/>
    <mergeCell ref="AR11:BE12"/>
    <mergeCell ref="BF12:BI12"/>
    <mergeCell ref="BJ12:BN12"/>
    <mergeCell ref="AU13:AW14"/>
    <mergeCell ref="AX13:AZ14"/>
    <mergeCell ref="BA13:BC14"/>
    <mergeCell ref="BJ13:BL14"/>
    <mergeCell ref="AX16:AZ16"/>
    <mergeCell ref="BA16:BC16"/>
    <mergeCell ref="AR17:BL17"/>
    <mergeCell ref="BD18:BF19"/>
    <mergeCell ref="BG18:BI19"/>
    <mergeCell ref="BJ18:BL19"/>
    <mergeCell ref="AK19:AO19"/>
    <mergeCell ref="AP19:AQ19"/>
    <mergeCell ref="P21:Y22"/>
    <mergeCell ref="Z21:AE22"/>
    <mergeCell ref="AS21:AV22"/>
    <mergeCell ref="AW21:BA22"/>
    <mergeCell ref="BB21:BN22"/>
    <mergeCell ref="BA31:BB32"/>
    <mergeCell ref="BA33:BB33"/>
    <mergeCell ref="BC33:BD33"/>
    <mergeCell ref="BE33:BL34"/>
    <mergeCell ref="BC31:BD32"/>
    <mergeCell ref="BA35:BC35"/>
    <mergeCell ref="BA36:BC37"/>
    <mergeCell ref="BA38:BF39"/>
    <mergeCell ref="BD35:BF35"/>
    <mergeCell ref="BG35:BI35"/>
    <mergeCell ref="BD36:BF37"/>
    <mergeCell ref="BG36:BI37"/>
    <mergeCell ref="BJ36:BL37"/>
    <mergeCell ref="BG38:BL39"/>
    <mergeCell ref="AF35:AR36"/>
    <mergeCell ref="AF37:AR38"/>
    <mergeCell ref="AG39:AJ39"/>
    <mergeCell ref="BA29:BB30"/>
    <mergeCell ref="BD29:BI30"/>
    <mergeCell ref="BK29:BL30"/>
    <mergeCell ref="AI31:AR32"/>
    <mergeCell ref="AS31:AZ32"/>
    <mergeCell ref="AF33:AR34"/>
    <mergeCell ref="BJ35:BL35"/>
    <mergeCell ref="AR13:AT14"/>
    <mergeCell ref="AK15:AQ15"/>
    <mergeCell ref="AR15:AT15"/>
    <mergeCell ref="AU15:AW15"/>
    <mergeCell ref="AX15:AZ15"/>
    <mergeCell ref="BA15:BC15"/>
    <mergeCell ref="AK16:AQ16"/>
    <mergeCell ref="AR16:AT16"/>
    <mergeCell ref="AU16:AW16"/>
    <mergeCell ref="AK18:AQ18"/>
    <mergeCell ref="AR18:AT19"/>
    <mergeCell ref="AU18:AW19"/>
    <mergeCell ref="AX18:AZ19"/>
    <mergeCell ref="BA18:BC19"/>
    <mergeCell ref="BA25:BB25"/>
    <mergeCell ref="BC25:BD25"/>
    <mergeCell ref="BE25:BF25"/>
    <mergeCell ref="BG25:BH25"/>
    <mergeCell ref="BI25:BJ25"/>
    <mergeCell ref="BK25:BL25"/>
    <mergeCell ref="AW23:AX24"/>
    <mergeCell ref="BC23:BD24"/>
    <mergeCell ref="BF23:BI24"/>
    <mergeCell ref="AU25:AV25"/>
    <mergeCell ref="AW25:AX25"/>
    <mergeCell ref="AY25:AZ25"/>
    <mergeCell ref="AS26:BL26"/>
    <mergeCell ref="AY27:AZ28"/>
    <mergeCell ref="AY29:AZ30"/>
    <mergeCell ref="AS25:AT25"/>
    <mergeCell ref="AS27:AT28"/>
    <mergeCell ref="AU27:AV28"/>
    <mergeCell ref="AW27:AX28"/>
    <mergeCell ref="BA27:BB28"/>
    <mergeCell ref="BC27:BD28"/>
    <mergeCell ref="AU29:AV30"/>
    <mergeCell ref="R35:T36"/>
    <mergeCell ref="U35:V36"/>
    <mergeCell ref="U34:V34"/>
    <mergeCell ref="W34:X34"/>
    <mergeCell ref="B35:I36"/>
    <mergeCell ref="J35:K36"/>
    <mergeCell ref="L35:M36"/>
    <mergeCell ref="N35:O36"/>
    <mergeCell ref="P35:Q36"/>
    <mergeCell ref="B12:H13"/>
    <mergeCell ref="B15:H16"/>
    <mergeCell ref="I15:AE16"/>
    <mergeCell ref="B18:H19"/>
    <mergeCell ref="I18:AE19"/>
    <mergeCell ref="B21:K22"/>
    <mergeCell ref="L21:O22"/>
    <mergeCell ref="I27:AE28"/>
    <mergeCell ref="I29:AE30"/>
    <mergeCell ref="B24:F25"/>
    <mergeCell ref="G24:K25"/>
    <mergeCell ref="L24:P25"/>
    <mergeCell ref="Q24:U25"/>
    <mergeCell ref="V24:Z25"/>
    <mergeCell ref="AA24:AE25"/>
    <mergeCell ref="B27:H32"/>
    <mergeCell ref="Y34:Z34"/>
    <mergeCell ref="AA34:AB34"/>
    <mergeCell ref="I31:AE32"/>
    <mergeCell ref="AF31:AH32"/>
    <mergeCell ref="J34:K34"/>
    <mergeCell ref="L34:M34"/>
    <mergeCell ref="N34:O34"/>
    <mergeCell ref="P34:Q34"/>
    <mergeCell ref="R34:T34"/>
    <mergeCell ref="AC34:AE34"/>
    <mergeCell ref="W35:X36"/>
    <mergeCell ref="Y35:Z36"/>
    <mergeCell ref="AA35:AB36"/>
    <mergeCell ref="AC35:AE36"/>
    <mergeCell ref="Z39:AB39"/>
    <mergeCell ref="AC39:AE39"/>
    <mergeCell ref="AC64:AF64"/>
    <mergeCell ref="AH64:AK64"/>
    <mergeCell ref="AL64:AO64"/>
    <mergeCell ref="B64:I64"/>
    <mergeCell ref="J64:L64"/>
    <mergeCell ref="M64:O64"/>
    <mergeCell ref="P64:R64"/>
    <mergeCell ref="S64:U64"/>
    <mergeCell ref="W64:X64"/>
    <mergeCell ref="Y64:AB64"/>
    <mergeCell ref="BE80:BH80"/>
    <mergeCell ref="BI80:BL80"/>
    <mergeCell ref="AC80:AF80"/>
    <mergeCell ref="AH80:AO80"/>
    <mergeCell ref="AP80:AR80"/>
    <mergeCell ref="AS80:AU80"/>
    <mergeCell ref="AV80:AX80"/>
    <mergeCell ref="AY80:BA80"/>
    <mergeCell ref="BC80:BD80"/>
    <mergeCell ref="BE78:BH78"/>
    <mergeCell ref="BI78:BL78"/>
    <mergeCell ref="AC78:AF78"/>
    <mergeCell ref="AH78:AO78"/>
    <mergeCell ref="AP78:AR78"/>
    <mergeCell ref="AS78:AU78"/>
    <mergeCell ref="AV78:AX78"/>
    <mergeCell ref="AY78:BA78"/>
    <mergeCell ref="BC78:BD78"/>
    <mergeCell ref="B78:I78"/>
    <mergeCell ref="J78:L78"/>
    <mergeCell ref="M78:O78"/>
    <mergeCell ref="P78:R78"/>
    <mergeCell ref="S78:U78"/>
    <mergeCell ref="W78:X78"/>
    <mergeCell ref="Y78:AB78"/>
    <mergeCell ref="BE79:BH79"/>
    <mergeCell ref="BI79:BL79"/>
    <mergeCell ref="AC79:AF79"/>
    <mergeCell ref="AH79:AO79"/>
    <mergeCell ref="AP79:AR79"/>
    <mergeCell ref="AS79:AU79"/>
    <mergeCell ref="AV79:AX79"/>
    <mergeCell ref="AY79:BA79"/>
    <mergeCell ref="BC79:BD79"/>
    <mergeCell ref="B79:I79"/>
    <mergeCell ref="J79:L79"/>
    <mergeCell ref="M79:O79"/>
    <mergeCell ref="P79:R79"/>
    <mergeCell ref="S79:U79"/>
    <mergeCell ref="W79:X79"/>
    <mergeCell ref="Y79:AB79"/>
    <mergeCell ref="B80:I80"/>
    <mergeCell ref="J80:L80"/>
    <mergeCell ref="M80:O80"/>
    <mergeCell ref="P80:R80"/>
    <mergeCell ref="S80:U80"/>
    <mergeCell ref="W80:X80"/>
    <mergeCell ref="Y80:AB80"/>
    <mergeCell ref="BE83:BH83"/>
    <mergeCell ref="BI83:BL83"/>
    <mergeCell ref="AC83:AF83"/>
    <mergeCell ref="AH83:AO83"/>
    <mergeCell ref="AP83:AR83"/>
    <mergeCell ref="AS83:AU83"/>
    <mergeCell ref="AV83:AX83"/>
    <mergeCell ref="AY83:BA83"/>
    <mergeCell ref="BC83:BD83"/>
    <mergeCell ref="BE81:BH81"/>
    <mergeCell ref="BI81:BL81"/>
    <mergeCell ref="AC81:AF81"/>
    <mergeCell ref="AH81:AO81"/>
    <mergeCell ref="AP81:AR81"/>
    <mergeCell ref="AS81:AU81"/>
    <mergeCell ref="AV81:AX81"/>
    <mergeCell ref="AY81:BA81"/>
    <mergeCell ref="BC81:BD81"/>
    <mergeCell ref="B81:I81"/>
    <mergeCell ref="J81:L81"/>
    <mergeCell ref="M81:O81"/>
    <mergeCell ref="P81:R81"/>
    <mergeCell ref="S81:U81"/>
    <mergeCell ref="W81:X81"/>
    <mergeCell ref="Y81:AB81"/>
    <mergeCell ref="BE82:BH82"/>
    <mergeCell ref="BI82:BL82"/>
    <mergeCell ref="AC82:AF82"/>
    <mergeCell ref="AH82:AO82"/>
    <mergeCell ref="AP82:AR82"/>
    <mergeCell ref="AS82:AU82"/>
    <mergeCell ref="AV82:AX82"/>
    <mergeCell ref="AY82:BA82"/>
    <mergeCell ref="BC82:BD82"/>
    <mergeCell ref="B82:I82"/>
    <mergeCell ref="J82:L82"/>
    <mergeCell ref="M82:O82"/>
    <mergeCell ref="P82:R82"/>
    <mergeCell ref="S82:U82"/>
    <mergeCell ref="W82:X82"/>
    <mergeCell ref="Y82:AB82"/>
    <mergeCell ref="B83:I83"/>
    <mergeCell ref="J83:L83"/>
    <mergeCell ref="M83:O83"/>
    <mergeCell ref="P83:R83"/>
    <mergeCell ref="S83:U83"/>
    <mergeCell ref="W83:X83"/>
    <mergeCell ref="Y83:AB83"/>
    <mergeCell ref="BE86:BH86"/>
    <mergeCell ref="BI86:BL86"/>
    <mergeCell ref="AC86:AF86"/>
    <mergeCell ref="AH86:AO86"/>
    <mergeCell ref="AP86:AR86"/>
    <mergeCell ref="AS86:AU86"/>
    <mergeCell ref="AV86:AX86"/>
    <mergeCell ref="AY86:BA86"/>
    <mergeCell ref="BC86:BD86"/>
    <mergeCell ref="BE84:BH84"/>
    <mergeCell ref="BI84:BL84"/>
    <mergeCell ref="AC84:AF84"/>
    <mergeCell ref="AH84:AO84"/>
    <mergeCell ref="AP84:AR84"/>
    <mergeCell ref="AS84:AU84"/>
    <mergeCell ref="AV84:AX84"/>
    <mergeCell ref="AY84:BA84"/>
    <mergeCell ref="BC84:BD84"/>
    <mergeCell ref="B84:I84"/>
    <mergeCell ref="J84:L84"/>
    <mergeCell ref="M84:O84"/>
    <mergeCell ref="P84:R84"/>
    <mergeCell ref="S84:U84"/>
    <mergeCell ref="W84:X84"/>
    <mergeCell ref="Y84:AB84"/>
    <mergeCell ref="BE85:BH85"/>
    <mergeCell ref="BI85:BL85"/>
    <mergeCell ref="AC85:AF85"/>
    <mergeCell ref="AH85:AO85"/>
    <mergeCell ref="AP85:AR85"/>
    <mergeCell ref="AS85:AU85"/>
    <mergeCell ref="AV85:AX85"/>
    <mergeCell ref="AY85:BA85"/>
    <mergeCell ref="BC85:BD85"/>
    <mergeCell ref="B85:I85"/>
    <mergeCell ref="J85:L85"/>
    <mergeCell ref="M85:O85"/>
    <mergeCell ref="P85:R85"/>
    <mergeCell ref="S85:U85"/>
    <mergeCell ref="W85:X85"/>
    <mergeCell ref="Y85:AB85"/>
    <mergeCell ref="B86:I86"/>
    <mergeCell ref="J86:L86"/>
    <mergeCell ref="M86:O86"/>
    <mergeCell ref="P86:R86"/>
    <mergeCell ref="S86:U86"/>
    <mergeCell ref="W86:X86"/>
    <mergeCell ref="Y86:AB86"/>
    <mergeCell ref="AC63:AF63"/>
    <mergeCell ref="AP63:AX63"/>
    <mergeCell ref="B63:I63"/>
    <mergeCell ref="J63:L63"/>
    <mergeCell ref="M63:O63"/>
    <mergeCell ref="P63:R63"/>
    <mergeCell ref="S63:U63"/>
    <mergeCell ref="W63:X63"/>
    <mergeCell ref="Y63:AB63"/>
    <mergeCell ref="BE61:BH61"/>
    <mergeCell ref="BI61:BL61"/>
    <mergeCell ref="AC61:AF61"/>
    <mergeCell ref="AH61:AO61"/>
    <mergeCell ref="AP61:AR61"/>
    <mergeCell ref="AS61:AU61"/>
    <mergeCell ref="AV61:AX61"/>
    <mergeCell ref="AY61:BA61"/>
    <mergeCell ref="BC61:BD61"/>
    <mergeCell ref="B61:I61"/>
    <mergeCell ref="J61:L61"/>
    <mergeCell ref="M61:O61"/>
    <mergeCell ref="P61:R61"/>
    <mergeCell ref="S61:U61"/>
    <mergeCell ref="W61:X61"/>
    <mergeCell ref="Y61:AB61"/>
    <mergeCell ref="BE62:BH62"/>
    <mergeCell ref="BI62:BL62"/>
    <mergeCell ref="AC62:AF62"/>
    <mergeCell ref="AH62:AO62"/>
    <mergeCell ref="AP62:AR62"/>
    <mergeCell ref="AS62:AU62"/>
    <mergeCell ref="AV62:AX62"/>
    <mergeCell ref="AY62:BA62"/>
    <mergeCell ref="BC62:BD62"/>
    <mergeCell ref="B62:I62"/>
    <mergeCell ref="J62:L62"/>
    <mergeCell ref="M62:O62"/>
    <mergeCell ref="P62:R62"/>
    <mergeCell ref="S62:U62"/>
    <mergeCell ref="W62:X62"/>
    <mergeCell ref="Y62:AB62"/>
    <mergeCell ref="B65:I65"/>
    <mergeCell ref="J65:L65"/>
    <mergeCell ref="M65:O65"/>
    <mergeCell ref="P65:R65"/>
    <mergeCell ref="S65:U65"/>
    <mergeCell ref="W65:X65"/>
    <mergeCell ref="Y65:AB65"/>
    <mergeCell ref="BE68:BH68"/>
    <mergeCell ref="BI68:BL68"/>
    <mergeCell ref="AC68:AF68"/>
    <mergeCell ref="AH68:AO68"/>
    <mergeCell ref="AP68:AR68"/>
    <mergeCell ref="AS68:AU68"/>
    <mergeCell ref="AV68:AX68"/>
    <mergeCell ref="AY68:BA68"/>
    <mergeCell ref="BC68:BD68"/>
    <mergeCell ref="BE65:BH66"/>
    <mergeCell ref="BI65:BL66"/>
    <mergeCell ref="AC65:AF65"/>
    <mergeCell ref="AH65:AO66"/>
    <mergeCell ref="AP65:AR66"/>
    <mergeCell ref="AS65:AU66"/>
    <mergeCell ref="AV65:AX66"/>
    <mergeCell ref="AY65:BA66"/>
    <mergeCell ref="BB65:BD66"/>
    <mergeCell ref="AC66:AF66"/>
    <mergeCell ref="B66:I66"/>
    <mergeCell ref="J66:L66"/>
    <mergeCell ref="M66:O66"/>
    <mergeCell ref="P66:R66"/>
    <mergeCell ref="S66:U66"/>
    <mergeCell ref="W66:X66"/>
    <mergeCell ref="Y66:AB66"/>
    <mergeCell ref="BE67:BH67"/>
    <mergeCell ref="BI67:BL67"/>
    <mergeCell ref="AC67:AF67"/>
    <mergeCell ref="AH67:AO67"/>
    <mergeCell ref="AP67:AR67"/>
    <mergeCell ref="AS67:AU67"/>
    <mergeCell ref="AV67:AX67"/>
    <mergeCell ref="AY67:BA67"/>
    <mergeCell ref="BC67:BD67"/>
    <mergeCell ref="B67:I67"/>
    <mergeCell ref="J67:L67"/>
    <mergeCell ref="M67:O67"/>
    <mergeCell ref="P67:R67"/>
    <mergeCell ref="S67:U67"/>
    <mergeCell ref="W67:X67"/>
    <mergeCell ref="Y67:AB67"/>
    <mergeCell ref="B68:I68"/>
    <mergeCell ref="J68:L68"/>
    <mergeCell ref="M68:O68"/>
    <mergeCell ref="P68:R68"/>
    <mergeCell ref="S68:U68"/>
    <mergeCell ref="W68:X68"/>
    <mergeCell ref="Y68:AB68"/>
    <mergeCell ref="BE71:BH71"/>
    <mergeCell ref="BI71:BL71"/>
    <mergeCell ref="AC71:AF71"/>
    <mergeCell ref="AH71:AO71"/>
    <mergeCell ref="AP71:AR71"/>
    <mergeCell ref="AS71:AU71"/>
    <mergeCell ref="AV71:AX71"/>
    <mergeCell ref="AY71:BA71"/>
    <mergeCell ref="BC71:BD71"/>
    <mergeCell ref="BE69:BH69"/>
    <mergeCell ref="BI69:BL69"/>
    <mergeCell ref="AC69:AF69"/>
    <mergeCell ref="AH69:AO69"/>
    <mergeCell ref="AP69:AR69"/>
    <mergeCell ref="AS69:AU69"/>
    <mergeCell ref="AV69:AX69"/>
    <mergeCell ref="AY69:BA69"/>
    <mergeCell ref="BC69:BD69"/>
    <mergeCell ref="B69:I69"/>
    <mergeCell ref="J69:L69"/>
    <mergeCell ref="M69:O69"/>
    <mergeCell ref="P69:R69"/>
    <mergeCell ref="S69:U69"/>
    <mergeCell ref="W69:X69"/>
    <mergeCell ref="Y69:AB69"/>
    <mergeCell ref="BE70:BH70"/>
    <mergeCell ref="BI70:BL70"/>
    <mergeCell ref="AC70:AF70"/>
    <mergeCell ref="AH70:AO70"/>
    <mergeCell ref="AP70:AR70"/>
    <mergeCell ref="AS70:AU70"/>
    <mergeCell ref="AV70:AX70"/>
    <mergeCell ref="AY70:BA70"/>
    <mergeCell ref="BC70:BD70"/>
    <mergeCell ref="B70:I70"/>
    <mergeCell ref="J70:L70"/>
    <mergeCell ref="M70:O70"/>
    <mergeCell ref="P70:R70"/>
    <mergeCell ref="S70:U70"/>
    <mergeCell ref="W70:X70"/>
    <mergeCell ref="Y70:AB70"/>
    <mergeCell ref="B71:I71"/>
    <mergeCell ref="J71:L71"/>
    <mergeCell ref="M71:O71"/>
    <mergeCell ref="P71:R71"/>
    <mergeCell ref="S71:U71"/>
    <mergeCell ref="W71:X71"/>
    <mergeCell ref="Y71:AB71"/>
    <mergeCell ref="B91:D92"/>
    <mergeCell ref="E91:BL92"/>
    <mergeCell ref="B94:J95"/>
    <mergeCell ref="V94:AA95"/>
    <mergeCell ref="AB94:AF95"/>
    <mergeCell ref="AG94:AI95"/>
    <mergeCell ref="BH94:BL95"/>
    <mergeCell ref="AT99:AU99"/>
    <mergeCell ref="BH99:BL99"/>
    <mergeCell ref="J100:BL101"/>
    <mergeCell ref="J102:BL103"/>
    <mergeCell ref="B104:BL105"/>
    <mergeCell ref="B106:BL107"/>
    <mergeCell ref="B108:BL109"/>
    <mergeCell ref="B110:BL111"/>
    <mergeCell ref="B112:BL113"/>
    <mergeCell ref="B114:BL115"/>
    <mergeCell ref="K94:U95"/>
    <mergeCell ref="K96:S96"/>
    <mergeCell ref="T96:X96"/>
    <mergeCell ref="AG96:AI96"/>
    <mergeCell ref="B97:D98"/>
    <mergeCell ref="E97:BL98"/>
    <mergeCell ref="B99:I103"/>
    <mergeCell ref="AX88:BB89"/>
    <mergeCell ref="BC88:BG89"/>
    <mergeCell ref="BH88:BL89"/>
    <mergeCell ref="B88:J89"/>
    <mergeCell ref="K88:U89"/>
    <mergeCell ref="V88:AA89"/>
    <mergeCell ref="AB88:AF89"/>
    <mergeCell ref="AG88:AI89"/>
    <mergeCell ref="AJ88:AR89"/>
    <mergeCell ref="AS88:AW89"/>
    <mergeCell ref="BC90:BG90"/>
    <mergeCell ref="BH90:BL90"/>
    <mergeCell ref="K90:S90"/>
    <mergeCell ref="V90:X90"/>
    <mergeCell ref="AB90:AF90"/>
    <mergeCell ref="AG90:AI90"/>
    <mergeCell ref="AL90:AP90"/>
    <mergeCell ref="AS90:AW90"/>
    <mergeCell ref="AX90:BB90"/>
    <mergeCell ref="AJ94:AR95"/>
    <mergeCell ref="AS94:AW95"/>
    <mergeCell ref="AL96:AP96"/>
    <mergeCell ref="AS96:AW96"/>
    <mergeCell ref="AX94:BB95"/>
    <mergeCell ref="BC94:BG95"/>
    <mergeCell ref="AX96:BB96"/>
    <mergeCell ref="BC96:BG96"/>
    <mergeCell ref="BH96:BL96"/>
    <mergeCell ref="AB96:AF96"/>
    <mergeCell ref="AA99:AF99"/>
    <mergeCell ref="BB47:BD48"/>
    <mergeCell ref="BE47:BH48"/>
    <mergeCell ref="Y47:AB48"/>
    <mergeCell ref="AC47:AF48"/>
    <mergeCell ref="AH47:AO48"/>
    <mergeCell ref="AP47:AR48"/>
    <mergeCell ref="AS47:AU48"/>
    <mergeCell ref="AV47:AX48"/>
    <mergeCell ref="AY47:BA48"/>
    <mergeCell ref="B37:I38"/>
    <mergeCell ref="J37:L38"/>
    <mergeCell ref="M37:N38"/>
    <mergeCell ref="R37:Y38"/>
    <mergeCell ref="Z37:AA38"/>
    <mergeCell ref="AC37:AD38"/>
    <mergeCell ref="J39:M39"/>
    <mergeCell ref="AX40:BB41"/>
    <mergeCell ref="BC40:BG41"/>
    <mergeCell ref="BH40:BL41"/>
    <mergeCell ref="BI47:BL48"/>
    <mergeCell ref="B40:J41"/>
    <mergeCell ref="K40:U41"/>
    <mergeCell ref="V40:AA41"/>
    <mergeCell ref="AB40:AF41"/>
    <mergeCell ref="AG40:AI41"/>
    <mergeCell ref="AJ40:AR41"/>
    <mergeCell ref="AS40:AW41"/>
    <mergeCell ref="B43:BL44"/>
    <mergeCell ref="B45:D45"/>
    <mergeCell ref="AB42:AF42"/>
    <mergeCell ref="AG42:AI42"/>
    <mergeCell ref="AL42:AP42"/>
    <mergeCell ref="AS42:AW42"/>
    <mergeCell ref="AX42:BB42"/>
    <mergeCell ref="BC42:BG42"/>
    <mergeCell ref="BH42:BL42"/>
    <mergeCell ref="O37:Q38"/>
    <mergeCell ref="O39:Q39"/>
    <mergeCell ref="K42:S42"/>
    <mergeCell ref="T42:X42"/>
    <mergeCell ref="U46:X46"/>
    <mergeCell ref="Y46:AB46"/>
    <mergeCell ref="AC46:AF46"/>
    <mergeCell ref="Q46:T46"/>
    <mergeCell ref="B47:I48"/>
    <mergeCell ref="J47:L48"/>
    <mergeCell ref="M47:O48"/>
    <mergeCell ref="P47:R48"/>
    <mergeCell ref="S47:U48"/>
    <mergeCell ref="V47:X48"/>
    <mergeCell ref="BE51:BH51"/>
    <mergeCell ref="BI51:BL51"/>
    <mergeCell ref="AC51:AF51"/>
    <mergeCell ref="AH51:AO51"/>
    <mergeCell ref="AP51:AR51"/>
    <mergeCell ref="AS51:AU51"/>
    <mergeCell ref="AV51:AX51"/>
    <mergeCell ref="AY51:BA51"/>
    <mergeCell ref="BC51:BD51"/>
    <mergeCell ref="BE49:BH49"/>
    <mergeCell ref="BI49:BL49"/>
    <mergeCell ref="AC49:AF49"/>
    <mergeCell ref="AH49:AO49"/>
    <mergeCell ref="AP49:AR49"/>
    <mergeCell ref="AS49:AU49"/>
    <mergeCell ref="AV49:AX49"/>
    <mergeCell ref="AY49:BA49"/>
    <mergeCell ref="BC49:BD49"/>
    <mergeCell ref="B49:I49"/>
    <mergeCell ref="J49:L49"/>
    <mergeCell ref="M49:O49"/>
    <mergeCell ref="P49:R49"/>
    <mergeCell ref="S49:U49"/>
    <mergeCell ref="W49:X49"/>
    <mergeCell ref="Y49:AB49"/>
    <mergeCell ref="BE50:BH50"/>
    <mergeCell ref="BI50:BL50"/>
    <mergeCell ref="AC50:AF50"/>
    <mergeCell ref="AH50:AO50"/>
    <mergeCell ref="AP50:AR50"/>
    <mergeCell ref="AS50:AU50"/>
    <mergeCell ref="AV50:AX50"/>
    <mergeCell ref="AY50:BA50"/>
    <mergeCell ref="BC50:BD50"/>
    <mergeCell ref="B50:I50"/>
    <mergeCell ref="J50:L50"/>
    <mergeCell ref="M50:O50"/>
    <mergeCell ref="P50:R50"/>
    <mergeCell ref="S50:U50"/>
    <mergeCell ref="W50:X50"/>
    <mergeCell ref="Y50:AB50"/>
    <mergeCell ref="B51:I51"/>
    <mergeCell ref="J51:L51"/>
    <mergeCell ref="M51:O51"/>
    <mergeCell ref="P51:R51"/>
    <mergeCell ref="S51:U51"/>
    <mergeCell ref="W51:X51"/>
    <mergeCell ref="Y51:AB51"/>
    <mergeCell ref="BE54:BH54"/>
    <mergeCell ref="BI54:BL54"/>
    <mergeCell ref="AC54:AF54"/>
    <mergeCell ref="AH54:AO54"/>
    <mergeCell ref="AP54:AR54"/>
    <mergeCell ref="AS54:AU54"/>
    <mergeCell ref="AV54:AX54"/>
    <mergeCell ref="AY54:BA54"/>
    <mergeCell ref="BC54:BD54"/>
    <mergeCell ref="BE52:BH52"/>
    <mergeCell ref="BI52:BL52"/>
    <mergeCell ref="AC52:AF52"/>
    <mergeCell ref="AH52:AO52"/>
    <mergeCell ref="AP52:AR52"/>
    <mergeCell ref="AS52:AU52"/>
    <mergeCell ref="AV52:AX52"/>
    <mergeCell ref="AY52:BA52"/>
    <mergeCell ref="BC52:BD52"/>
    <mergeCell ref="B52:I52"/>
    <mergeCell ref="J52:L52"/>
    <mergeCell ref="M52:O52"/>
    <mergeCell ref="P52:R52"/>
    <mergeCell ref="S52:U52"/>
    <mergeCell ref="W52:X52"/>
    <mergeCell ref="Y52:AB52"/>
    <mergeCell ref="BE53:BH53"/>
    <mergeCell ref="BI53:BL53"/>
    <mergeCell ref="AC53:AF53"/>
    <mergeCell ref="AH53:AO53"/>
    <mergeCell ref="AP53:AR53"/>
    <mergeCell ref="AS53:AU53"/>
    <mergeCell ref="AV53:AX53"/>
    <mergeCell ref="AY53:BA53"/>
    <mergeCell ref="BC53:BD53"/>
    <mergeCell ref="B53:I53"/>
    <mergeCell ref="J53:L53"/>
    <mergeCell ref="M53:O53"/>
    <mergeCell ref="P53:R53"/>
    <mergeCell ref="S53:U53"/>
    <mergeCell ref="W53:X53"/>
    <mergeCell ref="Y53:AB53"/>
    <mergeCell ref="B54:I54"/>
    <mergeCell ref="J54:L54"/>
    <mergeCell ref="M54:O54"/>
    <mergeCell ref="P54:R54"/>
    <mergeCell ref="S54:U54"/>
    <mergeCell ref="W54:X54"/>
    <mergeCell ref="Y54:AB54"/>
    <mergeCell ref="BE57:BH57"/>
    <mergeCell ref="BI57:BL57"/>
    <mergeCell ref="AC57:AF57"/>
    <mergeCell ref="AH57:AO57"/>
    <mergeCell ref="AP57:AR57"/>
    <mergeCell ref="AS57:AU57"/>
    <mergeCell ref="AV57:AX57"/>
    <mergeCell ref="AY57:BA57"/>
    <mergeCell ref="BC57:BD57"/>
    <mergeCell ref="BE55:BH55"/>
    <mergeCell ref="BI55:BL55"/>
    <mergeCell ref="AC55:AF55"/>
    <mergeCell ref="AH55:AO55"/>
    <mergeCell ref="AP55:AR55"/>
    <mergeCell ref="AS55:AU55"/>
    <mergeCell ref="AV55:AX55"/>
    <mergeCell ref="AY55:BA55"/>
    <mergeCell ref="BC55:BD55"/>
    <mergeCell ref="B55:I55"/>
    <mergeCell ref="J55:L55"/>
    <mergeCell ref="M55:O55"/>
    <mergeCell ref="P55:R55"/>
    <mergeCell ref="S55:U55"/>
    <mergeCell ref="W55:X55"/>
    <mergeCell ref="Y55:AB55"/>
    <mergeCell ref="BE56:BH56"/>
    <mergeCell ref="BI56:BL56"/>
    <mergeCell ref="AC56:AF56"/>
    <mergeCell ref="AH56:AO56"/>
    <mergeCell ref="AP56:AR56"/>
    <mergeCell ref="AS56:AU56"/>
    <mergeCell ref="AV56:AX56"/>
    <mergeCell ref="AY56:BA56"/>
    <mergeCell ref="BC56:BD56"/>
    <mergeCell ref="B56:I56"/>
    <mergeCell ref="J56:L56"/>
    <mergeCell ref="M56:O56"/>
    <mergeCell ref="P56:R56"/>
    <mergeCell ref="S56:U56"/>
    <mergeCell ref="W56:X56"/>
    <mergeCell ref="Y56:AB56"/>
    <mergeCell ref="B57:I57"/>
    <mergeCell ref="J57:L57"/>
    <mergeCell ref="M57:O57"/>
    <mergeCell ref="P57:R57"/>
    <mergeCell ref="S57:U57"/>
    <mergeCell ref="W57:X57"/>
    <mergeCell ref="Y57:AB57"/>
    <mergeCell ref="BE60:BH60"/>
    <mergeCell ref="BI60:BL60"/>
    <mergeCell ref="AC60:AF60"/>
    <mergeCell ref="AH60:AO60"/>
    <mergeCell ref="AP60:AR60"/>
    <mergeCell ref="AS60:AU60"/>
    <mergeCell ref="AV60:AX60"/>
    <mergeCell ref="AY60:BA60"/>
    <mergeCell ref="BC60:BD60"/>
    <mergeCell ref="BE58:BH58"/>
    <mergeCell ref="BI58:BL58"/>
    <mergeCell ref="AC58:AF58"/>
    <mergeCell ref="AH58:AO58"/>
    <mergeCell ref="AP58:AR58"/>
    <mergeCell ref="AS58:AU58"/>
    <mergeCell ref="AV58:AX58"/>
    <mergeCell ref="AY58:BA58"/>
    <mergeCell ref="BC58:BD58"/>
    <mergeCell ref="B58:I58"/>
    <mergeCell ref="J58:L58"/>
    <mergeCell ref="M58:O58"/>
    <mergeCell ref="P58:R58"/>
    <mergeCell ref="S58:U58"/>
    <mergeCell ref="W58:X58"/>
    <mergeCell ref="Y58:AB58"/>
    <mergeCell ref="BE59:BH59"/>
    <mergeCell ref="BI59:BL59"/>
    <mergeCell ref="AC59:AF59"/>
    <mergeCell ref="AH59:AO59"/>
    <mergeCell ref="AP59:AR59"/>
    <mergeCell ref="AS59:AU59"/>
    <mergeCell ref="AV59:AX59"/>
    <mergeCell ref="AY59:BA59"/>
    <mergeCell ref="BC59:BD59"/>
    <mergeCell ref="B59:I59"/>
    <mergeCell ref="J59:L59"/>
    <mergeCell ref="M59:O59"/>
    <mergeCell ref="P59:R59"/>
    <mergeCell ref="S59:U59"/>
    <mergeCell ref="W59:X59"/>
    <mergeCell ref="Y59:AB59"/>
    <mergeCell ref="B60:I60"/>
    <mergeCell ref="J60:L60"/>
    <mergeCell ref="M60:O60"/>
    <mergeCell ref="P60:R60"/>
    <mergeCell ref="S60:U60"/>
    <mergeCell ref="W60:X60"/>
    <mergeCell ref="Y60:AB60"/>
    <mergeCell ref="BE74:BH74"/>
    <mergeCell ref="BI74:BL74"/>
    <mergeCell ref="AC74:AF74"/>
    <mergeCell ref="AH74:AO74"/>
    <mergeCell ref="AP74:AR74"/>
    <mergeCell ref="AS74:AU74"/>
    <mergeCell ref="AV74:AX74"/>
    <mergeCell ref="AY74:BA74"/>
    <mergeCell ref="BC74:BD74"/>
    <mergeCell ref="BE72:BH72"/>
    <mergeCell ref="BI72:BL72"/>
    <mergeCell ref="AC72:AF72"/>
    <mergeCell ref="AH72:AO72"/>
    <mergeCell ref="AP72:AR72"/>
    <mergeCell ref="AS72:AU72"/>
    <mergeCell ref="AV72:AX72"/>
    <mergeCell ref="AY72:BA72"/>
    <mergeCell ref="BC72:BD72"/>
    <mergeCell ref="B72:I72"/>
    <mergeCell ref="J72:L72"/>
    <mergeCell ref="M72:O72"/>
    <mergeCell ref="P72:R72"/>
    <mergeCell ref="S72:U72"/>
    <mergeCell ref="W72:X72"/>
    <mergeCell ref="Y72:AB72"/>
    <mergeCell ref="BE73:BH73"/>
    <mergeCell ref="BI73:BL73"/>
    <mergeCell ref="AC73:AF73"/>
    <mergeCell ref="AH73:AO73"/>
    <mergeCell ref="AP73:AR73"/>
    <mergeCell ref="AS73:AU73"/>
    <mergeCell ref="AV73:AX73"/>
    <mergeCell ref="AY73:BA73"/>
    <mergeCell ref="BC73:BD73"/>
    <mergeCell ref="B73:I73"/>
    <mergeCell ref="J73:L73"/>
    <mergeCell ref="M73:O73"/>
    <mergeCell ref="P73:R73"/>
    <mergeCell ref="S73:U73"/>
    <mergeCell ref="W73:X73"/>
    <mergeCell ref="Y73:AB73"/>
    <mergeCell ref="B74:I74"/>
    <mergeCell ref="J74:L74"/>
    <mergeCell ref="M74:O74"/>
    <mergeCell ref="P74:R74"/>
    <mergeCell ref="S74:U74"/>
    <mergeCell ref="W74:X74"/>
    <mergeCell ref="Y74:AB74"/>
    <mergeCell ref="BE77:BH77"/>
    <mergeCell ref="BI77:BL77"/>
    <mergeCell ref="AC77:AF77"/>
    <mergeCell ref="AH77:AO77"/>
    <mergeCell ref="AP77:AR77"/>
    <mergeCell ref="AS77:AU77"/>
    <mergeCell ref="AV77:AX77"/>
    <mergeCell ref="AY77:BA77"/>
    <mergeCell ref="BC77:BD77"/>
    <mergeCell ref="BE75:BH75"/>
    <mergeCell ref="BI75:BL75"/>
    <mergeCell ref="AC75:AF75"/>
    <mergeCell ref="AH75:AO75"/>
    <mergeCell ref="AP75:AR75"/>
    <mergeCell ref="AS75:AU75"/>
    <mergeCell ref="AV75:AX75"/>
    <mergeCell ref="AY75:BA75"/>
    <mergeCell ref="BC75:BD75"/>
    <mergeCell ref="B75:I75"/>
    <mergeCell ref="J75:L75"/>
    <mergeCell ref="M75:O75"/>
    <mergeCell ref="P75:R75"/>
    <mergeCell ref="S75:U75"/>
    <mergeCell ref="W75:X75"/>
    <mergeCell ref="Y75:AB75"/>
    <mergeCell ref="BE76:BH76"/>
    <mergeCell ref="BI76:BL76"/>
    <mergeCell ref="AC76:AF76"/>
    <mergeCell ref="AH76:AO76"/>
    <mergeCell ref="AP76:AR76"/>
    <mergeCell ref="AS76:AU76"/>
    <mergeCell ref="AV76:AX76"/>
    <mergeCell ref="AY76:BA76"/>
    <mergeCell ref="BC76:BD76"/>
    <mergeCell ref="B76:I76"/>
    <mergeCell ref="J76:L76"/>
    <mergeCell ref="M76:O76"/>
    <mergeCell ref="P76:R76"/>
    <mergeCell ref="S76:U76"/>
    <mergeCell ref="W76:X76"/>
    <mergeCell ref="Y76:AB76"/>
    <mergeCell ref="B77:I77"/>
    <mergeCell ref="J77:L77"/>
    <mergeCell ref="M77:O77"/>
    <mergeCell ref="P77:R77"/>
    <mergeCell ref="S77:U77"/>
    <mergeCell ref="W77:X77"/>
    <mergeCell ref="Y77:AB77"/>
  </mergeCells>
  <conditionalFormatting sqref="AR18:BL18">
    <cfRule type="cellIs" dxfId="1" priority="1" operator="greaterThan">
      <formula>40</formula>
    </cfRule>
  </conditionalFormatting>
  <conditionalFormatting sqref="BF12:BI12">
    <cfRule type="cellIs" dxfId="2" priority="2" operator="greaterThan">
      <formula>SUM(AR15:BL15)</formula>
    </cfRule>
  </conditionalFormatting>
  <conditionalFormatting sqref="BF12:BI12">
    <cfRule type="cellIs" dxfId="3" priority="3" operator="lessThan">
      <formula>SUM(AR15:BL15)</formula>
    </cfRule>
  </conditionalFormatting>
  <conditionalFormatting sqref="U46:X46">
    <cfRule type="cellIs" dxfId="3" priority="4" operator="greaterThan">
      <formula>SUM(Q24:U25)</formula>
    </cfRule>
  </conditionalFormatting>
  <conditionalFormatting sqref="AL64:AO64">
    <cfRule type="cellIs" dxfId="4" priority="5" operator="greaterThanOrEqual">
      <formula>300</formula>
    </cfRule>
  </conditionalFormatting>
  <conditionalFormatting sqref="AC46:AF46">
    <cfRule type="cellIs" dxfId="4" priority="6" operator="greaterThanOrEqual">
      <formula>400</formula>
    </cfRule>
  </conditionalFormatting>
  <conditionalFormatting sqref="AA24:AE25">
    <cfRule type="cellIs" dxfId="5" priority="7" operator="lessThan">
      <formula>0.001</formula>
    </cfRule>
  </conditionalFormatting>
  <conditionalFormatting sqref="V49:X86">
    <cfRule type="cellIs" dxfId="6" priority="8" operator="greaterThan">
      <formula>60</formula>
    </cfRule>
  </conditionalFormatting>
  <conditionalFormatting sqref="V49:X86">
    <cfRule type="cellIs" dxfId="6" priority="9" operator="greaterThan">
      <formula>60</formula>
    </cfRule>
  </conditionalFormatting>
  <conditionalFormatting sqref="V49:X86">
    <cfRule type="cellIs" dxfId="6" priority="10" operator="greaterThan">
      <formula>60</formula>
    </cfRule>
  </conditionalFormatting>
  <conditionalFormatting sqref="V49:X86">
    <cfRule type="cellIs" dxfId="6" priority="11" operator="greaterThan">
      <formula>60</formula>
    </cfRule>
  </conditionalFormatting>
  <dataValidations>
    <dataValidation type="list" allowBlank="1" showErrorMessage="1" sqref="AW21">
      <formula1>"Novice,Practicing,Master"</formula1>
    </dataValidation>
    <dataValidation type="list" allowBlank="1" sqref="V40 V88 V94">
      <formula1>"Beams,Blades,Clubs,ExMelee,ExRanged,Kinetics,Seekers,Sprayers,Thrown,Unarmed"</formula1>
    </dataValidation>
    <dataValidation type="list" allowBlank="1" showErrorMessage="1" sqref="AP49:AP62 J49:J86 AP67:AP86">
      <formula1>"COG,COO,INT,REF,SAV,SOM,WILL"</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64" width="2.75"/>
  </cols>
  <sheetData>
    <row r="1" ht="15.0" customHeight="1">
      <c r="A1" s="241"/>
      <c r="B1" s="260"/>
      <c r="C1" s="260"/>
      <c r="D1" s="260"/>
      <c r="E1" s="260"/>
      <c r="F1" s="260"/>
      <c r="G1" s="260"/>
      <c r="H1" s="260"/>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2"/>
      <c r="AH1" s="241"/>
      <c r="AI1" s="263"/>
      <c r="AJ1" s="263"/>
      <c r="AK1" s="263"/>
      <c r="AL1" s="263"/>
      <c r="AM1" s="263"/>
      <c r="AN1" s="263"/>
      <c r="AO1" s="263"/>
      <c r="AP1" s="261"/>
      <c r="AQ1" s="261"/>
      <c r="AR1" s="261"/>
      <c r="AS1" s="261"/>
      <c r="AT1" s="261"/>
      <c r="AU1" s="261"/>
      <c r="AV1" s="261"/>
      <c r="AW1" s="261"/>
      <c r="AX1" s="261"/>
      <c r="AY1" s="261"/>
      <c r="AZ1" s="261"/>
      <c r="BA1" s="261"/>
      <c r="BB1" s="261"/>
      <c r="BC1" s="261"/>
      <c r="BD1" s="261"/>
      <c r="BE1" s="261"/>
      <c r="BF1" s="261"/>
      <c r="BG1" s="261"/>
      <c r="BH1" s="261"/>
      <c r="BI1" s="261"/>
      <c r="BJ1" s="261"/>
      <c r="BK1" s="261"/>
      <c r="BL1" s="261"/>
    </row>
    <row r="2" ht="15.0" customHeight="1">
      <c r="B2" s="264" t="s">
        <v>1</v>
      </c>
      <c r="C2" s="3"/>
      <c r="D2" s="3"/>
      <c r="E2" s="3"/>
      <c r="F2" s="3"/>
      <c r="G2" s="3"/>
      <c r="H2" s="3"/>
      <c r="I2" s="29" t="str">
        <f>'Front Page'!I3</f>
        <v>Aranaea</v>
      </c>
      <c r="J2" s="3"/>
      <c r="K2" s="3"/>
      <c r="L2" s="3"/>
      <c r="M2" s="3"/>
      <c r="N2" s="3"/>
      <c r="O2" s="3"/>
      <c r="P2" s="3"/>
      <c r="Q2" s="3"/>
      <c r="R2" s="3"/>
      <c r="S2" s="3"/>
      <c r="T2" s="3"/>
      <c r="U2" s="3"/>
      <c r="V2" s="3"/>
      <c r="W2" s="3"/>
      <c r="X2" s="3"/>
      <c r="Y2" s="3"/>
      <c r="Z2" s="3"/>
      <c r="AA2" s="3"/>
      <c r="AB2" s="3"/>
      <c r="AC2" s="3"/>
      <c r="AD2" s="3"/>
      <c r="AE2" s="3"/>
      <c r="AF2" s="5"/>
      <c r="AG2" s="7"/>
      <c r="AI2" s="8" t="s">
        <v>3</v>
      </c>
      <c r="AJ2" s="3"/>
      <c r="AK2" s="3"/>
      <c r="AL2" s="3"/>
      <c r="AM2" s="3"/>
      <c r="AN2" s="3"/>
      <c r="AO2" s="3"/>
      <c r="AP2" s="29" t="str">
        <f>'Front Page'!AP3</f>
        <v/>
      </c>
      <c r="AQ2" s="3"/>
      <c r="AR2" s="3"/>
      <c r="AS2" s="3"/>
      <c r="AT2" s="3"/>
      <c r="AU2" s="3"/>
      <c r="AV2" s="3"/>
      <c r="AW2" s="3"/>
      <c r="AX2" s="3"/>
      <c r="AY2" s="3"/>
      <c r="AZ2" s="3"/>
      <c r="BA2" s="3"/>
      <c r="BB2" s="3"/>
      <c r="BC2" s="3"/>
      <c r="BD2" s="3"/>
      <c r="BE2" s="3"/>
      <c r="BF2" s="3"/>
      <c r="BG2" s="3"/>
      <c r="BH2" s="3"/>
      <c r="BI2" s="3"/>
      <c r="BJ2" s="3"/>
      <c r="BK2" s="3"/>
      <c r="BL2" s="3"/>
    </row>
    <row r="3" ht="15.0" customHeight="1">
      <c r="B3" s="13"/>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2"/>
      <c r="AG3" s="7"/>
      <c r="AI3" s="13"/>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row>
    <row r="4" ht="15.0" customHeight="1">
      <c r="A4" s="98" t="s">
        <v>173</v>
      </c>
      <c r="F4" s="97" t="s">
        <v>174</v>
      </c>
      <c r="I4" s="265" t="s">
        <v>175</v>
      </c>
      <c r="J4" s="17"/>
      <c r="K4" s="17"/>
      <c r="L4" s="17"/>
      <c r="M4" s="17"/>
      <c r="N4" s="17"/>
      <c r="O4" s="17"/>
      <c r="P4" s="17"/>
      <c r="Q4" s="266" t="s">
        <v>176</v>
      </c>
      <c r="R4" s="3"/>
      <c r="S4" s="3"/>
      <c r="T4" s="267">
        <v>50.0</v>
      </c>
      <c r="U4" s="168"/>
      <c r="V4" s="97" t="s">
        <v>174</v>
      </c>
      <c r="Y4" s="265" t="s">
        <v>175</v>
      </c>
      <c r="Z4" s="17"/>
      <c r="AA4" s="17"/>
      <c r="AB4" s="17"/>
      <c r="AC4" s="17"/>
      <c r="AD4" s="17"/>
      <c r="AE4" s="17"/>
      <c r="AF4" s="17"/>
      <c r="AG4" s="7"/>
      <c r="AI4" s="26" t="s">
        <v>177</v>
      </c>
      <c r="AP4" s="21" t="s">
        <v>7</v>
      </c>
    </row>
    <row r="5" ht="15.0" customHeight="1">
      <c r="A5" s="133">
        <f>SUM(F5+F8+F11+F14+V5+V8+V11+V14)-(T4+U16)</f>
        <v>-50</v>
      </c>
      <c r="B5" s="268" t="s">
        <v>178</v>
      </c>
      <c r="C5" s="3"/>
      <c r="D5" s="3"/>
      <c r="E5" s="3"/>
      <c r="F5" s="269"/>
      <c r="G5" s="3"/>
      <c r="H5" s="5"/>
      <c r="I5" s="270"/>
      <c r="J5" s="3"/>
      <c r="K5" s="3"/>
      <c r="L5" s="3"/>
      <c r="M5" s="3"/>
      <c r="N5" s="3"/>
      <c r="O5" s="3"/>
      <c r="P5" s="5"/>
      <c r="R5" s="268" t="s">
        <v>179</v>
      </c>
      <c r="S5" s="3"/>
      <c r="T5" s="3"/>
      <c r="U5" s="3"/>
      <c r="V5" s="269"/>
      <c r="W5" s="3"/>
      <c r="X5" s="5"/>
      <c r="Y5" s="270"/>
      <c r="Z5" s="3"/>
      <c r="AA5" s="3"/>
      <c r="AB5" s="3"/>
      <c r="AC5" s="3"/>
      <c r="AD5" s="3"/>
      <c r="AE5" s="3"/>
      <c r="AF5" s="5"/>
      <c r="AG5" s="7"/>
    </row>
    <row r="6" ht="15.0" customHeight="1">
      <c r="A6" s="133">
        <f>IF(A5&lt;0,0,A5/10)</f>
        <v>0</v>
      </c>
      <c r="B6" s="13"/>
      <c r="C6" s="11"/>
      <c r="D6" s="11"/>
      <c r="E6" s="11"/>
      <c r="F6" s="13"/>
      <c r="G6" s="11"/>
      <c r="H6" s="12"/>
      <c r="I6" s="13"/>
      <c r="J6" s="11"/>
      <c r="K6" s="11"/>
      <c r="L6" s="11"/>
      <c r="M6" s="11"/>
      <c r="N6" s="11"/>
      <c r="O6" s="11"/>
      <c r="P6" s="12"/>
      <c r="R6" s="13"/>
      <c r="S6" s="11"/>
      <c r="T6" s="11"/>
      <c r="U6" s="11"/>
      <c r="V6" s="13"/>
      <c r="W6" s="11"/>
      <c r="X6" s="12"/>
      <c r="Y6" s="13"/>
      <c r="Z6" s="11"/>
      <c r="AA6" s="11"/>
      <c r="AB6" s="11"/>
      <c r="AC6" s="11"/>
      <c r="AD6" s="11"/>
      <c r="AE6" s="11"/>
      <c r="AF6" s="12"/>
      <c r="AG6" s="7"/>
      <c r="AI6" s="271" t="s">
        <v>180</v>
      </c>
    </row>
    <row r="7" ht="15.0" customHeight="1">
      <c r="A7" s="133">
        <f>Y77</f>
        <v>45</v>
      </c>
      <c r="B7" s="272"/>
      <c r="C7" s="272"/>
      <c r="D7" s="272"/>
      <c r="E7" s="272"/>
      <c r="F7" s="17"/>
      <c r="G7" s="17"/>
      <c r="H7" s="17"/>
      <c r="I7" s="17"/>
      <c r="J7" s="17"/>
      <c r="K7" s="17"/>
      <c r="L7" s="17"/>
      <c r="M7" s="17"/>
      <c r="N7" s="17"/>
      <c r="O7" s="17"/>
      <c r="R7" s="272"/>
      <c r="S7" s="272"/>
      <c r="T7" s="272"/>
      <c r="U7" s="272"/>
      <c r="V7" s="17"/>
      <c r="W7" s="17"/>
      <c r="X7" s="17"/>
      <c r="Y7" s="17"/>
      <c r="Z7" s="17"/>
      <c r="AA7" s="17"/>
      <c r="AB7" s="17"/>
      <c r="AC7" s="17"/>
      <c r="AD7" s="17"/>
      <c r="AE7" s="17"/>
      <c r="AG7" s="7"/>
    </row>
    <row r="8" ht="15.0" customHeight="1">
      <c r="A8" s="133">
        <f>SUM(AD17:AE50)</f>
        <v>10</v>
      </c>
      <c r="B8" s="268" t="s">
        <v>181</v>
      </c>
      <c r="C8" s="3"/>
      <c r="D8" s="3"/>
      <c r="E8" s="3"/>
      <c r="F8" s="269"/>
      <c r="G8" s="3"/>
      <c r="H8" s="5"/>
      <c r="I8" s="270"/>
      <c r="J8" s="3"/>
      <c r="K8" s="3"/>
      <c r="L8" s="3"/>
      <c r="M8" s="3"/>
      <c r="N8" s="3"/>
      <c r="O8" s="3"/>
      <c r="P8" s="5"/>
      <c r="R8" s="268" t="s">
        <v>182</v>
      </c>
      <c r="S8" s="3"/>
      <c r="T8" s="3"/>
      <c r="U8" s="3"/>
      <c r="V8" s="270"/>
      <c r="W8" s="3"/>
      <c r="X8" s="5"/>
      <c r="Y8" s="270"/>
      <c r="Z8" s="3"/>
      <c r="AA8" s="3"/>
      <c r="AB8" s="3"/>
      <c r="AC8" s="3"/>
      <c r="AD8" s="3"/>
      <c r="AE8" s="3"/>
      <c r="AF8" s="5"/>
      <c r="AG8" s="7"/>
      <c r="BI8" s="97" t="s">
        <v>183</v>
      </c>
    </row>
    <row r="9" ht="15.0" customHeight="1">
      <c r="A9" s="133">
        <f>SUM(BK9:BL50)</f>
        <v>0</v>
      </c>
      <c r="B9" s="13"/>
      <c r="C9" s="11"/>
      <c r="D9" s="11"/>
      <c r="E9" s="11"/>
      <c r="F9" s="13"/>
      <c r="G9" s="11"/>
      <c r="H9" s="12"/>
      <c r="I9" s="13"/>
      <c r="J9" s="11"/>
      <c r="K9" s="11"/>
      <c r="L9" s="11"/>
      <c r="M9" s="11"/>
      <c r="N9" s="11"/>
      <c r="O9" s="11"/>
      <c r="P9" s="12"/>
      <c r="R9" s="13"/>
      <c r="S9" s="11"/>
      <c r="T9" s="11"/>
      <c r="U9" s="11"/>
      <c r="V9" s="13"/>
      <c r="W9" s="11"/>
      <c r="X9" s="12"/>
      <c r="Y9" s="13"/>
      <c r="Z9" s="11"/>
      <c r="AA9" s="11"/>
      <c r="AB9" s="11"/>
      <c r="AC9" s="11"/>
      <c r="AD9" s="11"/>
      <c r="AE9" s="11"/>
      <c r="AF9" s="12"/>
      <c r="AG9" s="7"/>
      <c r="AI9" s="264" t="s">
        <v>184</v>
      </c>
      <c r="AJ9" s="3"/>
      <c r="AK9" s="3"/>
      <c r="AL9" s="3"/>
      <c r="AM9" s="3"/>
      <c r="AN9" s="3"/>
      <c r="AO9" s="3"/>
      <c r="AP9" s="3"/>
      <c r="AQ9" s="3"/>
      <c r="AR9" s="3"/>
      <c r="AS9" s="3"/>
      <c r="AT9" s="273"/>
      <c r="AU9" s="3"/>
      <c r="AV9" s="3"/>
      <c r="AW9" s="3"/>
      <c r="AX9" s="3"/>
      <c r="AY9" s="3"/>
      <c r="AZ9" s="3"/>
      <c r="BA9" s="3"/>
      <c r="BB9" s="3"/>
      <c r="BC9" s="3"/>
      <c r="BD9" s="3"/>
      <c r="BE9" s="3"/>
      <c r="BF9" s="3"/>
      <c r="BG9" s="3"/>
      <c r="BH9" s="3"/>
      <c r="BI9" s="3"/>
      <c r="BJ9" s="3"/>
      <c r="BK9" s="274"/>
      <c r="BL9" s="3"/>
    </row>
    <row r="10" ht="15.0" customHeight="1">
      <c r="A10" s="133">
        <f>SUM(BK54:BL71)</f>
        <v>0</v>
      </c>
      <c r="B10" s="272"/>
      <c r="C10" s="272"/>
      <c r="D10" s="272"/>
      <c r="E10" s="272"/>
      <c r="F10" s="17"/>
      <c r="G10" s="17"/>
      <c r="H10" s="17"/>
      <c r="I10" s="17"/>
      <c r="J10" s="17"/>
      <c r="K10" s="17"/>
      <c r="L10" s="17"/>
      <c r="M10" s="17"/>
      <c r="N10" s="17"/>
      <c r="O10" s="17"/>
      <c r="R10" s="272"/>
      <c r="S10" s="272"/>
      <c r="T10" s="272"/>
      <c r="U10" s="272"/>
      <c r="V10" s="17"/>
      <c r="W10" s="17"/>
      <c r="X10" s="17"/>
      <c r="Y10" s="17"/>
      <c r="Z10" s="17"/>
      <c r="AA10" s="17"/>
      <c r="AB10" s="17"/>
      <c r="AC10" s="17"/>
      <c r="AD10" s="17"/>
      <c r="AE10" s="17"/>
      <c r="AG10" s="7"/>
      <c r="AI10" s="6"/>
      <c r="AT10" s="11"/>
      <c r="AU10" s="11"/>
      <c r="AV10" s="11"/>
      <c r="AW10" s="11"/>
      <c r="AX10" s="11"/>
      <c r="AY10" s="11"/>
      <c r="AZ10" s="11"/>
      <c r="BA10" s="11"/>
      <c r="BB10" s="11"/>
      <c r="BC10" s="11"/>
      <c r="BD10" s="11"/>
      <c r="BE10" s="11"/>
      <c r="BF10" s="11"/>
      <c r="BG10" s="11"/>
      <c r="BH10" s="11"/>
      <c r="BI10" s="11"/>
      <c r="BJ10" s="11"/>
      <c r="BK10" s="13"/>
      <c r="BL10" s="11"/>
    </row>
    <row r="11" ht="15.0" customHeight="1">
      <c r="A11" s="133">
        <f>SUM(BG103:BL116)</f>
        <v>0</v>
      </c>
      <c r="B11" s="268" t="s">
        <v>185</v>
      </c>
      <c r="C11" s="3"/>
      <c r="D11" s="3"/>
      <c r="E11" s="3"/>
      <c r="F11" s="269"/>
      <c r="G11" s="3"/>
      <c r="H11" s="5"/>
      <c r="I11" s="270"/>
      <c r="J11" s="3"/>
      <c r="K11" s="3"/>
      <c r="L11" s="3"/>
      <c r="M11" s="3"/>
      <c r="N11" s="3"/>
      <c r="O11" s="3"/>
      <c r="P11" s="5"/>
      <c r="R11" s="268" t="s">
        <v>186</v>
      </c>
      <c r="S11" s="3"/>
      <c r="T11" s="3"/>
      <c r="U11" s="3"/>
      <c r="V11" s="269"/>
      <c r="W11" s="3"/>
      <c r="X11" s="5"/>
      <c r="Y11" s="270"/>
      <c r="Z11" s="3"/>
      <c r="AA11" s="3"/>
      <c r="AB11" s="3"/>
      <c r="AC11" s="3"/>
      <c r="AD11" s="3"/>
      <c r="AE11" s="3"/>
      <c r="AF11" s="5"/>
      <c r="AG11" s="7"/>
      <c r="AI11" s="275"/>
      <c r="BJ11" s="49"/>
      <c r="BK11" s="276"/>
      <c r="BL11" s="3"/>
    </row>
    <row r="12" ht="15.0" customHeight="1">
      <c r="A12" s="133">
        <f>SUM(A6:A10)</f>
        <v>55</v>
      </c>
      <c r="B12" s="13"/>
      <c r="C12" s="11"/>
      <c r="D12" s="11"/>
      <c r="E12" s="11"/>
      <c r="F12" s="13"/>
      <c r="G12" s="11"/>
      <c r="H12" s="12"/>
      <c r="I12" s="13"/>
      <c r="J12" s="11"/>
      <c r="K12" s="11"/>
      <c r="L12" s="11"/>
      <c r="M12" s="11"/>
      <c r="N12" s="11"/>
      <c r="O12" s="11"/>
      <c r="P12" s="12"/>
      <c r="R12" s="13"/>
      <c r="S12" s="11"/>
      <c r="T12" s="11"/>
      <c r="U12" s="11"/>
      <c r="V12" s="13"/>
      <c r="W12" s="11"/>
      <c r="X12" s="12"/>
      <c r="Y12" s="13"/>
      <c r="Z12" s="11"/>
      <c r="AA12" s="11"/>
      <c r="AB12" s="11"/>
      <c r="AC12" s="11"/>
      <c r="AD12" s="11"/>
      <c r="AE12" s="11"/>
      <c r="AF12" s="12"/>
      <c r="AG12" s="7"/>
      <c r="AI12" s="13"/>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2"/>
      <c r="BK12" s="13"/>
      <c r="BL12" s="11"/>
    </row>
    <row r="13" ht="15.0" customHeight="1">
      <c r="B13" s="272"/>
      <c r="C13" s="272"/>
      <c r="D13" s="272"/>
      <c r="E13" s="272"/>
      <c r="F13" s="17"/>
      <c r="G13" s="17"/>
      <c r="H13" s="17"/>
      <c r="I13" s="17"/>
      <c r="J13" s="17"/>
      <c r="K13" s="17"/>
      <c r="L13" s="17"/>
      <c r="M13" s="17"/>
      <c r="N13" s="17"/>
      <c r="O13" s="17"/>
      <c r="R13" s="272"/>
      <c r="S13" s="272"/>
      <c r="T13" s="272"/>
      <c r="U13" s="272"/>
      <c r="V13" s="17"/>
      <c r="W13" s="17"/>
      <c r="X13" s="17"/>
      <c r="Y13" s="3"/>
      <c r="Z13" s="3"/>
      <c r="AA13" s="3"/>
      <c r="AB13" s="3"/>
      <c r="AC13" s="3"/>
      <c r="AD13" s="3"/>
      <c r="AE13" s="3"/>
      <c r="AG13" s="7"/>
      <c r="AI13" s="277"/>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5"/>
      <c r="BK13" s="274"/>
      <c r="BL13" s="3"/>
    </row>
    <row r="14" ht="15.0" customHeight="1">
      <c r="B14" s="268" t="s">
        <v>187</v>
      </c>
      <c r="C14" s="3"/>
      <c r="D14" s="3"/>
      <c r="E14" s="3"/>
      <c r="F14" s="270"/>
      <c r="G14" s="3"/>
      <c r="H14" s="5"/>
      <c r="I14" s="270"/>
      <c r="J14" s="3"/>
      <c r="K14" s="3"/>
      <c r="L14" s="3"/>
      <c r="M14" s="3"/>
      <c r="N14" s="3"/>
      <c r="O14" s="3"/>
      <c r="P14" s="5"/>
      <c r="R14" s="268"/>
      <c r="S14" s="3"/>
      <c r="T14" s="3"/>
      <c r="U14" s="3"/>
      <c r="V14" s="270"/>
      <c r="W14" s="3"/>
      <c r="X14" s="5"/>
      <c r="Y14" s="270"/>
      <c r="Z14" s="3"/>
      <c r="AA14" s="3"/>
      <c r="AB14" s="3"/>
      <c r="AC14" s="3"/>
      <c r="AD14" s="3"/>
      <c r="AE14" s="3"/>
      <c r="AF14" s="5"/>
      <c r="AG14" s="7"/>
      <c r="AI14" s="13"/>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2"/>
      <c r="BK14" s="13"/>
      <c r="BL14" s="11"/>
    </row>
    <row r="15" ht="15.0" customHeight="1">
      <c r="B15" s="13"/>
      <c r="C15" s="11"/>
      <c r="D15" s="11"/>
      <c r="E15" s="11"/>
      <c r="F15" s="13"/>
      <c r="G15" s="11"/>
      <c r="H15" s="12"/>
      <c r="I15" s="13"/>
      <c r="J15" s="11"/>
      <c r="K15" s="11"/>
      <c r="L15" s="11"/>
      <c r="M15" s="11"/>
      <c r="N15" s="11"/>
      <c r="O15" s="11"/>
      <c r="P15" s="12"/>
      <c r="R15" s="13"/>
      <c r="S15" s="11"/>
      <c r="T15" s="11"/>
      <c r="U15" s="11"/>
      <c r="V15" s="13"/>
      <c r="W15" s="11"/>
      <c r="X15" s="12"/>
      <c r="Y15" s="13"/>
      <c r="Z15" s="11"/>
      <c r="AA15" s="11"/>
      <c r="AB15" s="11"/>
      <c r="AC15" s="11"/>
      <c r="AD15" s="11"/>
      <c r="AE15" s="11"/>
      <c r="AF15" s="12"/>
      <c r="AG15" s="7"/>
      <c r="AI15" s="275"/>
      <c r="BJ15" s="49"/>
      <c r="BK15" s="276"/>
      <c r="BL15" s="3"/>
    </row>
    <row r="16" ht="15.0" customHeight="1">
      <c r="F16" s="3"/>
      <c r="G16" s="3"/>
      <c r="H16" s="3"/>
      <c r="I16" s="3"/>
      <c r="J16" s="3"/>
      <c r="K16" s="3"/>
      <c r="L16" s="3"/>
      <c r="M16" s="3"/>
      <c r="N16" s="3"/>
      <c r="O16" s="3"/>
      <c r="Q16" s="266" t="s">
        <v>188</v>
      </c>
      <c r="R16" s="3"/>
      <c r="S16" s="3"/>
      <c r="T16" s="3"/>
      <c r="U16" s="278"/>
      <c r="V16" s="168"/>
      <c r="W16" s="3"/>
      <c r="X16" s="3"/>
      <c r="AB16" s="279" t="s">
        <v>183</v>
      </c>
      <c r="AG16" s="7"/>
      <c r="AI16" s="13"/>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2"/>
      <c r="BK16" s="13"/>
      <c r="BL16" s="11"/>
    </row>
    <row r="17" ht="15.0" customHeight="1">
      <c r="B17" s="280" t="s">
        <v>189</v>
      </c>
      <c r="C17" s="3"/>
      <c r="D17" s="3"/>
      <c r="E17" s="3"/>
      <c r="F17" s="3"/>
      <c r="G17" s="3"/>
      <c r="H17" s="3"/>
      <c r="I17" s="3"/>
      <c r="J17" s="3"/>
      <c r="K17" s="3"/>
      <c r="L17" s="281"/>
      <c r="M17" s="3"/>
      <c r="N17" s="3"/>
      <c r="O17" s="3"/>
      <c r="P17" s="3"/>
      <c r="Q17" s="3"/>
      <c r="R17" s="3"/>
      <c r="S17" s="3"/>
      <c r="T17" s="3"/>
      <c r="U17" s="3"/>
      <c r="V17" s="3"/>
      <c r="W17" s="3"/>
      <c r="X17" s="3"/>
      <c r="Y17" s="3"/>
      <c r="Z17" s="3"/>
      <c r="AA17" s="3"/>
      <c r="AB17" s="3"/>
      <c r="AC17" s="3"/>
      <c r="AD17" s="282"/>
      <c r="AE17" s="5"/>
      <c r="AG17" s="7"/>
      <c r="AI17" s="277"/>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5"/>
      <c r="BK17" s="274"/>
      <c r="BL17" s="3"/>
    </row>
    <row r="18" ht="15.0" customHeight="1">
      <c r="B18" s="6"/>
      <c r="L18" s="11"/>
      <c r="M18" s="11"/>
      <c r="N18" s="11"/>
      <c r="O18" s="11"/>
      <c r="P18" s="11"/>
      <c r="Q18" s="11"/>
      <c r="R18" s="11"/>
      <c r="S18" s="11"/>
      <c r="T18" s="11"/>
      <c r="U18" s="11"/>
      <c r="V18" s="11"/>
      <c r="W18" s="11"/>
      <c r="X18" s="11"/>
      <c r="Y18" s="11"/>
      <c r="Z18" s="11"/>
      <c r="AA18" s="11"/>
      <c r="AB18" s="11"/>
      <c r="AC18" s="11"/>
      <c r="AD18" s="13"/>
      <c r="AE18" s="12"/>
      <c r="AG18" s="7"/>
      <c r="AI18" s="13"/>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2"/>
      <c r="BK18" s="13"/>
      <c r="BL18" s="11"/>
    </row>
    <row r="19" ht="15.0" customHeight="1">
      <c r="B19" s="283" t="s">
        <v>190</v>
      </c>
      <c r="C19" s="3"/>
      <c r="D19" s="3"/>
      <c r="E19" s="3"/>
      <c r="F19" s="3"/>
      <c r="G19" s="3"/>
      <c r="H19" s="3"/>
      <c r="I19" s="3"/>
      <c r="J19" s="3"/>
      <c r="K19" s="3"/>
      <c r="L19" s="3"/>
      <c r="M19" s="3"/>
      <c r="N19" s="3"/>
      <c r="O19" s="3"/>
      <c r="P19" s="3"/>
      <c r="Q19" s="3"/>
      <c r="R19" s="3"/>
      <c r="S19" s="3"/>
      <c r="T19" s="3"/>
      <c r="U19" s="3"/>
      <c r="V19" s="3"/>
      <c r="W19" s="3"/>
      <c r="X19" s="3"/>
      <c r="Y19" s="3"/>
      <c r="Z19" s="3"/>
      <c r="AA19" s="3"/>
      <c r="AB19" s="3"/>
      <c r="AC19" s="5"/>
      <c r="AD19" s="284">
        <v>10.0</v>
      </c>
      <c r="AE19" s="5"/>
      <c r="AF19" s="6"/>
      <c r="AG19" s="7"/>
      <c r="AI19" s="275"/>
      <c r="BJ19" s="49"/>
      <c r="BK19" s="276"/>
      <c r="BL19" s="3"/>
    </row>
    <row r="20" ht="15.0" customHeight="1">
      <c r="B20" s="13"/>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2"/>
      <c r="AD20" s="13"/>
      <c r="AE20" s="12"/>
      <c r="AF20" s="6"/>
      <c r="AG20" s="7"/>
      <c r="AI20" s="13"/>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2"/>
      <c r="BK20" s="13"/>
      <c r="BL20" s="11"/>
    </row>
    <row r="21" ht="15.0" customHeight="1">
      <c r="A21" s="49"/>
      <c r="B21" s="285"/>
      <c r="C21" s="3"/>
      <c r="D21" s="3"/>
      <c r="E21" s="3"/>
      <c r="F21" s="3"/>
      <c r="G21" s="3"/>
      <c r="H21" s="3"/>
      <c r="I21" s="3"/>
      <c r="J21" s="3"/>
      <c r="K21" s="3"/>
      <c r="L21" s="3"/>
      <c r="M21" s="3"/>
      <c r="N21" s="3"/>
      <c r="O21" s="3"/>
      <c r="P21" s="3"/>
      <c r="Q21" s="3"/>
      <c r="R21" s="3"/>
      <c r="S21" s="3"/>
      <c r="T21" s="3"/>
      <c r="U21" s="3"/>
      <c r="V21" s="3"/>
      <c r="W21" s="3"/>
      <c r="X21" s="3"/>
      <c r="Y21" s="3"/>
      <c r="Z21" s="3"/>
      <c r="AA21" s="3"/>
      <c r="AB21" s="3"/>
      <c r="AC21" s="5"/>
      <c r="AD21" s="282"/>
      <c r="AE21" s="5"/>
      <c r="AF21" s="6"/>
      <c r="AG21" s="7"/>
      <c r="AI21" s="286"/>
      <c r="BJ21" s="49"/>
      <c r="BK21" s="274"/>
      <c r="BL21" s="3"/>
    </row>
    <row r="22" ht="15.0" customHeight="1">
      <c r="A22" s="49"/>
      <c r="B22" s="13"/>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2"/>
      <c r="AD22" s="13"/>
      <c r="AE22" s="12"/>
      <c r="AF22" s="6"/>
      <c r="AG22" s="7"/>
      <c r="AI22" s="13"/>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2"/>
      <c r="BK22" s="13"/>
      <c r="BL22" s="11"/>
    </row>
    <row r="23" ht="15.0" customHeight="1">
      <c r="A23" s="49"/>
      <c r="B23" s="283"/>
      <c r="C23" s="3"/>
      <c r="D23" s="3"/>
      <c r="E23" s="3"/>
      <c r="F23" s="3"/>
      <c r="G23" s="3"/>
      <c r="H23" s="3"/>
      <c r="I23" s="3"/>
      <c r="J23" s="3"/>
      <c r="K23" s="3"/>
      <c r="L23" s="3"/>
      <c r="M23" s="3"/>
      <c r="N23" s="3"/>
      <c r="O23" s="3"/>
      <c r="P23" s="3"/>
      <c r="Q23" s="3"/>
      <c r="R23" s="3"/>
      <c r="S23" s="3"/>
      <c r="T23" s="3"/>
      <c r="U23" s="3"/>
      <c r="V23" s="3"/>
      <c r="W23" s="3"/>
      <c r="X23" s="3"/>
      <c r="Y23" s="3"/>
      <c r="Z23" s="3"/>
      <c r="AA23" s="3"/>
      <c r="AB23" s="3"/>
      <c r="AC23" s="5"/>
      <c r="AD23" s="284"/>
      <c r="AE23" s="5"/>
      <c r="AF23" s="6"/>
      <c r="AG23" s="7"/>
      <c r="AI23" s="275"/>
      <c r="BJ23" s="49"/>
      <c r="BK23" s="276"/>
      <c r="BL23" s="3"/>
    </row>
    <row r="24" ht="15.0" customHeight="1">
      <c r="A24" s="49"/>
      <c r="B24" s="13"/>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2"/>
      <c r="AD24" s="13"/>
      <c r="AE24" s="12"/>
      <c r="AF24" s="6"/>
      <c r="AG24" s="7"/>
      <c r="AI24" s="13"/>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2"/>
      <c r="BK24" s="13"/>
      <c r="BL24" s="11"/>
    </row>
    <row r="25" ht="15.0" customHeight="1">
      <c r="A25" s="49"/>
      <c r="B25" s="281"/>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282"/>
      <c r="AE25" s="5"/>
      <c r="AF25" s="6"/>
      <c r="AG25" s="7"/>
      <c r="AI25" s="277"/>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5"/>
      <c r="BK25" s="274"/>
      <c r="BL25" s="3"/>
    </row>
    <row r="26" ht="15.0" customHeight="1">
      <c r="A26" s="49"/>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3"/>
      <c r="AE26" s="12"/>
      <c r="AF26" s="6"/>
      <c r="AG26" s="7"/>
      <c r="AI26" s="13"/>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2"/>
      <c r="BK26" s="13"/>
      <c r="BL26" s="11"/>
    </row>
    <row r="27" ht="15.0" customHeight="1">
      <c r="A27" s="49"/>
      <c r="B27" s="283"/>
      <c r="C27" s="3"/>
      <c r="D27" s="3"/>
      <c r="E27" s="3"/>
      <c r="F27" s="3"/>
      <c r="G27" s="3"/>
      <c r="H27" s="3"/>
      <c r="I27" s="3"/>
      <c r="J27" s="3"/>
      <c r="K27" s="3"/>
      <c r="L27" s="3"/>
      <c r="M27" s="3"/>
      <c r="N27" s="3"/>
      <c r="O27" s="3"/>
      <c r="P27" s="3"/>
      <c r="Q27" s="3"/>
      <c r="R27" s="3"/>
      <c r="S27" s="3"/>
      <c r="T27" s="3"/>
      <c r="U27" s="3"/>
      <c r="V27" s="3"/>
      <c r="W27" s="3"/>
      <c r="X27" s="3"/>
      <c r="Y27" s="3"/>
      <c r="Z27" s="3"/>
      <c r="AA27" s="3"/>
      <c r="AB27" s="3"/>
      <c r="AC27" s="5"/>
      <c r="AD27" s="284"/>
      <c r="AE27" s="5"/>
      <c r="AF27" s="6"/>
      <c r="AG27" s="7"/>
      <c r="AI27" s="275"/>
      <c r="BJ27" s="49"/>
      <c r="BK27" s="276"/>
      <c r="BL27" s="3"/>
    </row>
    <row r="28" ht="15.0" customHeight="1">
      <c r="A28" s="49"/>
      <c r="B28" s="13"/>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2"/>
      <c r="AD28" s="13"/>
      <c r="AE28" s="12"/>
      <c r="AF28" s="6"/>
      <c r="AG28" s="7"/>
      <c r="AI28" s="13"/>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2"/>
      <c r="BK28" s="13"/>
      <c r="BL28" s="11"/>
    </row>
    <row r="29" ht="15.0" customHeight="1">
      <c r="A29" s="49"/>
      <c r="B29" s="287"/>
      <c r="C29" s="3"/>
      <c r="D29" s="3"/>
      <c r="E29" s="3"/>
      <c r="F29" s="3"/>
      <c r="G29" s="3"/>
      <c r="H29" s="3"/>
      <c r="I29" s="3"/>
      <c r="J29" s="3"/>
      <c r="K29" s="3"/>
      <c r="L29" s="3"/>
      <c r="M29" s="3"/>
      <c r="N29" s="3"/>
      <c r="O29" s="3"/>
      <c r="P29" s="3"/>
      <c r="Q29" s="3"/>
      <c r="R29" s="3"/>
      <c r="S29" s="3"/>
      <c r="T29" s="3"/>
      <c r="U29" s="3"/>
      <c r="V29" s="3"/>
      <c r="W29" s="3"/>
      <c r="X29" s="3"/>
      <c r="Y29" s="3"/>
      <c r="Z29" s="3"/>
      <c r="AA29" s="3"/>
      <c r="AB29" s="3"/>
      <c r="AC29" s="5"/>
      <c r="AD29" s="274"/>
      <c r="AE29" s="5"/>
      <c r="AF29" s="6"/>
      <c r="AG29" s="7"/>
      <c r="AI29" s="277"/>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5"/>
      <c r="BK29" s="274"/>
      <c r="BL29" s="3"/>
    </row>
    <row r="30" ht="15.0" customHeight="1">
      <c r="A30" s="49"/>
      <c r="B30" s="13"/>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2"/>
      <c r="AD30" s="13"/>
      <c r="AE30" s="12"/>
      <c r="AF30" s="6"/>
      <c r="AG30" s="7"/>
      <c r="AI30" s="13"/>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2"/>
      <c r="BK30" s="13"/>
      <c r="BL30" s="11"/>
    </row>
    <row r="31" ht="15.0" customHeight="1">
      <c r="B31" s="288"/>
      <c r="C31" s="3"/>
      <c r="D31" s="3"/>
      <c r="E31" s="3"/>
      <c r="F31" s="3"/>
      <c r="G31" s="3"/>
      <c r="H31" s="3"/>
      <c r="I31" s="3"/>
      <c r="J31" s="3"/>
      <c r="K31" s="3"/>
      <c r="L31" s="3"/>
      <c r="M31" s="3"/>
      <c r="N31" s="3"/>
      <c r="O31" s="3"/>
      <c r="P31" s="3"/>
      <c r="Q31" s="3"/>
      <c r="R31" s="3"/>
      <c r="S31" s="3"/>
      <c r="T31" s="3"/>
      <c r="U31" s="3"/>
      <c r="V31" s="3"/>
      <c r="W31" s="3"/>
      <c r="X31" s="3"/>
      <c r="Y31" s="3"/>
      <c r="Z31" s="3"/>
      <c r="AA31" s="3"/>
      <c r="AB31" s="3"/>
      <c r="AC31" s="5"/>
      <c r="AD31" s="276"/>
      <c r="AE31" s="5"/>
      <c r="AG31" s="7"/>
      <c r="AI31" s="275"/>
      <c r="BJ31" s="49"/>
      <c r="BK31" s="276"/>
      <c r="BL31" s="3"/>
    </row>
    <row r="32" ht="15.0" customHeight="1">
      <c r="B32" s="13"/>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2"/>
      <c r="AD32" s="13"/>
      <c r="AE32" s="12"/>
      <c r="AG32" s="7"/>
      <c r="AH32" s="49"/>
      <c r="AI32" s="13"/>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2"/>
      <c r="BK32" s="13"/>
      <c r="BL32" s="11"/>
    </row>
    <row r="33" ht="15.0" customHeight="1">
      <c r="B33" s="287"/>
      <c r="C33" s="3"/>
      <c r="D33" s="3"/>
      <c r="E33" s="3"/>
      <c r="F33" s="3"/>
      <c r="G33" s="3"/>
      <c r="H33" s="3"/>
      <c r="I33" s="3"/>
      <c r="J33" s="3"/>
      <c r="K33" s="3"/>
      <c r="L33" s="3"/>
      <c r="M33" s="3"/>
      <c r="N33" s="3"/>
      <c r="O33" s="3"/>
      <c r="P33" s="3"/>
      <c r="Q33" s="3"/>
      <c r="R33" s="3"/>
      <c r="S33" s="3"/>
      <c r="T33" s="3"/>
      <c r="U33" s="3"/>
      <c r="V33" s="3"/>
      <c r="W33" s="3"/>
      <c r="X33" s="3"/>
      <c r="Y33" s="3"/>
      <c r="Z33" s="3"/>
      <c r="AA33" s="3"/>
      <c r="AB33" s="3"/>
      <c r="AC33" s="5"/>
      <c r="AD33" s="274"/>
      <c r="AE33" s="5"/>
      <c r="AG33" s="7"/>
      <c r="AH33" s="49"/>
      <c r="AI33" s="277"/>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5"/>
      <c r="BK33" s="277"/>
      <c r="BL33" s="3"/>
    </row>
    <row r="34" ht="15.0" customHeight="1">
      <c r="B34" s="13"/>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2"/>
      <c r="AD34" s="13"/>
      <c r="AE34" s="12"/>
      <c r="AG34" s="7"/>
      <c r="AH34" s="49"/>
      <c r="AI34" s="13"/>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2"/>
      <c r="BK34" s="13"/>
      <c r="BL34" s="11"/>
    </row>
    <row r="35" ht="15.0" customHeight="1">
      <c r="B35" s="288"/>
      <c r="C35" s="3"/>
      <c r="D35" s="3"/>
      <c r="E35" s="3"/>
      <c r="F35" s="3"/>
      <c r="G35" s="3"/>
      <c r="H35" s="3"/>
      <c r="I35" s="3"/>
      <c r="J35" s="3"/>
      <c r="K35" s="3"/>
      <c r="L35" s="3"/>
      <c r="M35" s="3"/>
      <c r="N35" s="3"/>
      <c r="O35" s="3"/>
      <c r="P35" s="3"/>
      <c r="Q35" s="3"/>
      <c r="R35" s="3"/>
      <c r="S35" s="3"/>
      <c r="T35" s="3"/>
      <c r="U35" s="3"/>
      <c r="V35" s="3"/>
      <c r="W35" s="3"/>
      <c r="X35" s="3"/>
      <c r="Y35" s="3"/>
      <c r="Z35" s="3"/>
      <c r="AA35" s="3"/>
      <c r="AB35" s="3"/>
      <c r="AC35" s="5"/>
      <c r="AD35" s="276"/>
      <c r="AE35" s="5"/>
      <c r="AG35" s="7"/>
      <c r="AH35" s="49"/>
      <c r="AI35" s="275"/>
      <c r="BJ35" s="49"/>
      <c r="BK35" s="276"/>
      <c r="BL35" s="3"/>
    </row>
    <row r="36" ht="15.0" customHeight="1">
      <c r="A36" s="49"/>
      <c r="B36" s="13"/>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2"/>
      <c r="AD36" s="13"/>
      <c r="AE36" s="12"/>
      <c r="AF36" s="6"/>
      <c r="AG36" s="7"/>
      <c r="AH36" s="49"/>
      <c r="AI36" s="13"/>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2"/>
      <c r="BK36" s="13"/>
      <c r="BL36" s="11"/>
    </row>
    <row r="37" ht="15.0" customHeight="1">
      <c r="A37" s="49"/>
      <c r="B37" s="287"/>
      <c r="C37" s="3"/>
      <c r="D37" s="3"/>
      <c r="E37" s="3"/>
      <c r="F37" s="3"/>
      <c r="G37" s="3"/>
      <c r="H37" s="3"/>
      <c r="I37" s="3"/>
      <c r="J37" s="3"/>
      <c r="K37" s="3"/>
      <c r="L37" s="3"/>
      <c r="M37" s="3"/>
      <c r="N37" s="3"/>
      <c r="O37" s="3"/>
      <c r="P37" s="3"/>
      <c r="Q37" s="3"/>
      <c r="R37" s="3"/>
      <c r="S37" s="3"/>
      <c r="T37" s="3"/>
      <c r="U37" s="3"/>
      <c r="V37" s="3"/>
      <c r="W37" s="3"/>
      <c r="X37" s="3"/>
      <c r="Y37" s="3"/>
      <c r="Z37" s="3"/>
      <c r="AA37" s="3"/>
      <c r="AB37" s="3"/>
      <c r="AC37" s="5"/>
      <c r="AD37" s="274"/>
      <c r="AE37" s="5"/>
      <c r="AF37" s="6"/>
      <c r="AG37" s="7"/>
      <c r="AH37" s="49"/>
      <c r="AI37" s="277"/>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5"/>
      <c r="BK37" s="277"/>
      <c r="BL37" s="3"/>
    </row>
    <row r="38" ht="15.0" customHeight="1">
      <c r="A38" s="49"/>
      <c r="B38" s="13"/>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2"/>
      <c r="AD38" s="13"/>
      <c r="AE38" s="12"/>
      <c r="AF38" s="6"/>
      <c r="AG38" s="7"/>
      <c r="AH38" s="49"/>
      <c r="AI38" s="13"/>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c r="BK38" s="13"/>
      <c r="BL38" s="11"/>
    </row>
    <row r="39" ht="15.0" customHeight="1">
      <c r="B39" s="288"/>
      <c r="C39" s="3"/>
      <c r="D39" s="3"/>
      <c r="E39" s="3"/>
      <c r="F39" s="3"/>
      <c r="G39" s="3"/>
      <c r="H39" s="3"/>
      <c r="I39" s="3"/>
      <c r="J39" s="3"/>
      <c r="K39" s="3"/>
      <c r="L39" s="3"/>
      <c r="M39" s="3"/>
      <c r="N39" s="3"/>
      <c r="O39" s="3"/>
      <c r="P39" s="3"/>
      <c r="Q39" s="3"/>
      <c r="R39" s="3"/>
      <c r="S39" s="3"/>
      <c r="T39" s="3"/>
      <c r="U39" s="3"/>
      <c r="V39" s="3"/>
      <c r="W39" s="3"/>
      <c r="X39" s="3"/>
      <c r="Y39" s="3"/>
      <c r="Z39" s="3"/>
      <c r="AA39" s="3"/>
      <c r="AB39" s="3"/>
      <c r="AC39" s="5"/>
      <c r="AD39" s="276"/>
      <c r="AE39" s="5"/>
      <c r="AG39" s="7"/>
      <c r="AH39" s="49"/>
      <c r="AI39" s="275"/>
      <c r="BJ39" s="49"/>
      <c r="BK39" s="276"/>
      <c r="BL39" s="3"/>
    </row>
    <row r="40" ht="15.0" customHeight="1">
      <c r="B40" s="13"/>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2"/>
      <c r="AD40" s="13"/>
      <c r="AE40" s="12"/>
      <c r="AG40" s="7"/>
      <c r="AI40" s="13"/>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2"/>
      <c r="BK40" s="13"/>
      <c r="BL40" s="11"/>
    </row>
    <row r="41" ht="15.0" customHeight="1">
      <c r="B41" s="287"/>
      <c r="C41" s="3"/>
      <c r="D41" s="3"/>
      <c r="E41" s="3"/>
      <c r="F41" s="3"/>
      <c r="G41" s="3"/>
      <c r="H41" s="3"/>
      <c r="I41" s="3"/>
      <c r="J41" s="3"/>
      <c r="K41" s="3"/>
      <c r="L41" s="3"/>
      <c r="M41" s="3"/>
      <c r="N41" s="3"/>
      <c r="O41" s="3"/>
      <c r="P41" s="3"/>
      <c r="Q41" s="3"/>
      <c r="R41" s="3"/>
      <c r="S41" s="3"/>
      <c r="T41" s="3"/>
      <c r="U41" s="3"/>
      <c r="V41" s="3"/>
      <c r="W41" s="3"/>
      <c r="X41" s="3"/>
      <c r="Y41" s="3"/>
      <c r="Z41" s="3"/>
      <c r="AA41" s="3"/>
      <c r="AB41" s="3"/>
      <c r="AC41" s="5"/>
      <c r="AD41" s="274"/>
      <c r="AE41" s="5"/>
      <c r="AF41" s="6"/>
      <c r="AG41" s="7"/>
      <c r="AI41" s="277"/>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5"/>
      <c r="BK41" s="277"/>
      <c r="BL41" s="3"/>
    </row>
    <row r="42" ht="15.0" customHeight="1">
      <c r="B42" s="13"/>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2"/>
      <c r="AD42" s="13"/>
      <c r="AE42" s="12"/>
      <c r="AF42" s="6"/>
      <c r="AG42" s="7"/>
      <c r="AI42" s="13"/>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2"/>
      <c r="BK42" s="13"/>
      <c r="BL42" s="11"/>
    </row>
    <row r="43" ht="15.0" customHeight="1">
      <c r="A43" s="49"/>
      <c r="B43" s="288"/>
      <c r="C43" s="3"/>
      <c r="D43" s="3"/>
      <c r="E43" s="3"/>
      <c r="F43" s="3"/>
      <c r="G43" s="3"/>
      <c r="H43" s="3"/>
      <c r="I43" s="3"/>
      <c r="J43" s="3"/>
      <c r="K43" s="3"/>
      <c r="L43" s="3"/>
      <c r="M43" s="3"/>
      <c r="N43" s="3"/>
      <c r="O43" s="3"/>
      <c r="P43" s="3"/>
      <c r="Q43" s="3"/>
      <c r="R43" s="3"/>
      <c r="S43" s="3"/>
      <c r="T43" s="3"/>
      <c r="U43" s="3"/>
      <c r="V43" s="3"/>
      <c r="W43" s="3"/>
      <c r="X43" s="3"/>
      <c r="Y43" s="3"/>
      <c r="Z43" s="3"/>
      <c r="AA43" s="3"/>
      <c r="AB43" s="3"/>
      <c r="AC43" s="5"/>
      <c r="AD43" s="276"/>
      <c r="AE43" s="5"/>
      <c r="AF43" s="6"/>
      <c r="AG43" s="7"/>
      <c r="AH43" s="49"/>
      <c r="AI43" s="275"/>
      <c r="BJ43" s="49"/>
      <c r="BK43" s="276"/>
      <c r="BL43" s="3"/>
    </row>
    <row r="44" ht="15.0" customHeight="1">
      <c r="A44" s="49"/>
      <c r="B44" s="13"/>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2"/>
      <c r="AD44" s="13"/>
      <c r="AE44" s="12"/>
      <c r="AF44" s="6"/>
      <c r="AG44" s="7"/>
      <c r="AH44" s="49"/>
      <c r="AI44" s="13"/>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2"/>
      <c r="BK44" s="13"/>
      <c r="BL44" s="11"/>
    </row>
    <row r="45" ht="15.0" customHeight="1">
      <c r="A45" s="49"/>
      <c r="B45" s="289"/>
      <c r="C45" s="3"/>
      <c r="D45" s="3"/>
      <c r="E45" s="3"/>
      <c r="F45" s="3"/>
      <c r="G45" s="3"/>
      <c r="H45" s="3"/>
      <c r="I45" s="3"/>
      <c r="J45" s="3"/>
      <c r="K45" s="3"/>
      <c r="L45" s="3"/>
      <c r="M45" s="3"/>
      <c r="N45" s="3"/>
      <c r="O45" s="3"/>
      <c r="P45" s="3"/>
      <c r="Q45" s="3"/>
      <c r="R45" s="3"/>
      <c r="S45" s="3"/>
      <c r="T45" s="3"/>
      <c r="U45" s="3"/>
      <c r="V45" s="3"/>
      <c r="W45" s="3"/>
      <c r="X45" s="3"/>
      <c r="Y45" s="3"/>
      <c r="Z45" s="3"/>
      <c r="AA45" s="3"/>
      <c r="AB45" s="3"/>
      <c r="AC45" s="5"/>
      <c r="AD45" s="274"/>
      <c r="AE45" s="5"/>
      <c r="AF45" s="6"/>
      <c r="AG45" s="7"/>
      <c r="AH45" s="49"/>
      <c r="AI45" s="277"/>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5"/>
      <c r="BK45" s="277"/>
      <c r="BL45" s="3"/>
    </row>
    <row r="46" ht="15.0" customHeight="1">
      <c r="A46" s="49"/>
      <c r="B46" s="13"/>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2"/>
      <c r="AD46" s="13"/>
      <c r="AE46" s="12"/>
      <c r="AF46" s="6"/>
      <c r="AG46" s="7"/>
      <c r="AH46" s="49"/>
      <c r="AI46" s="13"/>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2"/>
      <c r="BK46" s="13"/>
      <c r="BL46" s="11"/>
    </row>
    <row r="47" ht="15.0" customHeight="1">
      <c r="A47" s="49"/>
      <c r="B47" s="288"/>
      <c r="C47" s="3"/>
      <c r="D47" s="3"/>
      <c r="E47" s="3"/>
      <c r="F47" s="3"/>
      <c r="G47" s="3"/>
      <c r="H47" s="3"/>
      <c r="I47" s="3"/>
      <c r="J47" s="3"/>
      <c r="K47" s="3"/>
      <c r="L47" s="3"/>
      <c r="M47" s="3"/>
      <c r="N47" s="3"/>
      <c r="O47" s="3"/>
      <c r="P47" s="3"/>
      <c r="Q47" s="3"/>
      <c r="R47" s="3"/>
      <c r="S47" s="3"/>
      <c r="T47" s="3"/>
      <c r="U47" s="3"/>
      <c r="V47" s="3"/>
      <c r="W47" s="3"/>
      <c r="X47" s="3"/>
      <c r="Y47" s="3"/>
      <c r="Z47" s="3"/>
      <c r="AA47" s="3"/>
      <c r="AB47" s="3"/>
      <c r="AC47" s="5"/>
      <c r="AD47" s="276"/>
      <c r="AE47" s="5"/>
      <c r="AF47" s="6"/>
      <c r="AG47" s="7"/>
      <c r="AH47" s="49"/>
      <c r="AI47" s="275"/>
      <c r="BJ47" s="49"/>
      <c r="BK47" s="276"/>
      <c r="BL47" s="3"/>
    </row>
    <row r="48" ht="15.0" customHeight="1">
      <c r="A48" s="49"/>
      <c r="B48" s="13"/>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2"/>
      <c r="AD48" s="13"/>
      <c r="AE48" s="12"/>
      <c r="AF48" s="6"/>
      <c r="AG48" s="7"/>
      <c r="AH48" s="49"/>
      <c r="AI48" s="13"/>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2"/>
      <c r="BK48" s="13"/>
      <c r="BL48" s="11"/>
    </row>
    <row r="49" ht="15.0" customHeight="1">
      <c r="A49" s="49"/>
      <c r="B49" s="289"/>
      <c r="C49" s="3"/>
      <c r="D49" s="3"/>
      <c r="E49" s="3"/>
      <c r="F49" s="3"/>
      <c r="G49" s="3"/>
      <c r="H49" s="3"/>
      <c r="I49" s="3"/>
      <c r="J49" s="3"/>
      <c r="K49" s="3"/>
      <c r="L49" s="3"/>
      <c r="M49" s="3"/>
      <c r="N49" s="3"/>
      <c r="O49" s="3"/>
      <c r="P49" s="3"/>
      <c r="Q49" s="3"/>
      <c r="R49" s="3"/>
      <c r="S49" s="3"/>
      <c r="T49" s="3"/>
      <c r="U49" s="3"/>
      <c r="V49" s="3"/>
      <c r="W49" s="3"/>
      <c r="X49" s="3"/>
      <c r="Y49" s="3"/>
      <c r="Z49" s="3"/>
      <c r="AA49" s="3"/>
      <c r="AB49" s="3"/>
      <c r="AC49" s="5"/>
      <c r="AD49" s="274"/>
      <c r="AE49" s="5"/>
      <c r="AF49" s="6"/>
      <c r="AG49" s="7"/>
      <c r="AH49" s="49"/>
      <c r="AI49" s="277"/>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5"/>
      <c r="BK49" s="277"/>
      <c r="BL49" s="3"/>
    </row>
    <row r="50" ht="15.0" customHeight="1">
      <c r="A50" s="49"/>
      <c r="B50" s="13"/>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2"/>
      <c r="AD50" s="13"/>
      <c r="AE50" s="12"/>
      <c r="AF50" s="6"/>
      <c r="AG50" s="7"/>
      <c r="AH50" s="49"/>
      <c r="AI50" s="13"/>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2"/>
      <c r="BK50" s="13"/>
      <c r="BL50" s="11"/>
    </row>
    <row r="51" ht="15.0" customHeight="1">
      <c r="B51" s="290"/>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c r="AA51" s="290"/>
      <c r="AB51" s="290"/>
      <c r="AC51" s="290"/>
      <c r="AD51" s="290"/>
      <c r="AE51" s="290"/>
      <c r="AG51" s="7"/>
    </row>
    <row r="52" ht="15.0" customHeight="1">
      <c r="B52" s="264" t="s">
        <v>191</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291"/>
      <c r="BI52" s="292" t="s">
        <v>183</v>
      </c>
      <c r="BJ52" s="3"/>
      <c r="BK52" s="3"/>
      <c r="BL52" s="3"/>
    </row>
    <row r="53" ht="15.0" customHeight="1">
      <c r="B53" s="6"/>
      <c r="BH53" s="293"/>
    </row>
    <row r="54" ht="15.0" customHeight="1">
      <c r="B54" s="294"/>
      <c r="BJ54" s="245"/>
      <c r="BK54" s="295"/>
    </row>
    <row r="55" ht="15.0" customHeight="1">
      <c r="B55" s="23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75"/>
      <c r="AQ55" s="175"/>
      <c r="AR55" s="175"/>
      <c r="AS55" s="175"/>
      <c r="AT55" s="175"/>
      <c r="AU55" s="175"/>
      <c r="AV55" s="175"/>
      <c r="AW55" s="175"/>
      <c r="AX55" s="175"/>
      <c r="AY55" s="175"/>
      <c r="AZ55" s="175"/>
      <c r="BA55" s="175"/>
      <c r="BB55" s="175"/>
      <c r="BC55" s="175"/>
      <c r="BD55" s="175"/>
      <c r="BE55" s="175"/>
      <c r="BF55" s="175"/>
      <c r="BG55" s="175"/>
      <c r="BH55" s="175"/>
      <c r="BI55" s="175"/>
      <c r="BJ55" s="180"/>
      <c r="BK55" s="235"/>
      <c r="BL55" s="175"/>
    </row>
    <row r="56" ht="15.0" customHeight="1">
      <c r="B56" s="296"/>
      <c r="BJ56" s="245"/>
      <c r="BK56" s="296"/>
    </row>
    <row r="57" ht="15.0" customHeight="1">
      <c r="B57" s="23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80"/>
      <c r="BK57" s="235"/>
      <c r="BL57" s="175"/>
    </row>
    <row r="58" ht="15.0" customHeight="1">
      <c r="B58" s="295"/>
      <c r="BJ58" s="245"/>
      <c r="BK58" s="295"/>
    </row>
    <row r="59" ht="15.0" customHeight="1">
      <c r="B59" s="23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80"/>
      <c r="BK59" s="235"/>
      <c r="BL59" s="175"/>
    </row>
    <row r="60" ht="15.0" customHeight="1">
      <c r="B60" s="296"/>
      <c r="BJ60" s="245"/>
      <c r="BK60" s="296"/>
    </row>
    <row r="61" ht="15.0" customHeight="1">
      <c r="B61" s="23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5"/>
      <c r="AT61" s="175"/>
      <c r="AU61" s="175"/>
      <c r="AV61" s="175"/>
      <c r="AW61" s="175"/>
      <c r="AX61" s="175"/>
      <c r="AY61" s="175"/>
      <c r="AZ61" s="175"/>
      <c r="BA61" s="175"/>
      <c r="BB61" s="175"/>
      <c r="BC61" s="175"/>
      <c r="BD61" s="175"/>
      <c r="BE61" s="175"/>
      <c r="BF61" s="175"/>
      <c r="BG61" s="175"/>
      <c r="BH61" s="175"/>
      <c r="BI61" s="175"/>
      <c r="BJ61" s="180"/>
      <c r="BK61" s="235"/>
      <c r="BL61" s="175"/>
    </row>
    <row r="62" ht="15.0" customHeight="1">
      <c r="B62" s="295"/>
      <c r="BJ62" s="245"/>
      <c r="BK62" s="295"/>
    </row>
    <row r="63" ht="15.0" customHeight="1">
      <c r="B63" s="23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80"/>
      <c r="BK63" s="235"/>
      <c r="BL63" s="175"/>
    </row>
    <row r="64" ht="15.0" customHeight="1">
      <c r="B64" s="296"/>
      <c r="BJ64" s="245"/>
      <c r="BK64" s="296"/>
    </row>
    <row r="65" ht="15.0" customHeight="1">
      <c r="B65" s="23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80"/>
      <c r="BK65" s="235"/>
      <c r="BL65" s="175"/>
    </row>
    <row r="66" ht="15.0" customHeight="1">
      <c r="B66" s="295"/>
      <c r="BJ66" s="245"/>
      <c r="BK66" s="295"/>
    </row>
    <row r="67" ht="15.0" customHeight="1">
      <c r="B67" s="23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80"/>
      <c r="BK67" s="235"/>
      <c r="BL67" s="175"/>
    </row>
    <row r="68" ht="15.0" customHeight="1">
      <c r="B68" s="296"/>
      <c r="BJ68" s="245"/>
      <c r="BK68" s="296"/>
    </row>
    <row r="69" ht="15.0" customHeight="1">
      <c r="B69" s="23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75"/>
      <c r="AR69" s="175"/>
      <c r="AS69" s="175"/>
      <c r="AT69" s="175"/>
      <c r="AU69" s="175"/>
      <c r="AV69" s="175"/>
      <c r="AW69" s="175"/>
      <c r="AX69" s="175"/>
      <c r="AY69" s="175"/>
      <c r="AZ69" s="175"/>
      <c r="BA69" s="175"/>
      <c r="BB69" s="175"/>
      <c r="BC69" s="175"/>
      <c r="BD69" s="175"/>
      <c r="BE69" s="175"/>
      <c r="BF69" s="175"/>
      <c r="BG69" s="175"/>
      <c r="BH69" s="175"/>
      <c r="BI69" s="175"/>
      <c r="BJ69" s="180"/>
      <c r="BK69" s="235"/>
      <c r="BL69" s="175"/>
    </row>
    <row r="70" ht="15.0" customHeight="1">
      <c r="B70" s="295"/>
      <c r="BJ70" s="245"/>
      <c r="BK70" s="295"/>
    </row>
    <row r="71" ht="15.0" customHeight="1">
      <c r="B71" s="23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80"/>
      <c r="BK71" s="235"/>
      <c r="BL71" s="175"/>
    </row>
    <row r="72" ht="15.0" customHeight="1">
      <c r="AG72" s="7"/>
    </row>
    <row r="73" ht="15.0" customHeight="1">
      <c r="I73" s="11"/>
      <c r="J73" s="11"/>
      <c r="K73" s="11"/>
      <c r="L73" s="11"/>
      <c r="M73" s="11"/>
      <c r="N73" s="11"/>
      <c r="O73" s="11"/>
      <c r="P73" s="11"/>
      <c r="Q73" s="11"/>
      <c r="R73" s="11"/>
      <c r="S73" s="11"/>
      <c r="T73" s="11"/>
      <c r="U73" s="11"/>
      <c r="V73" s="11"/>
      <c r="W73" s="11"/>
      <c r="X73" s="11"/>
      <c r="Y73" s="11"/>
      <c r="Z73" s="11"/>
      <c r="AA73" s="11"/>
      <c r="AB73" s="11"/>
      <c r="AC73" s="11"/>
      <c r="AD73" s="11"/>
      <c r="AE73" s="11"/>
      <c r="AG73" s="7"/>
    </row>
    <row r="74" ht="15.0" customHeight="1">
      <c r="B74" s="37" t="s">
        <v>1</v>
      </c>
      <c r="C74" s="3"/>
      <c r="D74" s="3"/>
      <c r="E74" s="3"/>
      <c r="F74" s="3"/>
      <c r="G74" s="3"/>
      <c r="H74" s="3"/>
      <c r="I74" s="29" t="str">
        <f>I2</f>
        <v>Aranaea</v>
      </c>
      <c r="J74" s="3"/>
      <c r="K74" s="3"/>
      <c r="L74" s="3"/>
      <c r="M74" s="3"/>
      <c r="N74" s="3"/>
      <c r="O74" s="3"/>
      <c r="P74" s="3"/>
      <c r="Q74" s="3"/>
      <c r="R74" s="3"/>
      <c r="S74" s="3"/>
      <c r="T74" s="3"/>
      <c r="U74" s="3"/>
      <c r="V74" s="3"/>
      <c r="W74" s="3"/>
      <c r="X74" s="3"/>
      <c r="Y74" s="3"/>
      <c r="Z74" s="3"/>
      <c r="AA74" s="3"/>
      <c r="AB74" s="3"/>
      <c r="AC74" s="3"/>
      <c r="AD74" s="3"/>
      <c r="AE74" s="5"/>
      <c r="AF74" s="6"/>
      <c r="AG74" s="7"/>
      <c r="AI74" s="26" t="s">
        <v>177</v>
      </c>
    </row>
    <row r="75" ht="15.0" customHeight="1">
      <c r="B75" s="6"/>
      <c r="I75" s="11"/>
      <c r="J75" s="11"/>
      <c r="K75" s="11"/>
      <c r="L75" s="11"/>
      <c r="M75" s="11"/>
      <c r="N75" s="11"/>
      <c r="O75" s="11"/>
      <c r="P75" s="11"/>
      <c r="Q75" s="11"/>
      <c r="R75" s="11"/>
      <c r="S75" s="11"/>
      <c r="T75" s="11"/>
      <c r="U75" s="11"/>
      <c r="V75" s="11"/>
      <c r="W75" s="11"/>
      <c r="X75" s="11"/>
      <c r="Y75" s="11"/>
      <c r="Z75" s="11"/>
      <c r="AA75" s="11"/>
      <c r="AB75" s="11"/>
      <c r="AC75" s="11"/>
      <c r="AD75" s="11"/>
      <c r="AE75" s="12"/>
      <c r="AF75" s="6"/>
      <c r="AG75" s="7"/>
      <c r="AP75" s="21"/>
    </row>
    <row r="76" ht="15.0" customHeight="1">
      <c r="B76" s="297"/>
      <c r="C76" s="298"/>
      <c r="D76" s="298"/>
      <c r="E76" s="298"/>
      <c r="F76" s="298"/>
      <c r="G76" s="298"/>
      <c r="H76" s="299"/>
      <c r="I76" s="17"/>
      <c r="J76" s="17"/>
      <c r="K76" s="17"/>
      <c r="L76" s="17"/>
      <c r="M76" s="17"/>
      <c r="N76" s="17"/>
      <c r="O76" s="17"/>
      <c r="P76" s="17"/>
      <c r="Q76" s="17"/>
      <c r="R76" s="17"/>
      <c r="S76" s="17"/>
      <c r="T76" s="17"/>
      <c r="U76" s="17"/>
      <c r="V76" s="3"/>
      <c r="W76" s="3"/>
      <c r="X76" s="3"/>
      <c r="Y76" s="3"/>
      <c r="Z76" s="3"/>
      <c r="AA76" s="3"/>
      <c r="AB76" s="3"/>
      <c r="AC76" s="3"/>
      <c r="AD76" s="3"/>
      <c r="AE76" s="3"/>
      <c r="AG76" s="7"/>
      <c r="AI76" s="271" t="s">
        <v>180</v>
      </c>
    </row>
    <row r="77" ht="15.0" customHeight="1">
      <c r="B77" s="41" t="s">
        <v>192</v>
      </c>
      <c r="I77" s="300" t="s">
        <v>193</v>
      </c>
      <c r="J77" s="3"/>
      <c r="K77" s="3"/>
      <c r="L77" s="3"/>
      <c r="M77" s="3"/>
      <c r="N77" s="3"/>
      <c r="O77" s="3"/>
      <c r="P77" s="3"/>
      <c r="Q77" s="3"/>
      <c r="R77" s="3"/>
      <c r="S77" s="3"/>
      <c r="T77" s="3"/>
      <c r="U77" s="5"/>
      <c r="V77" s="101" t="s">
        <v>194</v>
      </c>
      <c r="W77" s="3"/>
      <c r="X77" s="3"/>
      <c r="Y77" s="300">
        <v>45.0</v>
      </c>
      <c r="Z77" s="3"/>
      <c r="AA77" s="3"/>
      <c r="AB77" s="3"/>
      <c r="AC77" s="3"/>
      <c r="AD77" s="3"/>
      <c r="AE77" s="5"/>
      <c r="AG77" s="7"/>
    </row>
    <row r="78" ht="15.0" customHeight="1">
      <c r="B78" s="6"/>
      <c r="I78" s="11"/>
      <c r="J78" s="11"/>
      <c r="K78" s="11"/>
      <c r="L78" s="11"/>
      <c r="M78" s="11"/>
      <c r="N78" s="11"/>
      <c r="O78" s="11"/>
      <c r="P78" s="11"/>
      <c r="Q78" s="11"/>
      <c r="R78" s="11"/>
      <c r="S78" s="11"/>
      <c r="T78" s="11"/>
      <c r="U78" s="12"/>
      <c r="V78" s="13"/>
      <c r="W78" s="11"/>
      <c r="X78" s="11"/>
      <c r="Y78" s="11"/>
      <c r="Z78" s="11"/>
      <c r="AA78" s="11"/>
      <c r="AB78" s="11"/>
      <c r="AC78" s="11"/>
      <c r="AD78" s="11"/>
      <c r="AE78" s="12"/>
      <c r="AG78" s="7"/>
      <c r="AI78" s="301" t="s">
        <v>195</v>
      </c>
      <c r="AJ78" s="3"/>
      <c r="AK78" s="3"/>
      <c r="AL78" s="3"/>
      <c r="AM78" s="3"/>
      <c r="AN78" s="3"/>
      <c r="AO78" s="3"/>
      <c r="AP78" s="302" t="s">
        <v>196</v>
      </c>
      <c r="AQ78" s="3"/>
      <c r="AR78" s="3"/>
      <c r="AS78" s="3"/>
      <c r="AT78" s="3"/>
      <c r="AU78" s="3"/>
      <c r="AV78" s="3"/>
      <c r="AW78" s="5"/>
    </row>
    <row r="79" ht="15.0" customHeight="1">
      <c r="B79" s="297"/>
      <c r="C79" s="298"/>
      <c r="D79" s="298"/>
      <c r="E79" s="298"/>
      <c r="F79" s="298"/>
      <c r="G79" s="298"/>
      <c r="H79" s="299"/>
      <c r="I79" s="17"/>
      <c r="J79" s="17"/>
      <c r="K79" s="17"/>
      <c r="L79" s="17"/>
      <c r="M79" s="17"/>
      <c r="N79" s="17"/>
      <c r="O79" s="17"/>
      <c r="P79" s="17"/>
      <c r="Q79" s="17"/>
      <c r="R79" s="17"/>
      <c r="S79" s="17"/>
      <c r="T79" s="17"/>
      <c r="U79" s="17"/>
      <c r="V79" s="11"/>
      <c r="W79" s="11"/>
      <c r="X79" s="11"/>
      <c r="Y79" s="11"/>
      <c r="Z79" s="11"/>
      <c r="AA79" s="11"/>
      <c r="AB79" s="11"/>
      <c r="AC79" s="11"/>
      <c r="AD79" s="11"/>
      <c r="AE79" s="11"/>
      <c r="AG79" s="7"/>
      <c r="AI79" s="6"/>
      <c r="AW79" s="49"/>
      <c r="AX79" s="28" t="s">
        <v>197</v>
      </c>
    </row>
    <row r="80" ht="15.0" customHeight="1">
      <c r="B80" s="56" t="s">
        <v>198</v>
      </c>
      <c r="I80" s="303"/>
      <c r="J80" s="3"/>
      <c r="K80" s="3"/>
      <c r="L80" s="3"/>
      <c r="M80" s="3"/>
      <c r="N80" s="3"/>
      <c r="O80" s="3"/>
      <c r="P80" s="3"/>
      <c r="Q80" s="3"/>
      <c r="R80" s="3"/>
      <c r="S80" s="3"/>
      <c r="T80" s="3"/>
      <c r="U80" s="3"/>
      <c r="V80" s="3"/>
      <c r="W80" s="3"/>
      <c r="X80" s="3"/>
      <c r="Y80" s="3"/>
      <c r="Z80" s="3"/>
      <c r="AA80" s="3"/>
      <c r="AB80" s="3"/>
      <c r="AC80" s="3"/>
      <c r="AD80" s="3"/>
      <c r="AE80" s="5"/>
      <c r="AF80" s="6"/>
      <c r="AG80" s="7"/>
      <c r="AI80" s="6"/>
      <c r="AP80" s="304"/>
      <c r="AW80" s="49"/>
      <c r="AX80" s="11"/>
      <c r="AY80" s="11"/>
      <c r="AZ80" s="11"/>
      <c r="BA80" s="11"/>
      <c r="BB80" s="11"/>
      <c r="BC80" s="11"/>
      <c r="BD80" s="11"/>
      <c r="BE80" s="11"/>
      <c r="BF80" s="11"/>
      <c r="BG80" s="11"/>
      <c r="BH80" s="11"/>
      <c r="BI80" s="11"/>
      <c r="BJ80" s="11"/>
      <c r="BK80" s="11"/>
    </row>
    <row r="81" ht="15.0" customHeight="1">
      <c r="B81" s="6"/>
      <c r="I81" s="11"/>
      <c r="J81" s="11"/>
      <c r="K81" s="11"/>
      <c r="L81" s="11"/>
      <c r="M81" s="11"/>
      <c r="N81" s="11"/>
      <c r="O81" s="11"/>
      <c r="P81" s="11"/>
      <c r="Q81" s="11"/>
      <c r="R81" s="11"/>
      <c r="S81" s="11"/>
      <c r="T81" s="11"/>
      <c r="U81" s="11"/>
      <c r="V81" s="11"/>
      <c r="W81" s="11"/>
      <c r="X81" s="11"/>
      <c r="Y81" s="11"/>
      <c r="Z81" s="11"/>
      <c r="AA81" s="11"/>
      <c r="AB81" s="11"/>
      <c r="AC81" s="11"/>
      <c r="AD81" s="11"/>
      <c r="AE81" s="12"/>
      <c r="AF81" s="6"/>
      <c r="AG81" s="7"/>
      <c r="AI81" s="305" t="s">
        <v>199</v>
      </c>
      <c r="AP81" s="306"/>
      <c r="AX81" s="36" t="s">
        <v>14</v>
      </c>
      <c r="AZ81" s="36" t="s">
        <v>15</v>
      </c>
      <c r="BB81" s="36" t="s">
        <v>16</v>
      </c>
      <c r="BD81" s="36" t="s">
        <v>17</v>
      </c>
      <c r="BF81" s="36" t="s">
        <v>18</v>
      </c>
      <c r="BH81" s="36" t="s">
        <v>19</v>
      </c>
      <c r="BJ81" s="36" t="s">
        <v>20</v>
      </c>
      <c r="BK81" s="49"/>
    </row>
    <row r="82" ht="15.0" customHeight="1">
      <c r="B82" s="297"/>
      <c r="C82" s="298"/>
      <c r="D82" s="298"/>
      <c r="E82" s="298"/>
      <c r="F82" s="298"/>
      <c r="G82" s="298"/>
      <c r="H82" s="299"/>
      <c r="I82" s="17"/>
      <c r="J82" s="17"/>
      <c r="K82" s="17"/>
      <c r="L82" s="17"/>
      <c r="M82" s="17"/>
      <c r="N82" s="17"/>
      <c r="O82" s="17"/>
      <c r="P82" s="17"/>
      <c r="Q82" s="17"/>
      <c r="R82" s="17"/>
      <c r="S82" s="17"/>
      <c r="T82" s="17"/>
      <c r="U82" s="17"/>
      <c r="V82" s="17"/>
      <c r="W82" s="17"/>
      <c r="X82" s="17"/>
      <c r="Y82" s="17"/>
      <c r="Z82" s="17"/>
      <c r="AA82" s="17"/>
      <c r="AB82" s="17"/>
      <c r="AC82" s="17"/>
      <c r="AD82" s="17"/>
      <c r="AE82" s="17"/>
      <c r="AG82" s="7"/>
      <c r="AI82" s="6"/>
      <c r="AX82" s="47"/>
      <c r="AY82" s="47"/>
      <c r="AZ82" s="47"/>
      <c r="BA82" s="47"/>
      <c r="BB82" s="47"/>
      <c r="BC82" s="47"/>
      <c r="BD82" s="47"/>
      <c r="BE82" s="47"/>
      <c r="BF82" s="47"/>
      <c r="BG82" s="47"/>
      <c r="BH82" s="47"/>
      <c r="BI82" s="47"/>
      <c r="BJ82" s="47"/>
      <c r="BK82" s="307"/>
    </row>
    <row r="83" ht="15.0" customHeight="1">
      <c r="B83" s="308" t="s">
        <v>200</v>
      </c>
      <c r="I83" s="303"/>
      <c r="J83" s="3"/>
      <c r="K83" s="3"/>
      <c r="L83" s="3"/>
      <c r="M83" s="3"/>
      <c r="N83" s="3"/>
      <c r="O83" s="3"/>
      <c r="P83" s="3"/>
      <c r="Q83" s="3"/>
      <c r="R83" s="3"/>
      <c r="S83" s="3"/>
      <c r="T83" s="3"/>
      <c r="U83" s="3"/>
      <c r="V83" s="3"/>
      <c r="W83" s="3"/>
      <c r="X83" s="3"/>
      <c r="Y83" s="3"/>
      <c r="Z83" s="3"/>
      <c r="AA83" s="3"/>
      <c r="AB83" s="3"/>
      <c r="AC83" s="3"/>
      <c r="AD83" s="3"/>
      <c r="AE83" s="5"/>
      <c r="AF83" s="6"/>
      <c r="AG83" s="7"/>
      <c r="AI83" s="6"/>
      <c r="AP83" s="70" t="s">
        <v>201</v>
      </c>
      <c r="AX83" s="309"/>
      <c r="AY83" s="49"/>
      <c r="AZ83" s="310">
        <v>5.0</v>
      </c>
      <c r="BA83" s="49"/>
      <c r="BB83" s="311"/>
      <c r="BC83" s="49"/>
      <c r="BD83" s="312"/>
      <c r="BE83" s="49"/>
      <c r="BF83" s="312"/>
      <c r="BG83" s="49"/>
      <c r="BH83" s="310">
        <v>10.0</v>
      </c>
      <c r="BI83" s="49"/>
      <c r="BJ83" s="312"/>
      <c r="BK83" s="49"/>
      <c r="BL83" s="6"/>
    </row>
    <row r="84" ht="15.0" customHeight="1">
      <c r="B84" s="6"/>
      <c r="I84" s="11"/>
      <c r="J84" s="11"/>
      <c r="K84" s="11"/>
      <c r="L84" s="11"/>
      <c r="M84" s="11"/>
      <c r="N84" s="11"/>
      <c r="O84" s="11"/>
      <c r="P84" s="11"/>
      <c r="Q84" s="11"/>
      <c r="R84" s="11"/>
      <c r="S84" s="11"/>
      <c r="T84" s="11"/>
      <c r="U84" s="11"/>
      <c r="V84" s="11"/>
      <c r="W84" s="11"/>
      <c r="X84" s="11"/>
      <c r="Y84" s="11"/>
      <c r="Z84" s="11"/>
      <c r="AA84" s="11"/>
      <c r="AB84" s="11"/>
      <c r="AC84" s="11"/>
      <c r="AD84" s="11"/>
      <c r="AE84" s="12"/>
      <c r="AF84" s="6"/>
      <c r="AG84" s="7"/>
      <c r="AI84" s="13"/>
      <c r="AJ84" s="11"/>
      <c r="AK84" s="11"/>
      <c r="AL84" s="11"/>
      <c r="AM84" s="11"/>
      <c r="AN84" s="11"/>
      <c r="AO84" s="11"/>
      <c r="AP84" s="11"/>
      <c r="AQ84" s="11"/>
      <c r="AR84" s="11"/>
      <c r="AS84" s="11"/>
      <c r="AT84" s="11"/>
      <c r="AU84" s="11"/>
      <c r="AV84" s="11"/>
      <c r="AW84" s="11"/>
      <c r="AX84" s="11"/>
      <c r="AY84" s="12"/>
      <c r="AZ84" s="13"/>
      <c r="BA84" s="12"/>
      <c r="BB84" s="13"/>
      <c r="BC84" s="12"/>
      <c r="BD84" s="13"/>
      <c r="BE84" s="12"/>
      <c r="BF84" s="13"/>
      <c r="BG84" s="12"/>
      <c r="BH84" s="13"/>
      <c r="BI84" s="12"/>
      <c r="BJ84" s="13"/>
      <c r="BK84" s="12"/>
      <c r="BL84" s="6"/>
    </row>
    <row r="85" ht="15.0" customHeight="1">
      <c r="B85" s="297"/>
      <c r="C85" s="298"/>
      <c r="D85" s="298"/>
      <c r="E85" s="298"/>
      <c r="F85" s="298"/>
      <c r="G85" s="298"/>
      <c r="H85" s="299"/>
      <c r="I85" s="17"/>
      <c r="J85" s="17"/>
      <c r="K85" s="17"/>
      <c r="L85" s="17"/>
      <c r="M85" s="17"/>
      <c r="N85" s="17"/>
      <c r="O85" s="17"/>
      <c r="P85" s="17"/>
      <c r="Q85" s="17"/>
      <c r="R85" s="17"/>
      <c r="S85" s="17"/>
      <c r="T85" s="17"/>
      <c r="U85" s="17"/>
      <c r="V85" s="17"/>
      <c r="W85" s="17"/>
      <c r="X85" s="17"/>
      <c r="Y85" s="17"/>
      <c r="Z85" s="17"/>
      <c r="AA85" s="17"/>
      <c r="AB85" s="17"/>
      <c r="AC85" s="17"/>
      <c r="AD85" s="17"/>
      <c r="AE85" s="17"/>
      <c r="AG85" s="7"/>
      <c r="AQ85" s="97" t="s">
        <v>202</v>
      </c>
    </row>
    <row r="86" ht="15.0" customHeight="1">
      <c r="B86" s="41" t="s">
        <v>203</v>
      </c>
      <c r="I86" s="313"/>
      <c r="J86" s="3"/>
      <c r="K86" s="3"/>
      <c r="L86" s="3"/>
      <c r="M86" s="3"/>
      <c r="N86" s="3"/>
      <c r="O86" s="3"/>
      <c r="P86" s="3"/>
      <c r="Q86" s="3"/>
      <c r="R86" s="3"/>
      <c r="S86" s="3"/>
      <c r="T86" s="3"/>
      <c r="U86" s="3"/>
      <c r="V86" s="3"/>
      <c r="W86" s="3"/>
      <c r="X86" s="3"/>
      <c r="Y86" s="3"/>
      <c r="Z86" s="3"/>
      <c r="AA86" s="3"/>
      <c r="AB86" s="3"/>
      <c r="AC86" s="3"/>
      <c r="AD86" s="3"/>
      <c r="AE86" s="5"/>
      <c r="AF86" s="6"/>
      <c r="AG86" s="7"/>
    </row>
    <row r="87" ht="15.0" customHeight="1">
      <c r="B87" s="13"/>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2"/>
      <c r="AF87" s="6"/>
      <c r="AG87" s="7"/>
      <c r="AI87" s="264" t="s">
        <v>204</v>
      </c>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row>
    <row r="88" ht="15.0" customHeight="1">
      <c r="I88" s="3"/>
      <c r="J88" s="3"/>
      <c r="K88" s="3"/>
      <c r="L88" s="3"/>
      <c r="M88" s="3"/>
      <c r="N88" s="3"/>
      <c r="O88" s="3"/>
      <c r="P88" s="3"/>
      <c r="Q88" s="3"/>
      <c r="R88" s="3"/>
      <c r="S88" s="3"/>
      <c r="T88" s="3"/>
      <c r="U88" s="3"/>
      <c r="V88" s="3"/>
      <c r="W88" s="3"/>
      <c r="X88" s="3"/>
      <c r="Y88" s="3"/>
      <c r="Z88" s="3"/>
      <c r="AA88" s="3"/>
      <c r="AB88" s="3"/>
      <c r="AC88" s="3"/>
      <c r="AD88" s="3"/>
      <c r="AE88" s="3"/>
      <c r="AG88" s="7"/>
      <c r="AI88" s="6"/>
    </row>
    <row r="89" ht="15.0" customHeight="1">
      <c r="AG89" s="7"/>
      <c r="AI89" s="13"/>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row>
    <row r="90" ht="15.0" customHeight="1">
      <c r="B90" s="101" t="s">
        <v>205</v>
      </c>
      <c r="C90" s="3"/>
      <c r="D90" s="3"/>
      <c r="E90" s="3"/>
      <c r="F90" s="3"/>
      <c r="G90" s="3"/>
      <c r="H90" s="314"/>
      <c r="I90" s="315" t="s">
        <v>206</v>
      </c>
      <c r="J90" s="3"/>
      <c r="K90" s="3"/>
      <c r="L90" s="3"/>
      <c r="M90" s="3"/>
      <c r="N90" s="3"/>
      <c r="O90" s="314"/>
      <c r="P90" s="292" t="s">
        <v>207</v>
      </c>
      <c r="Q90" s="3"/>
      <c r="R90" s="3"/>
      <c r="S90" s="3"/>
      <c r="T90" s="3"/>
      <c r="U90" s="3"/>
      <c r="V90" s="3"/>
      <c r="W90" s="3"/>
      <c r="X90" s="3"/>
      <c r="Y90" s="3"/>
      <c r="Z90" s="3"/>
      <c r="AA90" s="3"/>
      <c r="AB90" s="3"/>
      <c r="AC90" s="3"/>
      <c r="AD90" s="3"/>
      <c r="AE90" s="5"/>
      <c r="AG90" s="7"/>
      <c r="AI90" s="316"/>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row>
    <row r="91" ht="15.0" customHeight="1">
      <c r="B91" s="6"/>
      <c r="H91" s="298"/>
      <c r="O91" s="298"/>
      <c r="AE91" s="49"/>
      <c r="AG91" s="7"/>
      <c r="AI91" s="13"/>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row>
    <row r="92" ht="15.0" customHeight="1">
      <c r="A92" s="49"/>
      <c r="B92" s="317">
        <v>30.0</v>
      </c>
      <c r="G92" s="49"/>
      <c r="H92" s="318"/>
      <c r="I92" s="319"/>
      <c r="N92" s="49"/>
      <c r="O92" s="318"/>
      <c r="P92" s="317" t="s">
        <v>208</v>
      </c>
      <c r="AE92" s="49"/>
      <c r="AF92" s="6"/>
      <c r="AG92" s="7"/>
      <c r="AI92" s="320"/>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row>
    <row r="93" ht="15.0" customHeight="1">
      <c r="A93" s="49"/>
      <c r="B93" s="13"/>
      <c r="C93" s="11"/>
      <c r="D93" s="11"/>
      <c r="E93" s="11"/>
      <c r="F93" s="11"/>
      <c r="G93" s="12"/>
      <c r="H93" s="321"/>
      <c r="I93" s="13"/>
      <c r="J93" s="11"/>
      <c r="K93" s="11"/>
      <c r="L93" s="11"/>
      <c r="M93" s="11"/>
      <c r="N93" s="12"/>
      <c r="O93" s="321"/>
      <c r="P93" s="13"/>
      <c r="Q93" s="11"/>
      <c r="R93" s="11"/>
      <c r="S93" s="11"/>
      <c r="T93" s="11"/>
      <c r="U93" s="11"/>
      <c r="V93" s="11"/>
      <c r="W93" s="11"/>
      <c r="X93" s="11"/>
      <c r="Y93" s="11"/>
      <c r="Z93" s="11"/>
      <c r="AA93" s="11"/>
      <c r="AB93" s="11"/>
      <c r="AC93" s="11"/>
      <c r="AD93" s="11"/>
      <c r="AE93" s="12"/>
      <c r="AF93" s="6"/>
      <c r="AG93" s="7"/>
      <c r="AI93" s="13"/>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row>
    <row r="94" ht="15.0" customHeight="1">
      <c r="B94" s="3"/>
      <c r="C94" s="3"/>
      <c r="D94" s="3"/>
      <c r="E94" s="3"/>
      <c r="F94" s="3"/>
      <c r="G94" s="3"/>
      <c r="I94" s="3"/>
      <c r="J94" s="3"/>
      <c r="K94" s="3"/>
      <c r="L94" s="3"/>
      <c r="M94" s="3"/>
      <c r="N94" s="3"/>
      <c r="P94" s="322" t="s">
        <v>209</v>
      </c>
      <c r="AE94" s="49"/>
      <c r="AG94" s="7"/>
      <c r="AI94" s="316"/>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row>
    <row r="95" ht="15.0" customHeight="1">
      <c r="B95" s="101" t="s">
        <v>210</v>
      </c>
      <c r="C95" s="3"/>
      <c r="D95" s="3"/>
      <c r="E95" s="323"/>
      <c r="F95" s="292" t="s">
        <v>211</v>
      </c>
      <c r="G95" s="3"/>
      <c r="H95" s="3"/>
      <c r="I95" s="3"/>
      <c r="J95" s="3"/>
      <c r="K95" s="3"/>
      <c r="L95" s="3"/>
      <c r="M95" s="3"/>
      <c r="N95" s="5"/>
      <c r="O95" s="272"/>
      <c r="P95" s="13"/>
      <c r="Q95" s="11"/>
      <c r="R95" s="11"/>
      <c r="S95" s="11"/>
      <c r="T95" s="11"/>
      <c r="U95" s="11"/>
      <c r="V95" s="11"/>
      <c r="W95" s="11"/>
      <c r="X95" s="11"/>
      <c r="Y95" s="11"/>
      <c r="Z95" s="11"/>
      <c r="AA95" s="11"/>
      <c r="AB95" s="11"/>
      <c r="AC95" s="11"/>
      <c r="AD95" s="11"/>
      <c r="AE95" s="12"/>
      <c r="AG95" s="7"/>
      <c r="AI95" s="13"/>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row>
    <row r="96" ht="15.0" customHeight="1">
      <c r="B96" s="6"/>
      <c r="E96" s="55"/>
      <c r="N96" s="49"/>
      <c r="O96" s="272"/>
      <c r="P96" s="317" t="s">
        <v>212</v>
      </c>
      <c r="AE96" s="49"/>
      <c r="AG96" s="7"/>
      <c r="AI96" s="320"/>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row>
    <row r="97" ht="15.0" customHeight="1">
      <c r="A97" s="49"/>
      <c r="B97" s="319"/>
      <c r="D97" s="49"/>
      <c r="E97" s="318"/>
      <c r="F97" s="317">
        <v>55.0</v>
      </c>
      <c r="N97" s="49"/>
      <c r="O97" s="6"/>
      <c r="P97" s="13"/>
      <c r="Q97" s="11"/>
      <c r="R97" s="11"/>
      <c r="S97" s="11"/>
      <c r="T97" s="11"/>
      <c r="U97" s="11"/>
      <c r="V97" s="11"/>
      <c r="W97" s="11"/>
      <c r="X97" s="11"/>
      <c r="Y97" s="11"/>
      <c r="Z97" s="11"/>
      <c r="AA97" s="11"/>
      <c r="AB97" s="11"/>
      <c r="AC97" s="11"/>
      <c r="AD97" s="11"/>
      <c r="AE97" s="12"/>
      <c r="AG97" s="7"/>
      <c r="AI97" s="13"/>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row>
    <row r="98" ht="15.0" customHeight="1">
      <c r="A98" s="49"/>
      <c r="B98" s="13"/>
      <c r="C98" s="11"/>
      <c r="D98" s="12"/>
      <c r="E98" s="321"/>
      <c r="F98" s="13"/>
      <c r="G98" s="11"/>
      <c r="H98" s="11"/>
      <c r="I98" s="11"/>
      <c r="J98" s="11"/>
      <c r="K98" s="11"/>
      <c r="L98" s="11"/>
      <c r="M98" s="11"/>
      <c r="N98" s="12"/>
      <c r="O98" s="6"/>
      <c r="P98" s="241"/>
      <c r="Q98" s="241"/>
      <c r="R98" s="261"/>
      <c r="S98" s="261"/>
      <c r="T98" s="261"/>
      <c r="U98" s="261"/>
      <c r="V98" s="261"/>
      <c r="W98" s="261"/>
      <c r="X98" s="261"/>
      <c r="Y98" s="261"/>
      <c r="Z98" s="261"/>
      <c r="AA98" s="241"/>
      <c r="AB98" s="241"/>
      <c r="AC98" s="241"/>
      <c r="AD98" s="241"/>
      <c r="AE98" s="241"/>
      <c r="AG98" s="7"/>
      <c r="AI98" s="316"/>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row>
    <row r="99" ht="15.0" customHeight="1">
      <c r="B99" s="3"/>
      <c r="C99" s="3"/>
      <c r="D99" s="3"/>
      <c r="F99" s="3"/>
      <c r="G99" s="3"/>
      <c r="H99" s="3"/>
      <c r="I99" s="3"/>
      <c r="J99" s="3"/>
      <c r="K99" s="3"/>
      <c r="L99" s="3"/>
      <c r="M99" s="3"/>
      <c r="N99" s="3"/>
      <c r="AG99" s="7"/>
      <c r="AI99" s="13"/>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row>
    <row r="100" ht="15.0" customHeight="1">
      <c r="AG100" s="7"/>
    </row>
    <row r="101" ht="15.0" customHeight="1">
      <c r="B101" s="324" t="s">
        <v>213</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25" t="s">
        <v>214</v>
      </c>
      <c r="BJ101" s="3"/>
      <c r="BK101" s="3"/>
      <c r="BL101" s="3"/>
    </row>
    <row r="102" ht="15.0" customHeight="1">
      <c r="B102" s="6"/>
    </row>
    <row r="103" ht="15.0" customHeight="1">
      <c r="B103" s="326" t="s">
        <v>215</v>
      </c>
      <c r="BG103" s="327"/>
    </row>
    <row r="104" ht="15.0" customHeight="1">
      <c r="B104" s="6"/>
      <c r="BG104" s="13"/>
      <c r="BH104" s="11"/>
      <c r="BI104" s="11"/>
      <c r="BJ104" s="11"/>
      <c r="BK104" s="175"/>
      <c r="BL104" s="175"/>
    </row>
    <row r="105" ht="15.0" customHeight="1">
      <c r="B105" s="328"/>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5"/>
      <c r="BG105" s="320"/>
      <c r="BH105" s="3"/>
      <c r="BI105" s="3"/>
      <c r="BJ105" s="3"/>
      <c r="BK105" s="228"/>
      <c r="BL105" s="228"/>
    </row>
    <row r="106" ht="15.0" customHeight="1">
      <c r="B106" s="13"/>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2"/>
      <c r="BG106" s="13"/>
      <c r="BH106" s="11"/>
      <c r="BI106" s="11"/>
      <c r="BJ106" s="11"/>
      <c r="BK106" s="175"/>
      <c r="BL106" s="175"/>
    </row>
    <row r="107" ht="15.0" customHeight="1">
      <c r="B107" s="316"/>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5"/>
      <c r="BG107" s="316"/>
      <c r="BH107" s="3"/>
      <c r="BI107" s="3"/>
      <c r="BJ107" s="3"/>
      <c r="BK107" s="228"/>
      <c r="BL107" s="228"/>
    </row>
    <row r="108" ht="15.0" customHeight="1">
      <c r="B108" s="13"/>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2"/>
      <c r="BG108" s="13"/>
      <c r="BH108" s="11"/>
      <c r="BI108" s="11"/>
      <c r="BJ108" s="11"/>
      <c r="BK108" s="175"/>
      <c r="BL108" s="175"/>
    </row>
    <row r="109" ht="15.0" customHeight="1">
      <c r="B109" s="328"/>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5"/>
      <c r="BG109" s="320"/>
      <c r="BH109" s="3"/>
      <c r="BI109" s="3"/>
      <c r="BJ109" s="3"/>
      <c r="BK109" s="228"/>
      <c r="BL109" s="228"/>
    </row>
    <row r="110" ht="15.0" customHeight="1">
      <c r="B110" s="13"/>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2"/>
      <c r="BG110" s="13"/>
      <c r="BH110" s="11"/>
      <c r="BI110" s="11"/>
      <c r="BJ110" s="11"/>
      <c r="BK110" s="175"/>
      <c r="BL110" s="175"/>
    </row>
    <row r="111" ht="15.0" customHeight="1">
      <c r="B111" s="316"/>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5"/>
      <c r="BG111" s="316"/>
      <c r="BH111" s="3"/>
      <c r="BI111" s="3"/>
      <c r="BJ111" s="3"/>
      <c r="BK111" s="228"/>
      <c r="BL111" s="228"/>
    </row>
    <row r="112" ht="15.0" customHeight="1">
      <c r="B112" s="13"/>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2"/>
      <c r="BG112" s="13"/>
      <c r="BH112" s="11"/>
      <c r="BI112" s="11"/>
      <c r="BJ112" s="11"/>
      <c r="BK112" s="175"/>
      <c r="BL112" s="175"/>
    </row>
    <row r="113" ht="15.0" customHeight="1">
      <c r="B113" s="320"/>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5"/>
      <c r="BG113" s="320"/>
      <c r="BH113" s="3"/>
      <c r="BI113" s="3"/>
      <c r="BJ113" s="3"/>
      <c r="BK113" s="228"/>
      <c r="BL113" s="228"/>
    </row>
    <row r="114" ht="15.0" customHeight="1">
      <c r="B114" s="6"/>
      <c r="BF114" s="49"/>
      <c r="BG114" s="6"/>
    </row>
    <row r="115" ht="15.0" customHeight="1">
      <c r="B115" s="316"/>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5"/>
      <c r="BG115" s="316"/>
      <c r="BH115" s="3"/>
      <c r="BI115" s="3"/>
      <c r="BJ115" s="3"/>
      <c r="BK115" s="228"/>
      <c r="BL115" s="228"/>
    </row>
    <row r="116" ht="15.0" customHeight="1">
      <c r="B116" s="13"/>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2"/>
      <c r="BG116" s="13"/>
      <c r="BH116" s="11"/>
      <c r="BI116" s="11"/>
      <c r="BJ116" s="11"/>
      <c r="BK116" s="175"/>
      <c r="BL116" s="175"/>
    </row>
  </sheetData>
  <mergeCells count="211">
    <mergeCell ref="V4:X4"/>
    <mergeCell ref="Y4:AF4"/>
    <mergeCell ref="AI4:AO5"/>
    <mergeCell ref="AP4:BL6"/>
    <mergeCell ref="V5:X6"/>
    <mergeCell ref="Y5:AF6"/>
    <mergeCell ref="AI6:AO7"/>
    <mergeCell ref="BI8:BL8"/>
    <mergeCell ref="B2:H3"/>
    <mergeCell ref="I2:AF3"/>
    <mergeCell ref="AI2:AO3"/>
    <mergeCell ref="AP2:BL3"/>
    <mergeCell ref="A4:E4"/>
    <mergeCell ref="F4:H4"/>
    <mergeCell ref="I4:P4"/>
    <mergeCell ref="Q4:S4"/>
    <mergeCell ref="T4:U4"/>
    <mergeCell ref="B5:E6"/>
    <mergeCell ref="F5:H6"/>
    <mergeCell ref="I5:P6"/>
    <mergeCell ref="R5:U6"/>
    <mergeCell ref="R8:U9"/>
    <mergeCell ref="F8:H9"/>
    <mergeCell ref="I8:P9"/>
    <mergeCell ref="V8:X9"/>
    <mergeCell ref="Y8:AF9"/>
    <mergeCell ref="AI9:AS10"/>
    <mergeCell ref="AT9:BJ10"/>
    <mergeCell ref="BK9:BL10"/>
    <mergeCell ref="B8:E9"/>
    <mergeCell ref="B11:E12"/>
    <mergeCell ref="F11:H12"/>
    <mergeCell ref="I11:P12"/>
    <mergeCell ref="R11:U12"/>
    <mergeCell ref="V11:X12"/>
    <mergeCell ref="Y11:AF12"/>
    <mergeCell ref="B17:K18"/>
    <mergeCell ref="L17:AC18"/>
    <mergeCell ref="AD17:AE18"/>
    <mergeCell ref="AI25:BJ26"/>
    <mergeCell ref="BK25:BL26"/>
    <mergeCell ref="B47:AC48"/>
    <mergeCell ref="AD47:AE48"/>
    <mergeCell ref="B49:AC50"/>
    <mergeCell ref="AD49:AE50"/>
    <mergeCell ref="B52:BG53"/>
    <mergeCell ref="B54:BJ55"/>
    <mergeCell ref="B56:BJ57"/>
    <mergeCell ref="B58:BJ59"/>
    <mergeCell ref="B60:BJ61"/>
    <mergeCell ref="B62:BJ63"/>
    <mergeCell ref="B64:BJ65"/>
    <mergeCell ref="B66:BJ67"/>
    <mergeCell ref="B68:BJ69"/>
    <mergeCell ref="B70:BJ71"/>
    <mergeCell ref="AP78:AW79"/>
    <mergeCell ref="AX79:BK80"/>
    <mergeCell ref="AP80:AW80"/>
    <mergeCell ref="BK60:BL61"/>
    <mergeCell ref="BK62:BL63"/>
    <mergeCell ref="BK64:BL65"/>
    <mergeCell ref="BK66:BL67"/>
    <mergeCell ref="BK68:BL69"/>
    <mergeCell ref="BK70:BL71"/>
    <mergeCell ref="AP75:BL77"/>
    <mergeCell ref="AI74:AO75"/>
    <mergeCell ref="AI76:AO77"/>
    <mergeCell ref="AI78:AO80"/>
    <mergeCell ref="AI81:AO84"/>
    <mergeCell ref="AP81:AW82"/>
    <mergeCell ref="AX81:AY81"/>
    <mergeCell ref="AZ81:BA81"/>
    <mergeCell ref="AZ83:BA84"/>
    <mergeCell ref="AP83:AW84"/>
    <mergeCell ref="AX83:AY84"/>
    <mergeCell ref="BB83:BC84"/>
    <mergeCell ref="BD83:BE84"/>
    <mergeCell ref="BF83:BG84"/>
    <mergeCell ref="BH83:BI84"/>
    <mergeCell ref="BJ83:BK84"/>
    <mergeCell ref="BI101:BL102"/>
    <mergeCell ref="BG103:BL104"/>
    <mergeCell ref="BG105:BL106"/>
    <mergeCell ref="BG107:BL108"/>
    <mergeCell ref="BG109:BL110"/>
    <mergeCell ref="BG111:BL112"/>
    <mergeCell ref="BG113:BL114"/>
    <mergeCell ref="BG115:BL116"/>
    <mergeCell ref="AQ85:BK85"/>
    <mergeCell ref="AI87:BL89"/>
    <mergeCell ref="AI90:BL91"/>
    <mergeCell ref="AI92:BL93"/>
    <mergeCell ref="AI94:BL95"/>
    <mergeCell ref="AI96:BL97"/>
    <mergeCell ref="AI98:BL99"/>
    <mergeCell ref="AI11:BJ12"/>
    <mergeCell ref="BK11:BL12"/>
    <mergeCell ref="AI13:BJ14"/>
    <mergeCell ref="BK13:BL14"/>
    <mergeCell ref="AI15:BJ16"/>
    <mergeCell ref="BK15:BL16"/>
    <mergeCell ref="BK17:BL18"/>
    <mergeCell ref="AI17:BJ18"/>
    <mergeCell ref="AI19:BJ20"/>
    <mergeCell ref="BK19:BL20"/>
    <mergeCell ref="AI21:BJ22"/>
    <mergeCell ref="BK21:BL22"/>
    <mergeCell ref="AI23:BJ24"/>
    <mergeCell ref="BK23:BL24"/>
    <mergeCell ref="AI27:BJ28"/>
    <mergeCell ref="BK27:BL28"/>
    <mergeCell ref="AI29:BJ30"/>
    <mergeCell ref="BK29:BL30"/>
    <mergeCell ref="AI31:BJ32"/>
    <mergeCell ref="BK31:BL32"/>
    <mergeCell ref="BK33:BL34"/>
    <mergeCell ref="AI33:BJ34"/>
    <mergeCell ref="AI35:BJ36"/>
    <mergeCell ref="BK35:BL36"/>
    <mergeCell ref="AI37:BJ38"/>
    <mergeCell ref="BK37:BL38"/>
    <mergeCell ref="AI39:BJ40"/>
    <mergeCell ref="BK39:BL40"/>
    <mergeCell ref="AI41:BJ42"/>
    <mergeCell ref="BK41:BL42"/>
    <mergeCell ref="AI43:BJ44"/>
    <mergeCell ref="BK43:BL44"/>
    <mergeCell ref="AI45:BJ46"/>
    <mergeCell ref="BK45:BL46"/>
    <mergeCell ref="BK47:BL48"/>
    <mergeCell ref="AI47:BJ48"/>
    <mergeCell ref="AI49:BJ50"/>
    <mergeCell ref="BK49:BL50"/>
    <mergeCell ref="BI52:BL53"/>
    <mergeCell ref="BK54:BL55"/>
    <mergeCell ref="BK56:BL57"/>
    <mergeCell ref="BK58:BL59"/>
    <mergeCell ref="BB81:BC81"/>
    <mergeCell ref="BD81:BE81"/>
    <mergeCell ref="BF81:BG81"/>
    <mergeCell ref="BH81:BI81"/>
    <mergeCell ref="BJ81:BK81"/>
    <mergeCell ref="B74:H75"/>
    <mergeCell ref="I74:AE75"/>
    <mergeCell ref="B77:H78"/>
    <mergeCell ref="I77:U78"/>
    <mergeCell ref="V77:X78"/>
    <mergeCell ref="Y77:AE78"/>
    <mergeCell ref="I80:AE81"/>
    <mergeCell ref="I83:AE84"/>
    <mergeCell ref="I86:AE87"/>
    <mergeCell ref="B90:G91"/>
    <mergeCell ref="I90:N91"/>
    <mergeCell ref="P90:AE91"/>
    <mergeCell ref="B92:G93"/>
    <mergeCell ref="I92:N93"/>
    <mergeCell ref="B101:BH102"/>
    <mergeCell ref="B103:BF104"/>
    <mergeCell ref="B105:BF106"/>
    <mergeCell ref="B107:BF108"/>
    <mergeCell ref="B109:BF110"/>
    <mergeCell ref="B111:BF112"/>
    <mergeCell ref="B113:BF114"/>
    <mergeCell ref="B115:BF116"/>
    <mergeCell ref="P92:AE93"/>
    <mergeCell ref="P94:AE95"/>
    <mergeCell ref="B95:D96"/>
    <mergeCell ref="F95:N96"/>
    <mergeCell ref="P96:AE97"/>
    <mergeCell ref="B97:D98"/>
    <mergeCell ref="F97:N98"/>
    <mergeCell ref="Y14:AF15"/>
    <mergeCell ref="AB16:AE16"/>
    <mergeCell ref="B14:E15"/>
    <mergeCell ref="F14:H15"/>
    <mergeCell ref="I14:P15"/>
    <mergeCell ref="R14:U15"/>
    <mergeCell ref="V14:X15"/>
    <mergeCell ref="Q16:T16"/>
    <mergeCell ref="U16:V16"/>
    <mergeCell ref="B19:AC20"/>
    <mergeCell ref="AD19:AE20"/>
    <mergeCell ref="B21:AC22"/>
    <mergeCell ref="AD21:AE22"/>
    <mergeCell ref="B23:AC24"/>
    <mergeCell ref="AD23:AE24"/>
    <mergeCell ref="AD25:AE26"/>
    <mergeCell ref="B25:AC26"/>
    <mergeCell ref="B27:AC28"/>
    <mergeCell ref="AD27:AE28"/>
    <mergeCell ref="B29:AC30"/>
    <mergeCell ref="AD29:AE30"/>
    <mergeCell ref="B31:AC32"/>
    <mergeCell ref="AD31:AE32"/>
    <mergeCell ref="B33:AC34"/>
    <mergeCell ref="AD33:AE34"/>
    <mergeCell ref="B35:AC36"/>
    <mergeCell ref="AD35:AE36"/>
    <mergeCell ref="B37:AC38"/>
    <mergeCell ref="AD37:AE38"/>
    <mergeCell ref="AD39:AE40"/>
    <mergeCell ref="B39:AC40"/>
    <mergeCell ref="B41:AC42"/>
    <mergeCell ref="AD41:AE42"/>
    <mergeCell ref="B43:AC44"/>
    <mergeCell ref="AD43:AE44"/>
    <mergeCell ref="B45:AC46"/>
    <mergeCell ref="AD45:AE46"/>
    <mergeCell ref="B80:H81"/>
    <mergeCell ref="B83:H84"/>
    <mergeCell ref="B86:H87"/>
  </mergeCells>
  <dataValidations>
    <dataValidation type="list" allowBlank="1" sqref="AP81">
      <formula1>"Yes,No"</formula1>
    </dataValidation>
    <dataValidation type="list" allowBlank="1" sqref="AP78">
      <formula1>"Bio,Synth"</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64" width="2.63"/>
  </cols>
  <sheetData>
    <row r="1" ht="15.0" customHeight="1">
      <c r="A1" s="329" t="s">
        <v>203</v>
      </c>
      <c r="I1" s="330"/>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row>
    <row r="2" ht="15.0" customHeight="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row>
    <row r="3" ht="15.0" customHeight="1">
      <c r="I3" s="331"/>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row>
    <row r="4" ht="15.0" customHeight="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row>
    <row r="5" ht="15.0" customHeight="1">
      <c r="I5" s="330"/>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row>
    <row r="6" ht="15.0" customHeight="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row>
    <row r="7" ht="15.0" customHeight="1">
      <c r="A7" s="33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row>
    <row r="8" ht="15.0" customHeight="1">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ht="15.0" customHeight="1">
      <c r="A9" s="33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row>
    <row r="10" ht="15.0"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ht="15.0" customHeight="1">
      <c r="A11" s="332"/>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row>
    <row r="12" ht="15.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ht="15.0" customHeight="1">
      <c r="A13" s="334"/>
    </row>
    <row r="14" ht="15.0" customHeight="1"/>
    <row r="15" ht="15.0" customHeight="1">
      <c r="A15" s="335" t="s">
        <v>216</v>
      </c>
      <c r="I15" s="336"/>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row>
    <row r="16" ht="15.0" customHeight="1">
      <c r="A16" s="6"/>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row>
    <row r="17" ht="15.0" customHeight="1">
      <c r="A17" s="6"/>
      <c r="I17" s="330"/>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row>
    <row r="18" ht="15.0" customHeight="1">
      <c r="A18" s="6"/>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ht="15.0" customHeight="1">
      <c r="A19" s="6"/>
      <c r="I19" s="336"/>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row>
    <row r="20" ht="15.0" customHeight="1">
      <c r="A20" s="6"/>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ht="15.0" customHeight="1">
      <c r="A21" s="337"/>
    </row>
    <row r="22" ht="15.0"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ht="15.0" customHeight="1">
      <c r="A23" s="33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row>
    <row r="24" ht="15.0"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row>
    <row r="25" ht="15.0" customHeight="1">
      <c r="A25" s="330"/>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row>
    <row r="26" ht="15.0"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row>
    <row r="27" ht="15.0" customHeight="1">
      <c r="A27" s="33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row>
    <row r="28" ht="15.0"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ht="15.0" customHeight="1">
      <c r="A29" s="330"/>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row>
    <row r="30" ht="15.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ht="15.0" customHeight="1">
      <c r="A31" s="33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row>
    <row r="32" ht="15.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row>
    <row r="33" ht="15.0" customHeight="1">
      <c r="A33" s="330"/>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row>
    <row r="34" ht="15.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row>
    <row r="35" ht="15.0" customHeight="1">
      <c r="A35" s="33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row>
    <row r="36" ht="15.0" customHeight="1"/>
    <row r="37" ht="15.0" customHeight="1">
      <c r="A37" s="338" t="s">
        <v>217</v>
      </c>
      <c r="I37" s="330"/>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row>
    <row r="38" ht="15.0" customHeight="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row>
    <row r="39" ht="15.0" customHeight="1">
      <c r="I39" s="331"/>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row>
    <row r="40" ht="15.0" customHeight="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row>
    <row r="41" ht="15.0" customHeight="1">
      <c r="I41" s="330"/>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row>
    <row r="42" ht="15.0" customHeight="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row>
    <row r="43" ht="15.0" customHeight="1">
      <c r="A43" s="339"/>
    </row>
    <row r="44" ht="15.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row>
    <row r="45" ht="15.0" customHeight="1">
      <c r="A45" s="330"/>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row>
    <row r="46" ht="15.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row>
    <row r="47" ht="15.0" customHeight="1">
      <c r="A47" s="332"/>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row>
    <row r="48" ht="15.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row>
    <row r="49" ht="15.0" customHeight="1">
      <c r="A49" s="330"/>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row>
    <row r="50" ht="15.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row>
    <row r="51" ht="15.0" customHeight="1">
      <c r="A51" s="332"/>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row>
    <row r="52" ht="15.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row>
    <row r="53" ht="15.0" customHeight="1">
      <c r="A53" s="340"/>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row>
    <row r="54" ht="15.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row>
    <row r="55" ht="15.0" customHeight="1">
      <c r="A55" s="33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row>
    <row r="56" ht="15.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row>
    <row r="57" ht="15.0" customHeight="1">
      <c r="A57" s="34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row>
    <row r="58" ht="15.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row>
    <row r="59" ht="15.0" customHeight="1">
      <c r="A59" s="332"/>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row>
    <row r="60" ht="15.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row>
    <row r="61" ht="15.0" customHeight="1">
      <c r="A61" s="340"/>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row>
    <row r="62" ht="15.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row>
    <row r="63" ht="15.0" customHeight="1">
      <c r="A63" s="332"/>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row>
    <row r="64" ht="15.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row>
    <row r="65" ht="15.0" customHeight="1">
      <c r="A65" s="340"/>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row>
    <row r="66" ht="15.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row>
    <row r="67" ht="15.0" customHeight="1">
      <c r="A67" s="332"/>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row>
    <row r="68" ht="15.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row>
    <row r="69" ht="15.0" customHeight="1">
      <c r="A69" s="340"/>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row>
    <row r="70" ht="15.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row>
    <row r="71" ht="15.0" customHeight="1">
      <c r="A71" s="33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row>
    <row r="72" ht="15.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row>
    <row r="73" ht="15.0" customHeight="1">
      <c r="A73" s="340"/>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row>
    <row r="74" ht="15.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row>
    <row r="75" ht="15.0" customHeight="1">
      <c r="A75" s="33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row>
    <row r="76" ht="15.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row>
    <row r="77" ht="15.0" customHeight="1">
      <c r="A77" s="340"/>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row>
    <row r="78" ht="15.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row>
    <row r="79" ht="15.0" customHeight="1">
      <c r="A79" s="33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row>
    <row r="80" ht="15.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row>
    <row r="81" ht="15.0" customHeight="1">
      <c r="A81" s="340"/>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row>
    <row r="82" ht="15.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row>
    <row r="83" ht="15.0" customHeight="1">
      <c r="A83" s="33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row>
    <row r="84" ht="15.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row>
    <row r="85" ht="15.0" customHeight="1">
      <c r="A85" s="340"/>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row>
    <row r="86" ht="15.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row>
    <row r="87" ht="15.0" customHeight="1">
      <c r="A87" s="332"/>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row>
    <row r="88" ht="15.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row>
    <row r="89" ht="15.0" customHeight="1">
      <c r="A89" s="340"/>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row>
    <row r="90" ht="15.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row>
    <row r="91" ht="15.0" customHeight="1">
      <c r="A91" s="332"/>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row>
    <row r="92" ht="15.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row>
    <row r="93" ht="15.0" customHeight="1">
      <c r="A93" s="340"/>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row>
    <row r="94" ht="15.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row>
    <row r="95" ht="15.0" customHeight="1">
      <c r="A95" s="332"/>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row>
    <row r="96" ht="15.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row>
    <row r="97" ht="15.0" customHeight="1">
      <c r="A97" s="340"/>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row>
    <row r="98" ht="15.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row>
    <row r="99" ht="15.0" customHeight="1">
      <c r="A99" s="332"/>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row>
    <row r="100" ht="15.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row>
    <row r="101" ht="15.0" customHeight="1">
      <c r="A101" s="340"/>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row>
    <row r="102" ht="15.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row>
    <row r="103" ht="15.0" customHeight="1">
      <c r="A103" s="332"/>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row>
    <row r="104" ht="15.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row>
    <row r="105" ht="15.0" customHeight="1">
      <c r="A105" s="340"/>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row>
    <row r="106" ht="15.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row>
    <row r="107" ht="15.0" customHeight="1">
      <c r="A107" s="332"/>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row>
    <row r="108" ht="15.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row>
    <row r="109" ht="15.0" customHeight="1">
      <c r="A109" s="340"/>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row>
    <row r="110" ht="15.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row>
    <row r="111" ht="15.0" customHeight="1">
      <c r="A111" s="332"/>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row>
    <row r="112" ht="15.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row>
    <row r="113" ht="15.0" customHeight="1">
      <c r="A113" s="340"/>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row>
    <row r="114" ht="15.0" customHeight="1"/>
    <row r="115" ht="15.0" customHeight="1">
      <c r="A115" s="341"/>
      <c r="B115" s="341"/>
      <c r="C115" s="341"/>
      <c r="D115" s="341"/>
      <c r="E115" s="341"/>
      <c r="F115" s="341"/>
      <c r="G115" s="341"/>
      <c r="H115" s="341"/>
      <c r="I115" s="341"/>
      <c r="J115" s="341"/>
      <c r="K115" s="341"/>
      <c r="L115" s="341"/>
      <c r="M115" s="341"/>
      <c r="N115" s="341"/>
      <c r="O115" s="341"/>
      <c r="P115" s="341"/>
      <c r="Q115" s="341"/>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row>
    <row r="116" ht="15.0" customHeight="1">
      <c r="A116" s="341"/>
      <c r="B116" s="341"/>
      <c r="C116" s="341"/>
      <c r="D116" s="341"/>
      <c r="E116" s="341"/>
      <c r="F116" s="341"/>
      <c r="G116" s="341"/>
      <c r="H116" s="341"/>
      <c r="I116" s="341"/>
      <c r="J116" s="341"/>
      <c r="K116" s="341"/>
      <c r="L116" s="341"/>
      <c r="M116" s="341"/>
      <c r="N116" s="341"/>
      <c r="O116" s="341"/>
      <c r="P116" s="341"/>
      <c r="Q116" s="341"/>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341"/>
    </row>
  </sheetData>
  <mergeCells count="60">
    <mergeCell ref="A99:BL100"/>
    <mergeCell ref="A101:BL102"/>
    <mergeCell ref="A103:BL104"/>
    <mergeCell ref="A105:BL106"/>
    <mergeCell ref="A107:BL108"/>
    <mergeCell ref="A109:BL110"/>
    <mergeCell ref="A111:BL112"/>
    <mergeCell ref="A113:BL114"/>
    <mergeCell ref="A85:BL86"/>
    <mergeCell ref="A87:BL88"/>
    <mergeCell ref="A89:BL90"/>
    <mergeCell ref="A91:BL92"/>
    <mergeCell ref="A93:BL94"/>
    <mergeCell ref="A95:BL96"/>
    <mergeCell ref="A97:BL98"/>
    <mergeCell ref="A1:H6"/>
    <mergeCell ref="A15:H20"/>
    <mergeCell ref="A37:H42"/>
    <mergeCell ref="I1:BL2"/>
    <mergeCell ref="I3:BL4"/>
    <mergeCell ref="I5:BL6"/>
    <mergeCell ref="A7:BL8"/>
    <mergeCell ref="A9:BL10"/>
    <mergeCell ref="A11:BL12"/>
    <mergeCell ref="A13:BL14"/>
    <mergeCell ref="I15:BL16"/>
    <mergeCell ref="I17:BL18"/>
    <mergeCell ref="I19:BL20"/>
    <mergeCell ref="A21:BL22"/>
    <mergeCell ref="A23:BL24"/>
    <mergeCell ref="A25:BL26"/>
    <mergeCell ref="A27:BL28"/>
    <mergeCell ref="A29:BL30"/>
    <mergeCell ref="A31:BL32"/>
    <mergeCell ref="A33:BL34"/>
    <mergeCell ref="A35:BL36"/>
    <mergeCell ref="I37:BL38"/>
    <mergeCell ref="I39:BL40"/>
    <mergeCell ref="I41:BL42"/>
    <mergeCell ref="A43:BL44"/>
    <mergeCell ref="A45:BL46"/>
    <mergeCell ref="A47:BL48"/>
    <mergeCell ref="A49:BL50"/>
    <mergeCell ref="A51:BL52"/>
    <mergeCell ref="A53:BL54"/>
    <mergeCell ref="A55:BL56"/>
    <mergeCell ref="A57:BL58"/>
    <mergeCell ref="A59:BL60"/>
    <mergeCell ref="A61:BL62"/>
    <mergeCell ref="A63:BL64"/>
    <mergeCell ref="A65:BL66"/>
    <mergeCell ref="A67:BL68"/>
    <mergeCell ref="A69:BL70"/>
    <mergeCell ref="A71:BL72"/>
    <mergeCell ref="A73:BL74"/>
    <mergeCell ref="A75:BL76"/>
    <mergeCell ref="A77:BL78"/>
    <mergeCell ref="A79:BL80"/>
    <mergeCell ref="A81:BL82"/>
    <mergeCell ref="A83:BL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90" width="2.75"/>
  </cols>
  <sheetData>
    <row r="1" ht="15.0" customHeight="1">
      <c r="A1" s="342"/>
      <c r="B1" s="342"/>
      <c r="C1" s="342"/>
      <c r="D1" s="342"/>
      <c r="E1" s="342"/>
      <c r="F1" s="342"/>
      <c r="G1" s="342"/>
      <c r="H1" s="342"/>
      <c r="I1" s="342"/>
      <c r="J1" s="342"/>
      <c r="K1" s="342"/>
      <c r="L1" s="342"/>
      <c r="M1" s="342"/>
      <c r="N1" s="342"/>
      <c r="O1" s="342"/>
      <c r="P1" s="343" t="s">
        <v>218</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43"/>
      <c r="BB1" s="343"/>
      <c r="BC1" s="343"/>
      <c r="BD1" s="343"/>
      <c r="BE1" s="343"/>
      <c r="BF1" s="343"/>
      <c r="BG1" s="343"/>
      <c r="BH1" s="343"/>
      <c r="BI1" s="343"/>
      <c r="BJ1" s="343"/>
      <c r="BK1" s="343"/>
      <c r="BL1" s="343"/>
      <c r="BM1" s="343"/>
      <c r="BN1" s="343"/>
      <c r="BO1" s="342"/>
      <c r="BP1" s="342"/>
      <c r="BQ1" s="342"/>
      <c r="BR1" s="342"/>
      <c r="BS1" s="342"/>
      <c r="BT1" s="342"/>
      <c r="BU1" s="342"/>
      <c r="BV1" s="342"/>
      <c r="BW1" s="342"/>
      <c r="BX1" s="342"/>
      <c r="BY1" s="342"/>
      <c r="BZ1" s="342"/>
      <c r="CA1" s="342"/>
      <c r="CB1" s="342"/>
      <c r="CC1" s="342"/>
      <c r="CD1" s="342"/>
      <c r="CE1" s="342"/>
      <c r="CF1" s="342"/>
      <c r="CG1" s="342"/>
      <c r="CH1" s="342"/>
      <c r="CI1" s="342"/>
      <c r="CJ1" s="342"/>
      <c r="CK1" s="342"/>
      <c r="CL1" s="342"/>
    </row>
    <row r="2" ht="15.0" customHeight="1">
      <c r="A2" s="344" t="s">
        <v>219</v>
      </c>
      <c r="F2" s="345">
        <v>5000.0</v>
      </c>
      <c r="J2" s="342"/>
      <c r="K2" s="342"/>
      <c r="L2" s="344" t="s">
        <v>220</v>
      </c>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2"/>
      <c r="AO2" s="342"/>
      <c r="AP2" s="342"/>
      <c r="AQ2" s="342"/>
      <c r="AR2" s="342"/>
      <c r="AS2" s="342"/>
      <c r="AT2" s="342"/>
      <c r="AU2" s="342"/>
      <c r="AV2" s="342"/>
      <c r="AW2" s="342"/>
      <c r="AX2" s="342"/>
      <c r="AY2" s="342"/>
      <c r="AZ2" s="342"/>
      <c r="BA2" s="346" t="s">
        <v>221</v>
      </c>
      <c r="BB2" s="11"/>
      <c r="BC2" s="11"/>
      <c r="BD2" s="11"/>
      <c r="BE2" s="12"/>
      <c r="BF2" s="346">
        <v>50.0</v>
      </c>
      <c r="BG2" s="11"/>
      <c r="BH2" s="11"/>
      <c r="BI2" s="11"/>
      <c r="BJ2" s="342"/>
      <c r="BK2" s="342"/>
      <c r="BL2" s="342"/>
      <c r="BM2" s="342"/>
      <c r="BN2" s="342"/>
      <c r="BO2" s="342"/>
      <c r="BP2" s="342"/>
      <c r="BQ2" s="342"/>
      <c r="BR2" s="342"/>
      <c r="BS2" s="342"/>
      <c r="BT2" s="342"/>
      <c r="BU2" s="342"/>
      <c r="BV2" s="342"/>
      <c r="BW2" s="342"/>
      <c r="BX2" s="342"/>
      <c r="BY2" s="342"/>
      <c r="BZ2" s="342"/>
      <c r="CA2" s="342"/>
      <c r="CB2" s="342"/>
      <c r="CC2" s="342"/>
      <c r="CD2" s="342"/>
      <c r="CE2" s="342"/>
      <c r="CF2" s="342"/>
      <c r="CG2" s="342"/>
      <c r="CH2" s="342"/>
      <c r="CI2" s="342"/>
      <c r="CJ2" s="342"/>
      <c r="CK2" s="342"/>
      <c r="CL2" s="342"/>
    </row>
    <row r="3" ht="15.0" customHeight="1">
      <c r="A3" s="347" t="s">
        <v>222</v>
      </c>
      <c r="F3" s="348"/>
      <c r="G3" s="3"/>
      <c r="H3" s="3"/>
      <c r="I3" s="3"/>
      <c r="J3" s="344" t="s">
        <v>223</v>
      </c>
      <c r="Q3" s="349">
        <f>AG14+AG15+AG16+'Species &amp; Traits'!A11</f>
        <v>19850</v>
      </c>
      <c r="R3" s="11"/>
      <c r="S3" s="11"/>
      <c r="T3" s="344"/>
      <c r="U3" s="344" t="s">
        <v>224</v>
      </c>
      <c r="AB3" s="344" t="s">
        <v>225</v>
      </c>
      <c r="AK3" s="350"/>
      <c r="AN3" s="351"/>
      <c r="AO3" s="351"/>
      <c r="AP3" s="351"/>
      <c r="AQ3" s="351"/>
      <c r="AR3" s="351"/>
      <c r="AS3" s="351"/>
      <c r="AT3" s="351"/>
      <c r="AU3" s="351"/>
      <c r="AV3" s="351"/>
      <c r="AW3" s="351"/>
      <c r="AX3" s="351"/>
      <c r="AY3" s="351"/>
      <c r="AZ3" s="351"/>
      <c r="BA3" s="346" t="s">
        <v>226</v>
      </c>
      <c r="BB3" s="11"/>
      <c r="BC3" s="11"/>
      <c r="BD3" s="11"/>
      <c r="BE3" s="12"/>
      <c r="BF3" s="352">
        <v>250.0</v>
      </c>
      <c r="BG3" s="17"/>
      <c r="BH3" s="17"/>
      <c r="BI3" s="17"/>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row>
    <row r="4" ht="15.0" customHeight="1">
      <c r="A4" s="344"/>
      <c r="B4" s="344"/>
      <c r="C4" s="344"/>
      <c r="D4" s="344"/>
      <c r="E4" s="344"/>
      <c r="F4" s="344"/>
      <c r="G4" s="344"/>
      <c r="H4" s="344"/>
      <c r="I4" s="344"/>
      <c r="J4" s="344" t="s">
        <v>227</v>
      </c>
      <c r="Q4" s="353">
        <f>IF(AG19&lt;0,SUM(AG19*-0.001),0)</f>
        <v>0</v>
      </c>
      <c r="R4" s="17"/>
      <c r="S4" s="344"/>
      <c r="T4" s="344"/>
      <c r="AN4" s="351"/>
      <c r="AO4" s="351"/>
      <c r="AP4" s="351"/>
      <c r="AQ4" s="351"/>
      <c r="AR4" s="351"/>
      <c r="AS4" s="351"/>
      <c r="AT4" s="351"/>
      <c r="AU4" s="351"/>
      <c r="AV4" s="351"/>
      <c r="AW4" s="351"/>
      <c r="AX4" s="351"/>
      <c r="AY4" s="351"/>
      <c r="AZ4" s="351"/>
      <c r="BA4" s="346" t="s">
        <v>228</v>
      </c>
      <c r="BB4" s="11"/>
      <c r="BC4" s="11"/>
      <c r="BD4" s="11"/>
      <c r="BE4" s="12"/>
      <c r="BF4" s="352">
        <v>1000.0</v>
      </c>
      <c r="BG4" s="17"/>
      <c r="BH4" s="17"/>
      <c r="BI4" s="17"/>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row>
    <row r="5" ht="15.0" customHeight="1">
      <c r="A5" s="344" t="s">
        <v>229</v>
      </c>
      <c r="F5" s="354">
        <f>SUM((Q5*1000)+(F2+F3))-Q3</f>
        <v>9150</v>
      </c>
      <c r="J5" s="344"/>
      <c r="K5" s="344"/>
      <c r="L5" s="355" t="s">
        <v>230</v>
      </c>
      <c r="Q5" s="356">
        <v>24.0</v>
      </c>
      <c r="R5" s="17"/>
      <c r="S5" s="351"/>
      <c r="T5" s="357"/>
      <c r="U5" s="357" t="str">
        <f>CONCATENATE(AG10+AG11," kg")</f>
        <v>0 kg</v>
      </c>
      <c r="AB5" s="358"/>
      <c r="AC5" s="358"/>
      <c r="AD5" s="358"/>
      <c r="AE5" s="358"/>
      <c r="AF5" s="358"/>
      <c r="AG5" s="358"/>
      <c r="AH5" s="358"/>
      <c r="AI5" s="358"/>
      <c r="AJ5" s="358"/>
      <c r="AK5" s="358"/>
      <c r="AL5" s="358"/>
      <c r="AM5" s="358"/>
      <c r="AN5" s="358"/>
      <c r="AO5" s="358"/>
      <c r="AP5" s="358"/>
      <c r="AQ5" s="358"/>
      <c r="AR5" s="358"/>
      <c r="AS5" s="358"/>
      <c r="AT5" s="358"/>
      <c r="AU5" s="358"/>
      <c r="AV5" s="358"/>
      <c r="AW5" s="358"/>
      <c r="AX5" s="358"/>
      <c r="AY5" s="358"/>
      <c r="AZ5" s="358"/>
      <c r="BA5" s="346" t="s">
        <v>231</v>
      </c>
      <c r="BB5" s="11"/>
      <c r="BC5" s="11"/>
      <c r="BD5" s="11"/>
      <c r="BE5" s="12"/>
      <c r="BF5" s="352">
        <v>5000.0</v>
      </c>
      <c r="BG5" s="17"/>
      <c r="BH5" s="17"/>
      <c r="BI5" s="17"/>
      <c r="BJ5" s="358"/>
      <c r="BK5" s="358"/>
      <c r="BL5" s="358"/>
      <c r="BM5" s="358"/>
      <c r="BN5" s="358"/>
      <c r="BO5" s="358"/>
      <c r="BP5" s="358"/>
      <c r="BQ5" s="358"/>
      <c r="BR5" s="358"/>
      <c r="BS5" s="358"/>
      <c r="BT5" s="358"/>
      <c r="BU5" s="358"/>
      <c r="BV5" s="358"/>
      <c r="BW5" s="358"/>
      <c r="BX5" s="358"/>
      <c r="BY5" s="358"/>
      <c r="BZ5" s="358"/>
      <c r="CA5" s="358"/>
      <c r="CB5" s="358"/>
      <c r="CC5" s="358"/>
      <c r="CD5" s="358"/>
      <c r="CE5" s="358"/>
      <c r="CF5" s="358"/>
      <c r="CG5" s="358"/>
      <c r="CH5" s="358"/>
      <c r="CI5" s="358"/>
      <c r="CJ5" s="358"/>
      <c r="CK5" s="358"/>
      <c r="CL5" s="358"/>
    </row>
    <row r="6" ht="15.0" customHeight="1">
      <c r="A6" s="344"/>
      <c r="B6" s="344"/>
      <c r="C6" s="344"/>
      <c r="D6" s="344"/>
      <c r="E6" s="344"/>
      <c r="J6" s="344"/>
      <c r="K6" s="344"/>
      <c r="L6" s="344"/>
      <c r="M6" s="344"/>
      <c r="N6" s="359"/>
      <c r="O6" s="359"/>
      <c r="P6" s="359"/>
      <c r="Q6" s="359"/>
      <c r="R6" s="359"/>
      <c r="T6" s="357"/>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60" t="s">
        <v>232</v>
      </c>
      <c r="BE6" s="49"/>
      <c r="BF6" s="361">
        <v>20000.0</v>
      </c>
      <c r="BG6" s="3"/>
      <c r="BH6" s="3"/>
      <c r="BI6" s="3"/>
      <c r="BJ6" s="358"/>
      <c r="BK6" s="358"/>
      <c r="BL6" s="358"/>
      <c r="BM6" s="358"/>
      <c r="BN6" s="358"/>
      <c r="BO6" s="358"/>
      <c r="BP6" s="358"/>
      <c r="BQ6" s="358"/>
      <c r="BR6" s="358"/>
      <c r="BS6" s="358"/>
      <c r="BT6" s="358"/>
      <c r="BU6" s="358"/>
      <c r="BV6" s="358"/>
      <c r="BW6" s="358"/>
      <c r="BX6" s="358"/>
      <c r="BY6" s="358"/>
      <c r="BZ6" s="358"/>
      <c r="CA6" s="358"/>
      <c r="CB6" s="358"/>
      <c r="CC6" s="358"/>
      <c r="CD6" s="358"/>
      <c r="CE6" s="358"/>
      <c r="CF6" s="358"/>
      <c r="CG6" s="358"/>
      <c r="CH6" s="358"/>
      <c r="CI6" s="358"/>
      <c r="CJ6" s="358"/>
      <c r="CK6" s="358"/>
      <c r="CL6" s="358"/>
    </row>
    <row r="7" ht="15.0" customHeight="1">
      <c r="A7" s="358" t="s">
        <v>233</v>
      </c>
      <c r="AG7" s="358" t="s">
        <v>233</v>
      </c>
      <c r="BO7" s="358"/>
      <c r="BP7" s="358"/>
      <c r="BQ7" s="358"/>
      <c r="BR7" s="358"/>
      <c r="BS7" s="358"/>
      <c r="BT7" s="358"/>
      <c r="BU7" s="358"/>
      <c r="BV7" s="358"/>
      <c r="BW7" s="358"/>
      <c r="BX7" s="358"/>
      <c r="BY7" s="358"/>
      <c r="BZ7" s="358"/>
      <c r="CA7" s="358"/>
      <c r="CB7" s="358"/>
      <c r="CC7" s="358"/>
      <c r="CD7" s="358"/>
      <c r="CE7" s="358"/>
      <c r="CF7" s="358"/>
      <c r="CG7" s="358"/>
      <c r="CH7" s="358"/>
      <c r="CI7" s="358"/>
      <c r="CJ7" s="358"/>
      <c r="CK7" s="358"/>
      <c r="CL7" s="358"/>
    </row>
    <row r="8" ht="15.0" customHeight="1">
      <c r="BO8" s="358"/>
      <c r="BP8" s="358"/>
      <c r="BQ8" s="358"/>
      <c r="BR8" s="358"/>
      <c r="BS8" s="358"/>
      <c r="BT8" s="358"/>
      <c r="BU8" s="358"/>
      <c r="BV8" s="358"/>
      <c r="BW8" s="358"/>
      <c r="BX8" s="358"/>
      <c r="BY8" s="358"/>
      <c r="BZ8" s="358"/>
      <c r="CA8" s="358"/>
      <c r="CB8" s="358"/>
      <c r="CC8" s="358"/>
      <c r="CD8" s="358"/>
      <c r="CE8" s="358"/>
      <c r="CF8" s="358"/>
      <c r="CG8" s="358"/>
      <c r="CH8" s="358"/>
      <c r="CI8" s="358"/>
      <c r="CJ8" s="358"/>
      <c r="CK8" s="358"/>
      <c r="CL8" s="358"/>
    </row>
    <row r="9" ht="15.0" customHeight="1">
      <c r="A9" s="362" t="s">
        <v>234</v>
      </c>
      <c r="D9" s="363"/>
      <c r="E9" s="364"/>
      <c r="F9" s="364"/>
      <c r="G9" s="364"/>
      <c r="H9" s="364"/>
      <c r="I9" s="364"/>
      <c r="J9" s="364"/>
      <c r="K9" s="364"/>
      <c r="L9" s="364"/>
      <c r="M9" s="364"/>
      <c r="N9" s="364"/>
      <c r="O9" s="364"/>
      <c r="P9" s="364"/>
      <c r="Q9" s="364"/>
      <c r="R9" s="364"/>
      <c r="S9" s="364"/>
      <c r="T9" s="364"/>
      <c r="U9" s="364"/>
      <c r="V9" s="364"/>
      <c r="W9" s="364"/>
      <c r="X9" s="365"/>
      <c r="Y9" s="365"/>
      <c r="Z9" s="366"/>
      <c r="AA9" s="367" t="s">
        <v>235</v>
      </c>
      <c r="AD9" s="368" t="s">
        <v>236</v>
      </c>
      <c r="AG9" s="369">
        <f>IF('Species &amp; Traits'!AP81="Yes",SUM((AG18+AK3)*1),SUM((AG18+AK3)*0.5))</f>
        <v>15</v>
      </c>
      <c r="AH9" s="362" t="s">
        <v>234</v>
      </c>
      <c r="AK9" s="363"/>
      <c r="AL9" s="364"/>
      <c r="AM9" s="364"/>
      <c r="AN9" s="364"/>
      <c r="AO9" s="364"/>
      <c r="AP9" s="364"/>
      <c r="AQ9" s="364"/>
      <c r="AR9" s="364"/>
      <c r="AS9" s="364"/>
      <c r="AT9" s="364"/>
      <c r="AU9" s="364"/>
      <c r="AV9" s="364"/>
      <c r="AW9" s="364"/>
      <c r="AX9" s="364"/>
      <c r="AY9" s="364"/>
      <c r="AZ9" s="364"/>
      <c r="BA9" s="364"/>
      <c r="BB9" s="364"/>
      <c r="BC9" s="364"/>
      <c r="BD9" s="364"/>
      <c r="BE9" s="365"/>
      <c r="BF9" s="365"/>
      <c r="BG9" s="366"/>
      <c r="BH9" s="367" t="s">
        <v>235</v>
      </c>
      <c r="BK9" s="368" t="s">
        <v>236</v>
      </c>
      <c r="BN9" s="370"/>
      <c r="BO9" s="370"/>
      <c r="BP9" s="370"/>
      <c r="BQ9" s="370"/>
      <c r="BR9" s="370"/>
      <c r="BS9" s="370"/>
      <c r="BT9" s="370"/>
      <c r="BU9" s="370"/>
      <c r="BV9" s="370"/>
      <c r="BW9" s="370"/>
      <c r="BX9" s="370"/>
      <c r="BY9" s="370"/>
      <c r="BZ9" s="370"/>
      <c r="CA9" s="370"/>
      <c r="CB9" s="370"/>
      <c r="CC9" s="370"/>
      <c r="CD9" s="370"/>
      <c r="CE9" s="370"/>
      <c r="CF9" s="370"/>
      <c r="CG9" s="370"/>
      <c r="CH9" s="370"/>
      <c r="CI9" s="370"/>
      <c r="CJ9" s="370"/>
      <c r="CK9" s="370"/>
      <c r="CL9" s="370"/>
    </row>
    <row r="10" ht="15.0" customHeight="1">
      <c r="A10" s="371" t="s">
        <v>237</v>
      </c>
      <c r="B10" s="3"/>
      <c r="C10" s="3"/>
      <c r="D10" s="3"/>
      <c r="E10" s="3"/>
      <c r="F10" s="3"/>
      <c r="G10" s="3"/>
      <c r="H10" s="3"/>
      <c r="I10" s="3"/>
      <c r="J10" s="3"/>
      <c r="K10" s="3"/>
      <c r="L10" s="3"/>
      <c r="M10" s="3"/>
      <c r="N10" s="3"/>
      <c r="O10" s="3"/>
      <c r="P10" s="3"/>
      <c r="Q10" s="3"/>
      <c r="R10" s="3"/>
      <c r="S10" s="3"/>
      <c r="T10" s="3"/>
      <c r="U10" s="3"/>
      <c r="V10" s="3"/>
      <c r="W10" s="3"/>
      <c r="X10" s="3"/>
      <c r="Y10" s="3"/>
      <c r="Z10" s="5"/>
      <c r="AA10" s="372"/>
      <c r="AB10" s="5"/>
      <c r="AC10" s="372">
        <v>2600.0</v>
      </c>
      <c r="AD10" s="3"/>
      <c r="AE10" s="3"/>
      <c r="AF10" s="3"/>
      <c r="AG10" s="369">
        <f>SUM(AA10:AB39)</f>
        <v>0</v>
      </c>
      <c r="AH10" s="373" t="s">
        <v>238</v>
      </c>
      <c r="BH10" s="372"/>
      <c r="BI10" s="5"/>
      <c r="BJ10" s="372"/>
      <c r="BK10" s="3"/>
      <c r="BL10" s="3"/>
      <c r="BM10" s="3"/>
      <c r="BN10" s="370"/>
      <c r="BO10" s="370"/>
      <c r="BP10" s="370"/>
      <c r="BQ10" s="370"/>
      <c r="BR10" s="370"/>
      <c r="BS10" s="370"/>
      <c r="BT10" s="370"/>
      <c r="BU10" s="370"/>
      <c r="BV10" s="370"/>
      <c r="BW10" s="370"/>
      <c r="BX10" s="370"/>
      <c r="BY10" s="370"/>
      <c r="BZ10" s="370"/>
      <c r="CA10" s="370"/>
      <c r="CB10" s="370"/>
      <c r="CC10" s="370"/>
      <c r="CD10" s="370"/>
      <c r="CE10" s="370"/>
      <c r="CF10" s="370"/>
      <c r="CG10" s="370"/>
      <c r="CH10" s="370"/>
      <c r="CI10" s="370"/>
      <c r="CJ10" s="370"/>
      <c r="CK10" s="370"/>
      <c r="CL10" s="370"/>
    </row>
    <row r="11" ht="15.0"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2"/>
      <c r="AA11" s="13"/>
      <c r="AB11" s="12"/>
      <c r="AC11" s="13"/>
      <c r="AD11" s="11"/>
      <c r="AE11" s="11"/>
      <c r="AF11" s="11"/>
      <c r="AG11" s="369">
        <f>SUM(BH10:BI38)</f>
        <v>0</v>
      </c>
      <c r="AH11" s="6"/>
      <c r="BH11" s="13"/>
      <c r="BI11" s="12"/>
      <c r="BJ11" s="13"/>
      <c r="BK11" s="11"/>
      <c r="BL11" s="11"/>
      <c r="BM11" s="11"/>
      <c r="BN11" s="374"/>
      <c r="BO11" s="374"/>
      <c r="BP11" s="374"/>
      <c r="BQ11" s="374"/>
      <c r="BR11" s="374"/>
      <c r="BS11" s="374"/>
      <c r="BT11" s="374"/>
      <c r="BU11" s="374"/>
      <c r="BV11" s="374"/>
      <c r="BW11" s="374"/>
      <c r="BX11" s="374"/>
      <c r="BY11" s="374"/>
      <c r="BZ11" s="374"/>
      <c r="CA11" s="374"/>
      <c r="CB11" s="374"/>
      <c r="CC11" s="374"/>
      <c r="CD11" s="374"/>
      <c r="CE11" s="374"/>
      <c r="CF11" s="374"/>
      <c r="CG11" s="374"/>
      <c r="CH11" s="374"/>
      <c r="CI11" s="374"/>
      <c r="CJ11" s="374"/>
      <c r="CK11" s="374"/>
      <c r="CL11" s="374"/>
    </row>
    <row r="12" ht="15.0" customHeight="1">
      <c r="A12" s="375" t="s">
        <v>239</v>
      </c>
      <c r="B12" s="3"/>
      <c r="C12" s="3"/>
      <c r="D12" s="3"/>
      <c r="E12" s="3"/>
      <c r="F12" s="3"/>
      <c r="G12" s="3"/>
      <c r="H12" s="3"/>
      <c r="I12" s="3"/>
      <c r="J12" s="3"/>
      <c r="K12" s="3"/>
      <c r="L12" s="3"/>
      <c r="M12" s="3"/>
      <c r="N12" s="3"/>
      <c r="O12" s="3"/>
      <c r="P12" s="3"/>
      <c r="Q12" s="3"/>
      <c r="R12" s="3"/>
      <c r="S12" s="3"/>
      <c r="T12" s="3"/>
      <c r="U12" s="3"/>
      <c r="V12" s="3"/>
      <c r="W12" s="3"/>
      <c r="X12" s="3"/>
      <c r="Y12" s="3"/>
      <c r="Z12" s="5"/>
      <c r="AA12" s="376"/>
      <c r="AB12" s="5"/>
      <c r="AC12" s="376">
        <v>1000.0</v>
      </c>
      <c r="AD12" s="3"/>
      <c r="AE12" s="3"/>
      <c r="AF12" s="3"/>
      <c r="AG12" s="369">
        <f>IF(AG18&lt;0.01,0,SUM(AG13*-1))</f>
        <v>0</v>
      </c>
      <c r="AH12" s="377"/>
      <c r="BH12" s="376"/>
      <c r="BI12" s="5"/>
      <c r="BJ12" s="376"/>
      <c r="BK12" s="3"/>
      <c r="BL12" s="3"/>
      <c r="BM12" s="3"/>
      <c r="BN12" s="374"/>
      <c r="BO12" s="374"/>
      <c r="BP12" s="374"/>
      <c r="BQ12" s="374"/>
      <c r="BR12" s="374"/>
      <c r="BS12" s="374"/>
      <c r="BT12" s="374"/>
      <c r="BU12" s="374"/>
      <c r="BV12" s="374"/>
      <c r="BW12" s="374"/>
      <c r="BX12" s="374"/>
      <c r="BY12" s="374"/>
      <c r="BZ12" s="374"/>
      <c r="CA12" s="374"/>
      <c r="CB12" s="374"/>
      <c r="CC12" s="374"/>
      <c r="CD12" s="374"/>
      <c r="CE12" s="374"/>
      <c r="CF12" s="374"/>
      <c r="CG12" s="374"/>
      <c r="CH12" s="374"/>
      <c r="CI12" s="374"/>
      <c r="CJ12" s="374"/>
      <c r="CK12" s="374"/>
      <c r="CL12" s="374"/>
    </row>
    <row r="13" ht="15.0" customHeight="1">
      <c r="Z13" s="49"/>
      <c r="AA13" s="6"/>
      <c r="AB13" s="49"/>
      <c r="AC13" s="6"/>
      <c r="AG13" s="369">
        <f>IF(AG10+AG11&gt;0.001,SUM((AG10+AG11)/AG9),0)</f>
        <v>0</v>
      </c>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3"/>
      <c r="BI13" s="12"/>
      <c r="BJ13" s="13"/>
      <c r="BK13" s="11"/>
      <c r="BL13" s="11"/>
      <c r="BM13" s="11"/>
      <c r="BN13" s="374"/>
      <c r="BO13" s="374"/>
      <c r="BP13" s="374"/>
      <c r="BQ13" s="374"/>
      <c r="BR13" s="374"/>
      <c r="BS13" s="374"/>
      <c r="BT13" s="374"/>
      <c r="BU13" s="374"/>
      <c r="BV13" s="374"/>
      <c r="BW13" s="374"/>
      <c r="BX13" s="374"/>
      <c r="BY13" s="374"/>
      <c r="BZ13" s="374"/>
      <c r="CA13" s="374"/>
      <c r="CB13" s="374"/>
      <c r="CC13" s="374"/>
      <c r="CD13" s="374"/>
      <c r="CE13" s="374"/>
      <c r="CF13" s="374"/>
      <c r="CG13" s="374"/>
      <c r="CH13" s="374"/>
      <c r="CI13" s="374"/>
      <c r="CJ13" s="374"/>
      <c r="CK13" s="374"/>
      <c r="CL13" s="374"/>
    </row>
    <row r="14" ht="15.0" customHeight="1">
      <c r="A14" s="371" t="s">
        <v>240</v>
      </c>
      <c r="B14" s="3"/>
      <c r="C14" s="3"/>
      <c r="D14" s="3"/>
      <c r="E14" s="3"/>
      <c r="F14" s="3"/>
      <c r="G14" s="3"/>
      <c r="H14" s="3"/>
      <c r="I14" s="3"/>
      <c r="J14" s="3"/>
      <c r="K14" s="3"/>
      <c r="L14" s="3"/>
      <c r="M14" s="3"/>
      <c r="N14" s="3"/>
      <c r="O14" s="3"/>
      <c r="P14" s="3"/>
      <c r="Q14" s="3"/>
      <c r="R14" s="3"/>
      <c r="S14" s="3"/>
      <c r="T14" s="3"/>
      <c r="U14" s="3"/>
      <c r="V14" s="3"/>
      <c r="W14" s="3"/>
      <c r="X14" s="3"/>
      <c r="Y14" s="3"/>
      <c r="Z14" s="5"/>
      <c r="AA14" s="372"/>
      <c r="AB14" s="5"/>
      <c r="AC14" s="372">
        <v>250.0</v>
      </c>
      <c r="AD14" s="3"/>
      <c r="AE14" s="3"/>
      <c r="AF14" s="3"/>
      <c r="AG14" s="369">
        <f>SUM(AC10:AF57)</f>
        <v>11850</v>
      </c>
      <c r="AH14" s="371" t="s">
        <v>167</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72"/>
      <c r="BI14" s="5"/>
      <c r="BJ14" s="372">
        <v>250.0</v>
      </c>
      <c r="BK14" s="3"/>
      <c r="BL14" s="3"/>
      <c r="BM14" s="3"/>
      <c r="BN14" s="374"/>
      <c r="BO14" s="374"/>
      <c r="BP14" s="374"/>
      <c r="BQ14" s="374"/>
      <c r="BR14" s="374"/>
      <c r="BS14" s="374"/>
      <c r="BT14" s="374"/>
      <c r="BU14" s="374"/>
      <c r="BV14" s="374"/>
      <c r="BW14" s="374"/>
      <c r="BX14" s="374"/>
      <c r="BY14" s="374"/>
      <c r="BZ14" s="374"/>
      <c r="CA14" s="374"/>
      <c r="CB14" s="374"/>
      <c r="CC14" s="374"/>
      <c r="CD14" s="374"/>
      <c r="CE14" s="374"/>
      <c r="CF14" s="374"/>
      <c r="CG14" s="374"/>
      <c r="CH14" s="374"/>
      <c r="CI14" s="374"/>
      <c r="CJ14" s="374"/>
      <c r="CK14" s="374"/>
      <c r="CL14" s="374"/>
    </row>
    <row r="15" ht="15.0"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2"/>
      <c r="AA15" s="13"/>
      <c r="AB15" s="12"/>
      <c r="AC15" s="13"/>
      <c r="AD15" s="11"/>
      <c r="AE15" s="11"/>
      <c r="AF15" s="11"/>
      <c r="AG15" s="369">
        <f>SUM(BJ10:BM57)</f>
        <v>8000</v>
      </c>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3"/>
      <c r="BI15" s="12"/>
      <c r="BJ15" s="13"/>
      <c r="BK15" s="11"/>
      <c r="BL15" s="11"/>
      <c r="BM15" s="11"/>
      <c r="BN15" s="374"/>
      <c r="BO15" s="374"/>
      <c r="BP15" s="374"/>
      <c r="BQ15" s="374"/>
      <c r="BR15" s="374"/>
      <c r="BS15" s="374"/>
      <c r="BT15" s="374"/>
      <c r="BU15" s="374"/>
      <c r="BV15" s="374"/>
      <c r="BW15" s="374"/>
      <c r="BX15" s="374"/>
      <c r="BY15" s="374"/>
      <c r="BZ15" s="374"/>
      <c r="CA15" s="374"/>
      <c r="CB15" s="374"/>
      <c r="CC15" s="374"/>
      <c r="CD15" s="374"/>
      <c r="CE15" s="374"/>
      <c r="CF15" s="374"/>
      <c r="CG15" s="374"/>
      <c r="CH15" s="374"/>
      <c r="CI15" s="374"/>
      <c r="CJ15" s="374"/>
      <c r="CK15" s="374"/>
      <c r="CL15" s="374"/>
    </row>
    <row r="16" ht="15.0" customHeight="1">
      <c r="A16" s="375" t="s">
        <v>241</v>
      </c>
      <c r="B16" s="3"/>
      <c r="C16" s="3"/>
      <c r="D16" s="3"/>
      <c r="E16" s="3"/>
      <c r="F16" s="3"/>
      <c r="G16" s="3"/>
      <c r="H16" s="3"/>
      <c r="I16" s="3"/>
      <c r="J16" s="3"/>
      <c r="K16" s="3"/>
      <c r="L16" s="3"/>
      <c r="M16" s="3"/>
      <c r="N16" s="3"/>
      <c r="O16" s="3"/>
      <c r="P16" s="3"/>
      <c r="Q16" s="3"/>
      <c r="R16" s="3"/>
      <c r="S16" s="3"/>
      <c r="T16" s="3"/>
      <c r="U16" s="3"/>
      <c r="V16" s="3"/>
      <c r="W16" s="3"/>
      <c r="X16" s="3"/>
      <c r="Y16" s="3"/>
      <c r="Z16" s="5"/>
      <c r="AA16" s="376"/>
      <c r="AB16" s="5"/>
      <c r="AC16" s="376">
        <v>250.0</v>
      </c>
      <c r="AD16" s="3"/>
      <c r="AE16" s="3"/>
      <c r="AF16" s="3"/>
      <c r="AG16" s="369">
        <f>SUM(BI72:BM115)</f>
        <v>0</v>
      </c>
      <c r="AH16" s="375" t="s">
        <v>242</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76"/>
      <c r="BI16" s="5"/>
      <c r="BJ16" s="376">
        <v>5000.0</v>
      </c>
      <c r="BK16" s="3"/>
      <c r="BL16" s="3"/>
      <c r="BM16" s="3"/>
      <c r="BN16" s="374"/>
      <c r="BO16" s="374"/>
      <c r="BP16" s="374"/>
      <c r="BQ16" s="374"/>
      <c r="BR16" s="374"/>
      <c r="BS16" s="374"/>
      <c r="BT16" s="374"/>
      <c r="BU16" s="374"/>
      <c r="BV16" s="374"/>
      <c r="BW16" s="374"/>
      <c r="BX16" s="374"/>
      <c r="BY16" s="374"/>
      <c r="BZ16" s="374"/>
      <c r="CA16" s="374"/>
      <c r="CB16" s="374"/>
      <c r="CC16" s="374"/>
      <c r="CD16" s="374"/>
      <c r="CE16" s="374"/>
      <c r="CF16" s="374"/>
      <c r="CG16" s="374"/>
      <c r="CH16" s="374"/>
      <c r="CI16" s="374"/>
      <c r="CJ16" s="374"/>
      <c r="CK16" s="374"/>
      <c r="CL16" s="374"/>
    </row>
    <row r="17" ht="15.0" customHeight="1">
      <c r="Z17" s="49"/>
      <c r="AA17" s="6"/>
      <c r="AB17" s="49"/>
      <c r="AC17" s="6"/>
      <c r="AG17" s="378"/>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3"/>
      <c r="BI17" s="12"/>
      <c r="BJ17" s="13"/>
      <c r="BK17" s="11"/>
      <c r="BL17" s="11"/>
      <c r="BM17" s="11"/>
      <c r="BN17" s="374"/>
      <c r="BO17" s="374"/>
      <c r="BP17" s="374"/>
      <c r="BQ17" s="374"/>
      <c r="BR17" s="374"/>
      <c r="BS17" s="374"/>
      <c r="BT17" s="374"/>
      <c r="BU17" s="374"/>
      <c r="BV17" s="374"/>
      <c r="BW17" s="374"/>
      <c r="BX17" s="374"/>
      <c r="BY17" s="374"/>
      <c r="BZ17" s="374"/>
      <c r="CA17" s="374"/>
      <c r="CB17" s="374"/>
      <c r="CC17" s="374"/>
      <c r="CD17" s="374"/>
      <c r="CE17" s="374"/>
      <c r="CF17" s="374"/>
      <c r="CG17" s="374"/>
      <c r="CH17" s="374"/>
      <c r="CI17" s="374"/>
      <c r="CJ17" s="374"/>
      <c r="CK17" s="374"/>
      <c r="CL17" s="374"/>
    </row>
    <row r="18" ht="15.0" customHeight="1">
      <c r="A18" s="371" t="s">
        <v>243</v>
      </c>
      <c r="B18" s="3"/>
      <c r="C18" s="3"/>
      <c r="D18" s="3"/>
      <c r="E18" s="3"/>
      <c r="F18" s="3"/>
      <c r="G18" s="3"/>
      <c r="H18" s="3"/>
      <c r="I18" s="3"/>
      <c r="J18" s="3"/>
      <c r="K18" s="3"/>
      <c r="L18" s="3"/>
      <c r="M18" s="3"/>
      <c r="N18" s="3"/>
      <c r="O18" s="3"/>
      <c r="P18" s="3"/>
      <c r="Q18" s="3"/>
      <c r="R18" s="3"/>
      <c r="S18" s="3"/>
      <c r="T18" s="3"/>
      <c r="U18" s="3"/>
      <c r="V18" s="3"/>
      <c r="W18" s="3"/>
      <c r="X18" s="3"/>
      <c r="Y18" s="3"/>
      <c r="Z18" s="3"/>
      <c r="AA18" s="372"/>
      <c r="AB18" s="5"/>
      <c r="AC18" s="87" t="s">
        <v>244</v>
      </c>
      <c r="AD18" s="3"/>
      <c r="AE18" s="3"/>
      <c r="AF18" s="3"/>
      <c r="AG18" s="369">
        <f>SUM('Front Page'!BG18)</f>
        <v>30</v>
      </c>
      <c r="AH18" s="371"/>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72"/>
      <c r="BI18" s="5"/>
      <c r="BJ18" s="372"/>
      <c r="BK18" s="3"/>
      <c r="BL18" s="3"/>
      <c r="BM18" s="3"/>
      <c r="BN18" s="374"/>
      <c r="BO18" s="374"/>
      <c r="BP18" s="374"/>
      <c r="BQ18" s="374"/>
      <c r="BR18" s="374"/>
      <c r="BS18" s="374"/>
      <c r="BT18" s="374"/>
      <c r="BU18" s="374"/>
      <c r="BV18" s="374"/>
      <c r="BW18" s="374"/>
      <c r="BX18" s="374"/>
      <c r="BY18" s="374"/>
      <c r="BZ18" s="374"/>
      <c r="CA18" s="374"/>
      <c r="CB18" s="374"/>
      <c r="CC18" s="374"/>
      <c r="CD18" s="374"/>
      <c r="CE18" s="374"/>
      <c r="CF18" s="374"/>
      <c r="CG18" s="374"/>
      <c r="CH18" s="374"/>
      <c r="CI18" s="374"/>
      <c r="CJ18" s="374"/>
      <c r="CK18" s="374"/>
      <c r="CL18" s="374"/>
    </row>
    <row r="19" ht="15.0" customHeight="1">
      <c r="AA19" s="6"/>
      <c r="AB19" s="49"/>
      <c r="AG19" s="369">
        <f>SUM((Q5*1000)+F2)-Q3</f>
        <v>9150</v>
      </c>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3"/>
      <c r="BI19" s="12"/>
      <c r="BJ19" s="13"/>
      <c r="BK19" s="11"/>
      <c r="BL19" s="11"/>
      <c r="BM19" s="11"/>
      <c r="BN19" s="374"/>
      <c r="BO19" s="374"/>
      <c r="BP19" s="374"/>
      <c r="BQ19" s="374"/>
      <c r="BR19" s="374"/>
      <c r="BS19" s="374"/>
      <c r="BT19" s="374"/>
      <c r="BU19" s="374"/>
      <c r="BV19" s="374"/>
      <c r="BW19" s="374"/>
      <c r="BX19" s="374"/>
      <c r="BY19" s="374"/>
      <c r="BZ19" s="374"/>
      <c r="CA19" s="374"/>
      <c r="CB19" s="374"/>
      <c r="CC19" s="374"/>
      <c r="CD19" s="374"/>
      <c r="CE19" s="374"/>
      <c r="CF19" s="374"/>
      <c r="CG19" s="374"/>
      <c r="CH19" s="374"/>
      <c r="CI19" s="374"/>
      <c r="CJ19" s="374"/>
      <c r="CK19" s="374"/>
      <c r="CL19" s="374"/>
    </row>
    <row r="20" ht="15.0" customHeight="1">
      <c r="A20" s="375" t="s">
        <v>245</v>
      </c>
      <c r="B20" s="3"/>
      <c r="C20" s="3"/>
      <c r="D20" s="3"/>
      <c r="E20" s="3"/>
      <c r="F20" s="3"/>
      <c r="G20" s="3"/>
      <c r="H20" s="3"/>
      <c r="I20" s="3"/>
      <c r="J20" s="3"/>
      <c r="K20" s="3"/>
      <c r="L20" s="3"/>
      <c r="M20" s="3"/>
      <c r="N20" s="3"/>
      <c r="O20" s="3"/>
      <c r="P20" s="3"/>
      <c r="Q20" s="3"/>
      <c r="R20" s="3"/>
      <c r="S20" s="3"/>
      <c r="T20" s="3"/>
      <c r="U20" s="3"/>
      <c r="V20" s="3"/>
      <c r="W20" s="3"/>
      <c r="X20" s="3"/>
      <c r="Y20" s="3"/>
      <c r="Z20" s="3"/>
      <c r="AA20" s="376"/>
      <c r="AB20" s="5"/>
      <c r="AC20" s="379">
        <v>1000.0</v>
      </c>
      <c r="AD20" s="3"/>
      <c r="AE20" s="3"/>
      <c r="AF20" s="3"/>
      <c r="AG20" s="369">
        <f>SUM(Q5+Q4)</f>
        <v>24</v>
      </c>
      <c r="AH20" s="375" t="s">
        <v>246</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76"/>
      <c r="BI20" s="5"/>
      <c r="BJ20" s="376">
        <v>250.0</v>
      </c>
      <c r="BK20" s="3"/>
      <c r="BL20" s="3"/>
      <c r="BM20" s="3"/>
      <c r="BN20" s="374"/>
      <c r="BO20" s="374"/>
      <c r="BP20" s="374"/>
      <c r="BQ20" s="374"/>
      <c r="BR20" s="374"/>
      <c r="BS20" s="374"/>
      <c r="BT20" s="374"/>
      <c r="BU20" s="374"/>
      <c r="BV20" s="374"/>
      <c r="BW20" s="374"/>
      <c r="BX20" s="374"/>
      <c r="BY20" s="374"/>
      <c r="BZ20" s="374"/>
      <c r="CA20" s="374"/>
      <c r="CB20" s="374"/>
      <c r="CC20" s="374"/>
      <c r="CD20" s="374"/>
      <c r="CE20" s="374"/>
      <c r="CF20" s="374"/>
      <c r="CG20" s="374"/>
      <c r="CH20" s="374"/>
      <c r="CI20" s="374"/>
      <c r="CJ20" s="374"/>
      <c r="CK20" s="374"/>
      <c r="CL20" s="374"/>
    </row>
    <row r="21" ht="15.0" customHeight="1">
      <c r="AA21" s="6"/>
      <c r="AB21" s="49"/>
      <c r="AG21" s="370"/>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3"/>
      <c r="BI21" s="12"/>
      <c r="BJ21" s="13"/>
      <c r="BK21" s="11"/>
      <c r="BL21" s="11"/>
      <c r="BM21" s="11"/>
      <c r="BN21" s="374"/>
      <c r="BO21" s="374"/>
      <c r="BP21" s="374"/>
      <c r="BQ21" s="374"/>
      <c r="BR21" s="374"/>
      <c r="BS21" s="374"/>
      <c r="BT21" s="374"/>
      <c r="BU21" s="374"/>
      <c r="BV21" s="374"/>
      <c r="BW21" s="374"/>
      <c r="BX21" s="374"/>
      <c r="BY21" s="374"/>
      <c r="BZ21" s="374"/>
      <c r="CA21" s="374"/>
      <c r="CB21" s="374"/>
      <c r="CC21" s="374"/>
      <c r="CD21" s="374"/>
      <c r="CE21" s="374"/>
      <c r="CF21" s="374"/>
      <c r="CG21" s="374"/>
      <c r="CH21" s="374"/>
      <c r="CI21" s="374"/>
      <c r="CJ21" s="374"/>
      <c r="CK21" s="374"/>
      <c r="CL21" s="374"/>
    </row>
    <row r="22" ht="15.0" customHeight="1">
      <c r="A22" s="371" t="s">
        <v>247</v>
      </c>
      <c r="B22" s="3"/>
      <c r="C22" s="3"/>
      <c r="D22" s="3"/>
      <c r="E22" s="3"/>
      <c r="F22" s="3"/>
      <c r="G22" s="3"/>
      <c r="H22" s="3"/>
      <c r="I22" s="3"/>
      <c r="J22" s="3"/>
      <c r="K22" s="3"/>
      <c r="L22" s="3"/>
      <c r="M22" s="3"/>
      <c r="N22" s="3"/>
      <c r="O22" s="3"/>
      <c r="P22" s="3"/>
      <c r="Q22" s="3"/>
      <c r="R22" s="3"/>
      <c r="S22" s="3"/>
      <c r="T22" s="3"/>
      <c r="U22" s="3"/>
      <c r="V22" s="3"/>
      <c r="W22" s="3"/>
      <c r="X22" s="3"/>
      <c r="Y22" s="3"/>
      <c r="Z22" s="3"/>
      <c r="AA22" s="372"/>
      <c r="AB22" s="5"/>
      <c r="AC22" s="87">
        <v>1000.0</v>
      </c>
      <c r="AD22" s="3"/>
      <c r="AE22" s="3"/>
      <c r="AF22" s="3"/>
      <c r="AG22" s="370"/>
      <c r="AH22" s="371" t="s">
        <v>248</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72"/>
      <c r="BI22" s="5"/>
      <c r="BJ22" s="372">
        <v>250.0</v>
      </c>
      <c r="BK22" s="3"/>
      <c r="BL22" s="3"/>
      <c r="BM22" s="3"/>
      <c r="BN22" s="374"/>
      <c r="BO22" s="374"/>
      <c r="BP22" s="374"/>
      <c r="BQ22" s="374"/>
      <c r="BR22" s="374"/>
      <c r="BS22" s="374"/>
      <c r="BT22" s="374"/>
      <c r="BU22" s="374"/>
      <c r="BV22" s="374"/>
      <c r="BW22" s="374"/>
      <c r="BX22" s="374"/>
      <c r="BY22" s="374"/>
      <c r="BZ22" s="374"/>
      <c r="CA22" s="374"/>
      <c r="CB22" s="374"/>
      <c r="CC22" s="374"/>
      <c r="CD22" s="374"/>
      <c r="CE22" s="374"/>
      <c r="CF22" s="374"/>
      <c r="CG22" s="374"/>
      <c r="CH22" s="374"/>
      <c r="CI22" s="374"/>
      <c r="CJ22" s="374"/>
      <c r="CK22" s="374"/>
      <c r="CL22" s="374"/>
    </row>
    <row r="23" ht="15.0" customHeight="1">
      <c r="AA23" s="6"/>
      <c r="AB23" s="49"/>
      <c r="AG23" s="370"/>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3"/>
      <c r="BI23" s="12"/>
      <c r="BJ23" s="13"/>
      <c r="BK23" s="11"/>
      <c r="BL23" s="11"/>
      <c r="BM23" s="11"/>
      <c r="BN23" s="374"/>
      <c r="BO23" s="374"/>
      <c r="BP23" s="374"/>
      <c r="BQ23" s="374"/>
      <c r="BR23" s="374"/>
      <c r="BS23" s="374"/>
      <c r="BT23" s="374"/>
      <c r="BU23" s="374"/>
      <c r="BV23" s="374"/>
      <c r="BW23" s="374"/>
      <c r="BX23" s="374"/>
      <c r="BY23" s="374"/>
      <c r="BZ23" s="374"/>
      <c r="CA23" s="374"/>
      <c r="CB23" s="374"/>
      <c r="CC23" s="374"/>
      <c r="CD23" s="374"/>
      <c r="CE23" s="374"/>
      <c r="CF23" s="374"/>
      <c r="CG23" s="374"/>
      <c r="CH23" s="374"/>
      <c r="CI23" s="374"/>
      <c r="CJ23" s="374"/>
      <c r="CK23" s="374"/>
      <c r="CL23" s="374"/>
    </row>
    <row r="24" ht="15.0" customHeight="1">
      <c r="A24" s="375" t="s">
        <v>249</v>
      </c>
      <c r="B24" s="3"/>
      <c r="C24" s="3"/>
      <c r="D24" s="3"/>
      <c r="E24" s="3"/>
      <c r="F24" s="3"/>
      <c r="G24" s="3"/>
      <c r="H24" s="3"/>
      <c r="I24" s="3"/>
      <c r="J24" s="3"/>
      <c r="K24" s="3"/>
      <c r="L24" s="3"/>
      <c r="M24" s="3"/>
      <c r="N24" s="3"/>
      <c r="O24" s="3"/>
      <c r="P24" s="3"/>
      <c r="Q24" s="3"/>
      <c r="R24" s="3"/>
      <c r="S24" s="3"/>
      <c r="T24" s="3"/>
      <c r="U24" s="3"/>
      <c r="V24" s="3"/>
      <c r="W24" s="3"/>
      <c r="X24" s="3"/>
      <c r="Y24" s="3"/>
      <c r="Z24" s="3"/>
      <c r="AA24" s="376"/>
      <c r="AB24" s="5"/>
      <c r="AC24" s="379">
        <v>250.0</v>
      </c>
      <c r="AD24" s="3"/>
      <c r="AE24" s="3"/>
      <c r="AF24" s="3"/>
      <c r="AG24" s="370"/>
      <c r="AH24" s="375" t="s">
        <v>250</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76"/>
      <c r="BI24" s="5"/>
      <c r="BJ24" s="376">
        <v>1000.0</v>
      </c>
      <c r="BK24" s="3"/>
      <c r="BL24" s="3"/>
      <c r="BM24" s="3"/>
      <c r="BN24" s="374"/>
      <c r="BO24" s="374"/>
      <c r="BP24" s="374"/>
      <c r="BQ24" s="374"/>
      <c r="BR24" s="374"/>
      <c r="BS24" s="374"/>
      <c r="BT24" s="374"/>
      <c r="BU24" s="374"/>
      <c r="BV24" s="374"/>
      <c r="BW24" s="374"/>
      <c r="BX24" s="374"/>
      <c r="BY24" s="374"/>
      <c r="BZ24" s="374"/>
      <c r="CA24" s="374"/>
      <c r="CB24" s="374"/>
      <c r="CC24" s="374"/>
      <c r="CD24" s="374"/>
      <c r="CE24" s="374"/>
      <c r="CF24" s="374"/>
      <c r="CG24" s="374"/>
      <c r="CH24" s="374"/>
      <c r="CI24" s="374"/>
      <c r="CJ24" s="374"/>
      <c r="CK24" s="374"/>
      <c r="CL24" s="374"/>
    </row>
    <row r="25" ht="15.0" customHeight="1">
      <c r="AA25" s="6"/>
      <c r="AB25" s="49"/>
      <c r="AG25" s="370"/>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3"/>
      <c r="BI25" s="12"/>
      <c r="BJ25" s="13"/>
      <c r="BK25" s="11"/>
      <c r="BL25" s="11"/>
      <c r="BM25" s="11"/>
      <c r="BN25" s="374"/>
      <c r="BO25" s="374"/>
      <c r="BP25" s="374"/>
      <c r="BQ25" s="374"/>
      <c r="BR25" s="374"/>
      <c r="BS25" s="374"/>
      <c r="BT25" s="374"/>
      <c r="BU25" s="374"/>
      <c r="BV25" s="374"/>
      <c r="BW25" s="374"/>
      <c r="BX25" s="374"/>
      <c r="BY25" s="374"/>
      <c r="BZ25" s="374"/>
      <c r="CA25" s="374"/>
      <c r="CB25" s="374"/>
      <c r="CC25" s="374"/>
      <c r="CD25" s="374"/>
      <c r="CE25" s="374"/>
      <c r="CF25" s="374"/>
      <c r="CG25" s="374"/>
      <c r="CH25" s="374"/>
      <c r="CI25" s="374"/>
      <c r="CJ25" s="374"/>
      <c r="CK25" s="374"/>
      <c r="CL25" s="374"/>
    </row>
    <row r="26" ht="15.0" customHeight="1">
      <c r="A26" s="371" t="s">
        <v>251</v>
      </c>
      <c r="B26" s="3"/>
      <c r="C26" s="3"/>
      <c r="D26" s="3"/>
      <c r="E26" s="3"/>
      <c r="F26" s="3"/>
      <c r="G26" s="3"/>
      <c r="H26" s="3"/>
      <c r="I26" s="3"/>
      <c r="J26" s="3"/>
      <c r="K26" s="3"/>
      <c r="L26" s="3"/>
      <c r="M26" s="3"/>
      <c r="N26" s="3"/>
      <c r="O26" s="3"/>
      <c r="P26" s="3"/>
      <c r="Q26" s="3"/>
      <c r="R26" s="3"/>
      <c r="S26" s="3"/>
      <c r="T26" s="3"/>
      <c r="U26" s="3"/>
      <c r="V26" s="3"/>
      <c r="W26" s="3"/>
      <c r="X26" s="3"/>
      <c r="Y26" s="3"/>
      <c r="Z26" s="3"/>
      <c r="AA26" s="372"/>
      <c r="AB26" s="5"/>
      <c r="AC26" s="87">
        <v>1000.0</v>
      </c>
      <c r="AD26" s="3"/>
      <c r="AE26" s="3"/>
      <c r="AF26" s="3"/>
      <c r="AG26" s="370"/>
      <c r="AH26" s="371" t="s">
        <v>252</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72"/>
      <c r="BI26" s="5"/>
      <c r="BJ26" s="372">
        <v>1250.0</v>
      </c>
      <c r="BK26" s="3"/>
      <c r="BL26" s="3"/>
      <c r="BM26" s="3"/>
      <c r="BN26" s="374"/>
      <c r="BO26" s="374"/>
      <c r="BP26" s="374"/>
      <c r="BQ26" s="374"/>
      <c r="BR26" s="374"/>
      <c r="BS26" s="374"/>
      <c r="BT26" s="374"/>
      <c r="BU26" s="374"/>
      <c r="BV26" s="374"/>
      <c r="BW26" s="374"/>
      <c r="BX26" s="374"/>
      <c r="BY26" s="374"/>
      <c r="BZ26" s="374"/>
      <c r="CA26" s="374"/>
      <c r="CB26" s="374"/>
      <c r="CC26" s="374"/>
      <c r="CD26" s="374"/>
      <c r="CE26" s="374"/>
      <c r="CF26" s="374"/>
      <c r="CG26" s="374"/>
      <c r="CH26" s="374"/>
      <c r="CI26" s="374"/>
      <c r="CJ26" s="374"/>
      <c r="CK26" s="374"/>
      <c r="CL26" s="374"/>
    </row>
    <row r="27" ht="15.0" customHeight="1">
      <c r="AA27" s="6"/>
      <c r="AB27" s="49"/>
      <c r="AG27" s="370"/>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3"/>
      <c r="BI27" s="12"/>
      <c r="BJ27" s="13"/>
      <c r="BK27" s="11"/>
      <c r="BL27" s="11"/>
      <c r="BM27" s="11"/>
      <c r="BN27" s="374"/>
      <c r="BO27" s="374"/>
      <c r="BP27" s="374"/>
      <c r="BQ27" s="374"/>
      <c r="BR27" s="374"/>
      <c r="BS27" s="374"/>
      <c r="BT27" s="374"/>
      <c r="BU27" s="374"/>
      <c r="BV27" s="374"/>
      <c r="BW27" s="374"/>
      <c r="BX27" s="374"/>
      <c r="BY27" s="374"/>
      <c r="BZ27" s="374"/>
      <c r="CA27" s="374"/>
      <c r="CB27" s="374"/>
      <c r="CC27" s="374"/>
      <c r="CD27" s="374"/>
      <c r="CE27" s="374"/>
      <c r="CF27" s="374"/>
      <c r="CG27" s="374"/>
      <c r="CH27" s="374"/>
      <c r="CI27" s="374"/>
      <c r="CJ27" s="374"/>
      <c r="CK27" s="374"/>
      <c r="CL27" s="374"/>
    </row>
    <row r="28" ht="15.0" customHeight="1">
      <c r="A28" s="375" t="s">
        <v>253</v>
      </c>
      <c r="B28" s="3"/>
      <c r="C28" s="3"/>
      <c r="D28" s="3"/>
      <c r="E28" s="3"/>
      <c r="F28" s="3"/>
      <c r="G28" s="3"/>
      <c r="H28" s="3"/>
      <c r="I28" s="3"/>
      <c r="J28" s="3"/>
      <c r="K28" s="3"/>
      <c r="L28" s="3"/>
      <c r="M28" s="3"/>
      <c r="N28" s="3"/>
      <c r="O28" s="3"/>
      <c r="P28" s="3"/>
      <c r="Q28" s="3"/>
      <c r="R28" s="3"/>
      <c r="S28" s="3"/>
      <c r="T28" s="3"/>
      <c r="U28" s="3"/>
      <c r="V28" s="3"/>
      <c r="W28" s="3"/>
      <c r="X28" s="3"/>
      <c r="Y28" s="3"/>
      <c r="Z28" s="3"/>
      <c r="AA28" s="376"/>
      <c r="AB28" s="5"/>
      <c r="AC28" s="379" t="s">
        <v>244</v>
      </c>
      <c r="AD28" s="3"/>
      <c r="AE28" s="3"/>
      <c r="AF28" s="3"/>
      <c r="AG28" s="370"/>
      <c r="AH28" s="375"/>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76"/>
      <c r="BI28" s="5"/>
      <c r="BJ28" s="376"/>
      <c r="BK28" s="3"/>
      <c r="BL28" s="3"/>
      <c r="BM28" s="3"/>
      <c r="BN28" s="374"/>
      <c r="BO28" s="374"/>
      <c r="BP28" s="374"/>
      <c r="BQ28" s="374"/>
      <c r="BR28" s="374"/>
      <c r="BS28" s="374"/>
      <c r="BT28" s="374"/>
      <c r="BU28" s="374"/>
      <c r="BV28" s="374"/>
      <c r="BW28" s="374"/>
      <c r="BX28" s="374"/>
      <c r="BY28" s="374"/>
      <c r="BZ28" s="374"/>
      <c r="CA28" s="374"/>
      <c r="CB28" s="374"/>
      <c r="CC28" s="374"/>
      <c r="CD28" s="374"/>
      <c r="CE28" s="374"/>
      <c r="CF28" s="374"/>
      <c r="CG28" s="374"/>
      <c r="CH28" s="374"/>
      <c r="CI28" s="374"/>
      <c r="CJ28" s="374"/>
      <c r="CK28" s="374"/>
      <c r="CL28" s="374"/>
    </row>
    <row r="29" ht="15.0" customHeight="1">
      <c r="AA29" s="6"/>
      <c r="AB29" s="49"/>
      <c r="AG29" s="370"/>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3"/>
      <c r="BI29" s="12"/>
      <c r="BJ29" s="13"/>
      <c r="BK29" s="11"/>
      <c r="BL29" s="11"/>
      <c r="BM29" s="11"/>
      <c r="BN29" s="374"/>
      <c r="BO29" s="374"/>
      <c r="BP29" s="374"/>
      <c r="BQ29" s="374"/>
      <c r="BR29" s="374"/>
      <c r="BS29" s="374"/>
      <c r="BT29" s="374"/>
      <c r="BU29" s="374"/>
      <c r="BV29" s="374"/>
      <c r="BW29" s="374"/>
      <c r="BX29" s="374"/>
      <c r="BY29" s="374"/>
      <c r="BZ29" s="374"/>
      <c r="CA29" s="374"/>
      <c r="CB29" s="374"/>
      <c r="CC29" s="374"/>
      <c r="CD29" s="374"/>
      <c r="CE29" s="374"/>
      <c r="CF29" s="374"/>
      <c r="CG29" s="374"/>
      <c r="CH29" s="374"/>
      <c r="CI29" s="374"/>
      <c r="CJ29" s="374"/>
      <c r="CK29" s="374"/>
      <c r="CL29" s="374"/>
    </row>
    <row r="30" ht="15.0" customHeight="1">
      <c r="A30" s="371" t="s">
        <v>254</v>
      </c>
      <c r="B30" s="3"/>
      <c r="C30" s="3"/>
      <c r="D30" s="3"/>
      <c r="E30" s="3"/>
      <c r="F30" s="3"/>
      <c r="G30" s="3"/>
      <c r="H30" s="3"/>
      <c r="I30" s="3"/>
      <c r="J30" s="3"/>
      <c r="K30" s="3"/>
      <c r="L30" s="3"/>
      <c r="M30" s="3"/>
      <c r="N30" s="3"/>
      <c r="O30" s="3"/>
      <c r="P30" s="3"/>
      <c r="Q30" s="3"/>
      <c r="R30" s="3"/>
      <c r="S30" s="3"/>
      <c r="T30" s="3"/>
      <c r="U30" s="3"/>
      <c r="V30" s="3"/>
      <c r="W30" s="3"/>
      <c r="X30" s="3"/>
      <c r="Y30" s="3"/>
      <c r="Z30" s="3"/>
      <c r="AA30" s="372"/>
      <c r="AB30" s="5"/>
      <c r="AC30" s="87">
        <v>1000.0</v>
      </c>
      <c r="AD30" s="3"/>
      <c r="AE30" s="3"/>
      <c r="AF30" s="3"/>
      <c r="AG30" s="370"/>
      <c r="AH30" s="371"/>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72"/>
      <c r="BI30" s="5"/>
      <c r="BJ30" s="372"/>
      <c r="BK30" s="3"/>
      <c r="BL30" s="3"/>
      <c r="BM30" s="3"/>
      <c r="BN30" s="374"/>
      <c r="BO30" s="374"/>
      <c r="BP30" s="374"/>
      <c r="BQ30" s="374"/>
      <c r="BR30" s="374"/>
      <c r="BS30" s="374"/>
      <c r="BT30" s="374"/>
      <c r="BU30" s="374"/>
      <c r="BV30" s="374"/>
      <c r="BW30" s="374"/>
      <c r="BX30" s="374"/>
      <c r="BY30" s="374"/>
      <c r="BZ30" s="374"/>
      <c r="CA30" s="374"/>
      <c r="CB30" s="374"/>
      <c r="CC30" s="374"/>
      <c r="CD30" s="374"/>
      <c r="CE30" s="374"/>
      <c r="CF30" s="374"/>
      <c r="CG30" s="374"/>
      <c r="CH30" s="374"/>
      <c r="CI30" s="374"/>
      <c r="CJ30" s="374"/>
      <c r="CK30" s="374"/>
      <c r="CL30" s="374"/>
    </row>
    <row r="31" ht="15.0" customHeight="1">
      <c r="AA31" s="6"/>
      <c r="AB31" s="49"/>
      <c r="AG31" s="370"/>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3"/>
      <c r="BI31" s="12"/>
      <c r="BJ31" s="13"/>
      <c r="BK31" s="11"/>
      <c r="BL31" s="11"/>
      <c r="BM31" s="11"/>
      <c r="BN31" s="374"/>
      <c r="BO31" s="374"/>
      <c r="BP31" s="374"/>
      <c r="BQ31" s="374"/>
      <c r="BR31" s="374"/>
      <c r="BS31" s="374"/>
      <c r="BT31" s="374"/>
      <c r="BU31" s="374"/>
      <c r="BV31" s="374"/>
      <c r="BW31" s="374"/>
      <c r="BX31" s="374"/>
      <c r="BY31" s="374"/>
      <c r="BZ31" s="374"/>
      <c r="CA31" s="374"/>
      <c r="CB31" s="374"/>
      <c r="CC31" s="374"/>
      <c r="CD31" s="374"/>
      <c r="CE31" s="374"/>
      <c r="CF31" s="374"/>
      <c r="CG31" s="374"/>
      <c r="CH31" s="374"/>
      <c r="CI31" s="374"/>
      <c r="CJ31" s="374"/>
      <c r="CK31" s="374"/>
      <c r="CL31" s="374"/>
    </row>
    <row r="32" ht="15.0" customHeight="1">
      <c r="A32" s="375" t="s">
        <v>255</v>
      </c>
      <c r="B32" s="3"/>
      <c r="C32" s="3"/>
      <c r="D32" s="3"/>
      <c r="E32" s="3"/>
      <c r="F32" s="3"/>
      <c r="G32" s="3"/>
      <c r="H32" s="3"/>
      <c r="I32" s="3"/>
      <c r="J32" s="3"/>
      <c r="K32" s="3"/>
      <c r="L32" s="3"/>
      <c r="M32" s="3"/>
      <c r="N32" s="3"/>
      <c r="O32" s="3"/>
      <c r="P32" s="3"/>
      <c r="Q32" s="3"/>
      <c r="R32" s="3"/>
      <c r="S32" s="3"/>
      <c r="T32" s="3"/>
      <c r="U32" s="3"/>
      <c r="V32" s="3"/>
      <c r="W32" s="3"/>
      <c r="X32" s="3"/>
      <c r="Y32" s="3"/>
      <c r="Z32" s="3"/>
      <c r="AA32" s="376"/>
      <c r="AB32" s="5"/>
      <c r="AC32" s="379" t="s">
        <v>256</v>
      </c>
      <c r="AD32" s="3"/>
      <c r="AE32" s="3"/>
      <c r="AF32" s="3"/>
      <c r="AG32" s="370"/>
      <c r="AH32" s="375"/>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76"/>
      <c r="BI32" s="5"/>
      <c r="BJ32" s="376"/>
      <c r="BK32" s="3"/>
      <c r="BL32" s="3"/>
      <c r="BM32" s="3"/>
      <c r="BN32" s="374"/>
      <c r="BO32" s="374"/>
      <c r="BP32" s="374"/>
      <c r="BQ32" s="374"/>
      <c r="BR32" s="374"/>
      <c r="BS32" s="374"/>
      <c r="BT32" s="374"/>
      <c r="BU32" s="374"/>
      <c r="BV32" s="374"/>
      <c r="BW32" s="374"/>
      <c r="BX32" s="374"/>
      <c r="BY32" s="374"/>
      <c r="BZ32" s="374"/>
      <c r="CA32" s="374"/>
      <c r="CB32" s="374"/>
      <c r="CC32" s="374"/>
      <c r="CD32" s="374"/>
      <c r="CE32" s="374"/>
      <c r="CF32" s="374"/>
      <c r="CG32" s="374"/>
      <c r="CH32" s="374"/>
      <c r="CI32" s="374"/>
      <c r="CJ32" s="374"/>
      <c r="CK32" s="374"/>
      <c r="CL32" s="374"/>
    </row>
    <row r="33" ht="15.0" customHeight="1">
      <c r="AA33" s="6"/>
      <c r="AB33" s="49"/>
      <c r="AG33" s="370"/>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3"/>
      <c r="BI33" s="12"/>
      <c r="BJ33" s="13"/>
      <c r="BK33" s="11"/>
      <c r="BL33" s="11"/>
      <c r="BM33" s="11"/>
      <c r="BN33" s="374"/>
      <c r="BO33" s="374"/>
      <c r="BP33" s="374"/>
      <c r="BQ33" s="374"/>
      <c r="BR33" s="374"/>
      <c r="BS33" s="374"/>
      <c r="BT33" s="374"/>
      <c r="BU33" s="374"/>
      <c r="BV33" s="374"/>
      <c r="BW33" s="374"/>
      <c r="BX33" s="374"/>
      <c r="BY33" s="374"/>
      <c r="BZ33" s="374"/>
      <c r="CA33" s="374"/>
      <c r="CB33" s="374"/>
      <c r="CC33" s="374"/>
      <c r="CD33" s="374"/>
      <c r="CE33" s="374"/>
      <c r="CF33" s="374"/>
      <c r="CG33" s="374"/>
      <c r="CH33" s="374"/>
      <c r="CI33" s="374"/>
      <c r="CJ33" s="374"/>
      <c r="CK33" s="374"/>
      <c r="CL33" s="374"/>
    </row>
    <row r="34" ht="15.0" customHeight="1">
      <c r="A34" s="371" t="s">
        <v>257</v>
      </c>
      <c r="B34" s="3"/>
      <c r="C34" s="3"/>
      <c r="D34" s="3"/>
      <c r="E34" s="3"/>
      <c r="F34" s="3"/>
      <c r="G34" s="3"/>
      <c r="H34" s="3"/>
      <c r="I34" s="3"/>
      <c r="J34" s="3"/>
      <c r="K34" s="3"/>
      <c r="L34" s="3"/>
      <c r="M34" s="3"/>
      <c r="N34" s="3"/>
      <c r="O34" s="3"/>
      <c r="P34" s="3"/>
      <c r="Q34" s="3"/>
      <c r="R34" s="3"/>
      <c r="S34" s="3"/>
      <c r="T34" s="3"/>
      <c r="U34" s="3"/>
      <c r="V34" s="3"/>
      <c r="W34" s="3"/>
      <c r="X34" s="3"/>
      <c r="Y34" s="3"/>
      <c r="Z34" s="3"/>
      <c r="AA34" s="372"/>
      <c r="AB34" s="5"/>
      <c r="AC34" s="87">
        <v>250.0</v>
      </c>
      <c r="AD34" s="3"/>
      <c r="AE34" s="3"/>
      <c r="AF34" s="3"/>
      <c r="AG34" s="370"/>
      <c r="AH34" s="371"/>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72"/>
      <c r="BI34" s="5"/>
      <c r="BJ34" s="372"/>
      <c r="BK34" s="3"/>
      <c r="BL34" s="3"/>
      <c r="BM34" s="3"/>
      <c r="BN34" s="374"/>
      <c r="BO34" s="374"/>
      <c r="BP34" s="374"/>
      <c r="BQ34" s="374"/>
      <c r="BR34" s="374"/>
      <c r="BS34" s="374"/>
      <c r="BT34" s="374"/>
      <c r="BU34" s="374"/>
      <c r="BV34" s="374"/>
      <c r="BW34" s="374"/>
      <c r="BX34" s="374"/>
      <c r="BY34" s="374"/>
      <c r="BZ34" s="374"/>
      <c r="CA34" s="374"/>
      <c r="CB34" s="374"/>
      <c r="CC34" s="374"/>
      <c r="CD34" s="374"/>
      <c r="CE34" s="374"/>
      <c r="CF34" s="374"/>
      <c r="CG34" s="374"/>
      <c r="CH34" s="374"/>
      <c r="CI34" s="374"/>
      <c r="CJ34" s="374"/>
      <c r="CK34" s="374"/>
      <c r="CL34" s="374"/>
    </row>
    <row r="35" ht="15.0" customHeight="1">
      <c r="AA35" s="6"/>
      <c r="AB35" s="49"/>
      <c r="AG35" s="370"/>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3"/>
      <c r="BI35" s="12"/>
      <c r="BJ35" s="13"/>
      <c r="BK35" s="11"/>
      <c r="BL35" s="11"/>
      <c r="BM35" s="11"/>
      <c r="BN35" s="374"/>
      <c r="BO35" s="374"/>
      <c r="BP35" s="374"/>
      <c r="BQ35" s="374"/>
      <c r="BR35" s="374"/>
      <c r="BS35" s="374"/>
      <c r="BT35" s="374"/>
      <c r="BU35" s="374"/>
      <c r="BV35" s="374"/>
      <c r="BW35" s="374"/>
      <c r="BX35" s="374"/>
      <c r="BY35" s="374"/>
      <c r="BZ35" s="374"/>
      <c r="CA35" s="374"/>
      <c r="CB35" s="374"/>
      <c r="CC35" s="374"/>
      <c r="CD35" s="374"/>
      <c r="CE35" s="374"/>
      <c r="CF35" s="374"/>
      <c r="CG35" s="374"/>
      <c r="CH35" s="374"/>
      <c r="CI35" s="374"/>
      <c r="CJ35" s="374"/>
      <c r="CK35" s="374"/>
      <c r="CL35" s="374"/>
    </row>
    <row r="36" ht="15.0" customHeight="1">
      <c r="A36" s="375" t="s">
        <v>258</v>
      </c>
      <c r="B36" s="3"/>
      <c r="C36" s="3"/>
      <c r="D36" s="3"/>
      <c r="E36" s="3"/>
      <c r="F36" s="3"/>
      <c r="G36" s="3"/>
      <c r="H36" s="3"/>
      <c r="I36" s="3"/>
      <c r="J36" s="3"/>
      <c r="K36" s="3"/>
      <c r="L36" s="3"/>
      <c r="M36" s="3"/>
      <c r="N36" s="3"/>
      <c r="O36" s="3"/>
      <c r="P36" s="3"/>
      <c r="Q36" s="3"/>
      <c r="R36" s="3"/>
      <c r="S36" s="3"/>
      <c r="T36" s="3"/>
      <c r="U36" s="3"/>
      <c r="V36" s="3"/>
      <c r="W36" s="3"/>
      <c r="X36" s="3"/>
      <c r="Y36" s="3"/>
      <c r="Z36" s="3"/>
      <c r="AA36" s="376"/>
      <c r="AB36" s="5"/>
      <c r="AC36" s="379">
        <v>250.0</v>
      </c>
      <c r="AD36" s="3"/>
      <c r="AE36" s="3"/>
      <c r="AF36" s="3"/>
      <c r="AG36" s="370"/>
      <c r="AH36" s="375"/>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76"/>
      <c r="BI36" s="5"/>
      <c r="BJ36" s="376"/>
      <c r="BK36" s="3"/>
      <c r="BL36" s="3"/>
      <c r="BM36" s="3"/>
      <c r="BN36" s="374"/>
      <c r="BO36" s="374"/>
      <c r="BP36" s="374"/>
      <c r="BQ36" s="374"/>
      <c r="BR36" s="374"/>
      <c r="BS36" s="374"/>
      <c r="BT36" s="374"/>
      <c r="BU36" s="374"/>
      <c r="BV36" s="374"/>
      <c r="BW36" s="374"/>
      <c r="BX36" s="374"/>
      <c r="BY36" s="374"/>
      <c r="BZ36" s="374"/>
      <c r="CA36" s="374"/>
      <c r="CB36" s="374"/>
      <c r="CC36" s="374"/>
      <c r="CD36" s="374"/>
      <c r="CE36" s="374"/>
      <c r="CF36" s="374"/>
      <c r="CG36" s="374"/>
      <c r="CH36" s="374"/>
      <c r="CI36" s="374"/>
      <c r="CJ36" s="374"/>
      <c r="CK36" s="374"/>
      <c r="CL36" s="374"/>
    </row>
    <row r="37" ht="15.0" customHeight="1">
      <c r="AA37" s="6"/>
      <c r="AB37" s="49"/>
      <c r="AG37" s="370"/>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3"/>
      <c r="BI37" s="12"/>
      <c r="BJ37" s="13"/>
      <c r="BK37" s="11"/>
      <c r="BL37" s="11"/>
      <c r="BM37" s="11"/>
      <c r="BN37" s="374"/>
      <c r="BO37" s="374"/>
      <c r="BP37" s="374"/>
      <c r="BQ37" s="374"/>
      <c r="BR37" s="374"/>
      <c r="BS37" s="374"/>
      <c r="BT37" s="374"/>
      <c r="BU37" s="374"/>
      <c r="BV37" s="374"/>
      <c r="BW37" s="374"/>
      <c r="BX37" s="374"/>
      <c r="BY37" s="374"/>
      <c r="BZ37" s="374"/>
      <c r="CA37" s="374"/>
      <c r="CB37" s="374"/>
      <c r="CC37" s="374"/>
      <c r="CD37" s="374"/>
      <c r="CE37" s="374"/>
      <c r="CF37" s="374"/>
      <c r="CG37" s="374"/>
      <c r="CH37" s="374"/>
      <c r="CI37" s="374"/>
      <c r="CJ37" s="374"/>
      <c r="CK37" s="374"/>
      <c r="CL37" s="374"/>
    </row>
    <row r="38" ht="15.0" customHeight="1">
      <c r="A38" s="371" t="s">
        <v>259</v>
      </c>
      <c r="B38" s="3"/>
      <c r="C38" s="3"/>
      <c r="D38" s="3"/>
      <c r="E38" s="3"/>
      <c r="F38" s="3"/>
      <c r="G38" s="3"/>
      <c r="H38" s="3"/>
      <c r="I38" s="3"/>
      <c r="J38" s="3"/>
      <c r="K38" s="3"/>
      <c r="L38" s="3"/>
      <c r="M38" s="3"/>
      <c r="N38" s="3"/>
      <c r="O38" s="3"/>
      <c r="P38" s="3"/>
      <c r="Q38" s="3"/>
      <c r="R38" s="3"/>
      <c r="S38" s="3"/>
      <c r="T38" s="3"/>
      <c r="U38" s="3"/>
      <c r="V38" s="3"/>
      <c r="W38" s="3"/>
      <c r="X38" s="3"/>
      <c r="Y38" s="3"/>
      <c r="Z38" s="3"/>
      <c r="AA38" s="372"/>
      <c r="AB38" s="5"/>
      <c r="AC38" s="87">
        <v>250.0</v>
      </c>
      <c r="AD38" s="3"/>
      <c r="AE38" s="3"/>
      <c r="AF38" s="3"/>
      <c r="AG38" s="370"/>
      <c r="AH38" s="371"/>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72"/>
      <c r="BI38" s="5"/>
      <c r="BJ38" s="372"/>
      <c r="BK38" s="3"/>
      <c r="BL38" s="3"/>
      <c r="BM38" s="3"/>
      <c r="BN38" s="374"/>
      <c r="BO38" s="374"/>
      <c r="BP38" s="374"/>
      <c r="BQ38" s="374"/>
      <c r="BR38" s="374"/>
      <c r="BS38" s="374"/>
      <c r="BT38" s="374"/>
      <c r="BU38" s="374"/>
      <c r="BV38" s="374"/>
      <c r="BW38" s="374"/>
      <c r="BX38" s="374"/>
      <c r="BY38" s="374"/>
      <c r="BZ38" s="374"/>
      <c r="CA38" s="374"/>
      <c r="CB38" s="374"/>
      <c r="CC38" s="374"/>
      <c r="CD38" s="374"/>
      <c r="CE38" s="374"/>
      <c r="CF38" s="374"/>
      <c r="CG38" s="374"/>
      <c r="CH38" s="374"/>
      <c r="CI38" s="374"/>
      <c r="CJ38" s="374"/>
      <c r="CK38" s="374"/>
      <c r="CL38" s="374"/>
    </row>
    <row r="39" ht="15.0" customHeight="1">
      <c r="AA39" s="6"/>
      <c r="AB39" s="49"/>
      <c r="AG39" s="370"/>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3"/>
      <c r="BI39" s="12"/>
      <c r="BJ39" s="13"/>
      <c r="BK39" s="11"/>
      <c r="BL39" s="11"/>
      <c r="BM39" s="11"/>
      <c r="BN39" s="374"/>
      <c r="BO39" s="374"/>
      <c r="BP39" s="374"/>
      <c r="BQ39" s="374"/>
      <c r="BR39" s="374"/>
      <c r="BS39" s="374"/>
      <c r="BT39" s="374"/>
      <c r="BU39" s="374"/>
      <c r="BV39" s="374"/>
      <c r="BW39" s="374"/>
      <c r="BX39" s="374"/>
      <c r="BY39" s="374"/>
      <c r="BZ39" s="374"/>
      <c r="CA39" s="374"/>
      <c r="CB39" s="374"/>
      <c r="CC39" s="374"/>
      <c r="CD39" s="374"/>
      <c r="CE39" s="374"/>
      <c r="CF39" s="374"/>
      <c r="CG39" s="374"/>
      <c r="CH39" s="374"/>
      <c r="CI39" s="374"/>
      <c r="CJ39" s="374"/>
      <c r="CK39" s="374"/>
      <c r="CL39" s="374"/>
    </row>
    <row r="40" ht="15.0" customHeight="1">
      <c r="A40" s="375" t="s">
        <v>260</v>
      </c>
      <c r="B40" s="3"/>
      <c r="C40" s="3"/>
      <c r="D40" s="3"/>
      <c r="E40" s="3"/>
      <c r="F40" s="3"/>
      <c r="G40" s="3"/>
      <c r="H40" s="3"/>
      <c r="I40" s="3"/>
      <c r="J40" s="3"/>
      <c r="K40" s="3"/>
      <c r="L40" s="3"/>
      <c r="M40" s="3"/>
      <c r="N40" s="3"/>
      <c r="O40" s="3"/>
      <c r="P40" s="3"/>
      <c r="Q40" s="3"/>
      <c r="R40" s="3"/>
      <c r="S40" s="3"/>
      <c r="T40" s="3"/>
      <c r="U40" s="3"/>
      <c r="V40" s="3"/>
      <c r="W40" s="3"/>
      <c r="X40" s="3"/>
      <c r="Y40" s="3"/>
      <c r="Z40" s="3"/>
      <c r="AA40" s="376"/>
      <c r="AB40" s="5"/>
      <c r="AC40" s="379">
        <v>1000.0</v>
      </c>
      <c r="AD40" s="3"/>
      <c r="AE40" s="3"/>
      <c r="AF40" s="3"/>
      <c r="AG40" s="370"/>
      <c r="AH40" s="375"/>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76"/>
      <c r="BI40" s="5"/>
      <c r="BJ40" s="376"/>
      <c r="BK40" s="3"/>
      <c r="BL40" s="3"/>
      <c r="BM40" s="3"/>
      <c r="BN40" s="374"/>
      <c r="BO40" s="374"/>
      <c r="BP40" s="374"/>
      <c r="BQ40" s="374"/>
      <c r="BR40" s="374"/>
      <c r="BS40" s="374"/>
      <c r="BT40" s="374"/>
      <c r="BU40" s="374"/>
      <c r="BV40" s="374"/>
      <c r="BW40" s="374"/>
      <c r="BX40" s="374"/>
      <c r="BY40" s="374"/>
      <c r="BZ40" s="374"/>
      <c r="CA40" s="374"/>
      <c r="CB40" s="374"/>
      <c r="CC40" s="374"/>
      <c r="CD40" s="374"/>
      <c r="CE40" s="374"/>
      <c r="CF40" s="374"/>
      <c r="CG40" s="374"/>
      <c r="CH40" s="374"/>
      <c r="CI40" s="374"/>
      <c r="CJ40" s="374"/>
      <c r="CK40" s="374"/>
      <c r="CL40" s="374"/>
    </row>
    <row r="41" ht="15.0" customHeight="1">
      <c r="AA41" s="6"/>
      <c r="AB41" s="49"/>
      <c r="AG41" s="370"/>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3"/>
      <c r="BI41" s="12"/>
      <c r="BJ41" s="13"/>
      <c r="BK41" s="11"/>
      <c r="BL41" s="11"/>
      <c r="BM41" s="11"/>
      <c r="BN41" s="374"/>
      <c r="BO41" s="374"/>
      <c r="BP41" s="374"/>
      <c r="BQ41" s="374"/>
      <c r="BR41" s="374"/>
      <c r="BS41" s="374"/>
      <c r="BT41" s="374"/>
      <c r="BU41" s="374"/>
      <c r="BV41" s="374"/>
      <c r="BW41" s="374"/>
      <c r="BX41" s="374"/>
      <c r="BY41" s="374"/>
      <c r="BZ41" s="374"/>
      <c r="CA41" s="374"/>
      <c r="CB41" s="374"/>
      <c r="CC41" s="374"/>
      <c r="CD41" s="374"/>
      <c r="CE41" s="374"/>
      <c r="CF41" s="374"/>
      <c r="CG41" s="374"/>
      <c r="CH41" s="374"/>
      <c r="CI41" s="374"/>
      <c r="CJ41" s="374"/>
      <c r="CK41" s="374"/>
      <c r="CL41" s="374"/>
    </row>
    <row r="42" ht="15.0" customHeight="1">
      <c r="A42" s="371" t="s">
        <v>261</v>
      </c>
      <c r="B42" s="3"/>
      <c r="C42" s="3"/>
      <c r="D42" s="3"/>
      <c r="E42" s="3"/>
      <c r="F42" s="3"/>
      <c r="G42" s="3"/>
      <c r="H42" s="3"/>
      <c r="I42" s="3"/>
      <c r="J42" s="3"/>
      <c r="K42" s="3"/>
      <c r="L42" s="3"/>
      <c r="M42" s="3"/>
      <c r="N42" s="3"/>
      <c r="O42" s="3"/>
      <c r="P42" s="3"/>
      <c r="Q42" s="3"/>
      <c r="R42" s="3"/>
      <c r="S42" s="3"/>
      <c r="T42" s="3"/>
      <c r="U42" s="3"/>
      <c r="V42" s="3"/>
      <c r="W42" s="3"/>
      <c r="X42" s="3"/>
      <c r="Y42" s="3"/>
      <c r="Z42" s="3"/>
      <c r="AA42" s="372"/>
      <c r="AB42" s="5"/>
      <c r="AC42" s="87">
        <v>250.0</v>
      </c>
      <c r="AD42" s="3"/>
      <c r="AE42" s="3"/>
      <c r="AF42" s="3"/>
      <c r="AG42" s="370"/>
      <c r="AH42" s="371"/>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72"/>
      <c r="BI42" s="5"/>
      <c r="BJ42" s="372"/>
      <c r="BK42" s="3"/>
      <c r="BL42" s="3"/>
      <c r="BM42" s="3"/>
      <c r="BN42" s="374"/>
      <c r="BO42" s="374"/>
      <c r="BP42" s="374"/>
      <c r="BQ42" s="374"/>
      <c r="BR42" s="374"/>
      <c r="BS42" s="374"/>
      <c r="BT42" s="374"/>
      <c r="BU42" s="374"/>
      <c r="BV42" s="374"/>
      <c r="BW42" s="374"/>
      <c r="BX42" s="374"/>
      <c r="BY42" s="374"/>
      <c r="BZ42" s="374"/>
      <c r="CA42" s="374"/>
      <c r="CB42" s="374"/>
      <c r="CC42" s="374"/>
      <c r="CD42" s="374"/>
      <c r="CE42" s="374"/>
      <c r="CF42" s="374"/>
      <c r="CG42" s="374"/>
      <c r="CH42" s="374"/>
      <c r="CI42" s="374"/>
      <c r="CJ42" s="374"/>
      <c r="CK42" s="374"/>
      <c r="CL42" s="374"/>
    </row>
    <row r="43" ht="15.0" customHeight="1">
      <c r="AA43" s="6"/>
      <c r="AB43" s="49"/>
      <c r="AG43" s="370"/>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3"/>
      <c r="BI43" s="12"/>
      <c r="BJ43" s="13"/>
      <c r="BK43" s="11"/>
      <c r="BL43" s="11"/>
      <c r="BM43" s="11"/>
      <c r="BN43" s="374"/>
      <c r="BO43" s="374"/>
      <c r="BP43" s="374"/>
      <c r="BQ43" s="374"/>
      <c r="BR43" s="374"/>
      <c r="BS43" s="374"/>
      <c r="BT43" s="374"/>
      <c r="BU43" s="374"/>
      <c r="BV43" s="374"/>
      <c r="BW43" s="374"/>
      <c r="BX43" s="374"/>
      <c r="BY43" s="374"/>
      <c r="BZ43" s="374"/>
      <c r="CA43" s="374"/>
      <c r="CB43" s="374"/>
      <c r="CC43" s="374"/>
      <c r="CD43" s="374"/>
      <c r="CE43" s="374"/>
      <c r="CF43" s="374"/>
      <c r="CG43" s="374"/>
      <c r="CH43" s="374"/>
      <c r="CI43" s="374"/>
      <c r="CJ43" s="374"/>
      <c r="CK43" s="374"/>
      <c r="CL43" s="374"/>
    </row>
    <row r="44" ht="15.0" customHeight="1">
      <c r="A44" s="375" t="s">
        <v>262</v>
      </c>
      <c r="B44" s="3"/>
      <c r="C44" s="3"/>
      <c r="D44" s="3"/>
      <c r="E44" s="3"/>
      <c r="F44" s="3"/>
      <c r="G44" s="3"/>
      <c r="H44" s="3"/>
      <c r="I44" s="3"/>
      <c r="J44" s="3"/>
      <c r="K44" s="3"/>
      <c r="L44" s="3"/>
      <c r="M44" s="3"/>
      <c r="N44" s="3"/>
      <c r="O44" s="3"/>
      <c r="P44" s="3"/>
      <c r="Q44" s="3"/>
      <c r="R44" s="3"/>
      <c r="S44" s="3"/>
      <c r="T44" s="3"/>
      <c r="U44" s="3"/>
      <c r="V44" s="3"/>
      <c r="W44" s="3"/>
      <c r="X44" s="3"/>
      <c r="Y44" s="3"/>
      <c r="Z44" s="3"/>
      <c r="AA44" s="376"/>
      <c r="AB44" s="5"/>
      <c r="AC44" s="379">
        <v>250.0</v>
      </c>
      <c r="AD44" s="3"/>
      <c r="AE44" s="3"/>
      <c r="AF44" s="3"/>
      <c r="AG44" s="370"/>
      <c r="AH44" s="375"/>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76"/>
      <c r="BI44" s="5"/>
      <c r="BJ44" s="376"/>
      <c r="BK44" s="3"/>
      <c r="BL44" s="3"/>
      <c r="BM44" s="3"/>
      <c r="BN44" s="374"/>
      <c r="BO44" s="374"/>
      <c r="BP44" s="374"/>
      <c r="BQ44" s="374"/>
      <c r="BR44" s="374"/>
      <c r="BS44" s="374"/>
      <c r="BT44" s="374"/>
      <c r="BU44" s="374"/>
      <c r="BV44" s="374"/>
      <c r="BW44" s="374"/>
      <c r="BX44" s="374"/>
      <c r="BY44" s="374"/>
      <c r="BZ44" s="374"/>
      <c r="CA44" s="374"/>
      <c r="CB44" s="374"/>
      <c r="CC44" s="374"/>
      <c r="CD44" s="374"/>
      <c r="CE44" s="374"/>
      <c r="CF44" s="374"/>
      <c r="CG44" s="374"/>
      <c r="CH44" s="374"/>
      <c r="CI44" s="374"/>
      <c r="CJ44" s="374"/>
      <c r="CK44" s="374"/>
      <c r="CL44" s="374"/>
    </row>
    <row r="45" ht="15.0" customHeight="1">
      <c r="AA45" s="6"/>
      <c r="AB45" s="49"/>
      <c r="AG45" s="370"/>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3"/>
      <c r="BI45" s="12"/>
      <c r="BJ45" s="13"/>
      <c r="BK45" s="11"/>
      <c r="BL45" s="11"/>
      <c r="BM45" s="11"/>
      <c r="BN45" s="374"/>
      <c r="BO45" s="374"/>
      <c r="BP45" s="374"/>
      <c r="BQ45" s="374"/>
      <c r="BR45" s="374"/>
      <c r="BS45" s="374"/>
      <c r="BT45" s="374"/>
      <c r="BU45" s="374"/>
      <c r="BV45" s="374"/>
      <c r="BW45" s="374"/>
      <c r="BX45" s="374"/>
      <c r="BY45" s="374"/>
      <c r="BZ45" s="374"/>
      <c r="CA45" s="374"/>
      <c r="CB45" s="374"/>
      <c r="CC45" s="374"/>
      <c r="CD45" s="374"/>
      <c r="CE45" s="374"/>
      <c r="CF45" s="374"/>
      <c r="CG45" s="374"/>
      <c r="CH45" s="374"/>
      <c r="CI45" s="374"/>
      <c r="CJ45" s="374"/>
      <c r="CK45" s="374"/>
      <c r="CL45" s="374"/>
    </row>
    <row r="46" ht="15.0" customHeight="1">
      <c r="A46" s="371" t="s">
        <v>263</v>
      </c>
      <c r="B46" s="3"/>
      <c r="C46" s="3"/>
      <c r="D46" s="3"/>
      <c r="E46" s="3"/>
      <c r="F46" s="3"/>
      <c r="G46" s="3"/>
      <c r="H46" s="3"/>
      <c r="I46" s="3"/>
      <c r="J46" s="3"/>
      <c r="K46" s="3"/>
      <c r="L46" s="3"/>
      <c r="M46" s="3"/>
      <c r="N46" s="3"/>
      <c r="O46" s="3"/>
      <c r="P46" s="3"/>
      <c r="Q46" s="3"/>
      <c r="R46" s="3"/>
      <c r="S46" s="3"/>
      <c r="T46" s="3"/>
      <c r="U46" s="3"/>
      <c r="V46" s="3"/>
      <c r="W46" s="3"/>
      <c r="X46" s="3"/>
      <c r="Y46" s="3"/>
      <c r="Z46" s="3"/>
      <c r="AA46" s="372"/>
      <c r="AB46" s="5"/>
      <c r="AC46" s="87">
        <v>1000.0</v>
      </c>
      <c r="AD46" s="3"/>
      <c r="AE46" s="3"/>
      <c r="AF46" s="3"/>
      <c r="AG46" s="370"/>
      <c r="AH46" s="371"/>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72"/>
      <c r="BI46" s="5"/>
      <c r="BJ46" s="372"/>
      <c r="BK46" s="3"/>
      <c r="BL46" s="3"/>
      <c r="BM46" s="3"/>
      <c r="BN46" s="374"/>
      <c r="BO46" s="374"/>
      <c r="BP46" s="374"/>
      <c r="BQ46" s="374"/>
      <c r="BR46" s="374"/>
      <c r="BS46" s="374"/>
      <c r="BT46" s="374"/>
      <c r="BU46" s="374"/>
      <c r="BV46" s="374"/>
      <c r="BW46" s="374"/>
      <c r="BX46" s="374"/>
      <c r="BY46" s="374"/>
      <c r="BZ46" s="374"/>
      <c r="CA46" s="374"/>
      <c r="CB46" s="374"/>
      <c r="CC46" s="374"/>
      <c r="CD46" s="374"/>
      <c r="CE46" s="374"/>
      <c r="CF46" s="374"/>
      <c r="CG46" s="374"/>
      <c r="CH46" s="374"/>
      <c r="CI46" s="374"/>
      <c r="CJ46" s="374"/>
      <c r="CK46" s="374"/>
      <c r="CL46" s="374"/>
    </row>
    <row r="47" ht="15.0" customHeight="1">
      <c r="AA47" s="6"/>
      <c r="AB47" s="49"/>
      <c r="AG47" s="370"/>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3"/>
      <c r="BI47" s="12"/>
      <c r="BJ47" s="13"/>
      <c r="BK47" s="11"/>
      <c r="BL47" s="11"/>
      <c r="BM47" s="11"/>
      <c r="BN47" s="374"/>
      <c r="BO47" s="374"/>
      <c r="BP47" s="374"/>
      <c r="BQ47" s="374"/>
      <c r="BR47" s="374"/>
      <c r="BS47" s="374"/>
      <c r="BT47" s="374"/>
      <c r="BU47" s="374"/>
      <c r="BV47" s="374"/>
      <c r="BW47" s="374"/>
      <c r="BX47" s="374"/>
      <c r="BY47" s="374"/>
      <c r="BZ47" s="374"/>
      <c r="CA47" s="374"/>
      <c r="CB47" s="374"/>
      <c r="CC47" s="374"/>
      <c r="CD47" s="374"/>
      <c r="CE47" s="374"/>
      <c r="CF47" s="374"/>
      <c r="CG47" s="374"/>
      <c r="CH47" s="374"/>
      <c r="CI47" s="374"/>
      <c r="CJ47" s="374"/>
      <c r="CK47" s="374"/>
      <c r="CL47" s="374"/>
    </row>
    <row r="48" ht="15.0" customHeight="1">
      <c r="A48" s="375" t="s">
        <v>264</v>
      </c>
      <c r="B48" s="3"/>
      <c r="C48" s="3"/>
      <c r="D48" s="3"/>
      <c r="E48" s="3"/>
      <c r="F48" s="3"/>
      <c r="G48" s="3"/>
      <c r="H48" s="3"/>
      <c r="I48" s="3"/>
      <c r="J48" s="3"/>
      <c r="K48" s="3"/>
      <c r="L48" s="3"/>
      <c r="M48" s="3"/>
      <c r="N48" s="3"/>
      <c r="O48" s="3"/>
      <c r="P48" s="3"/>
      <c r="Q48" s="3"/>
      <c r="R48" s="3"/>
      <c r="S48" s="3"/>
      <c r="T48" s="3"/>
      <c r="U48" s="3"/>
      <c r="V48" s="3"/>
      <c r="W48" s="3"/>
      <c r="X48" s="3"/>
      <c r="Y48" s="3"/>
      <c r="Z48" s="3"/>
      <c r="AA48" s="376"/>
      <c r="AB48" s="5"/>
      <c r="AC48" s="379">
        <v>250.0</v>
      </c>
      <c r="AD48" s="3"/>
      <c r="AE48" s="3"/>
      <c r="AF48" s="3"/>
      <c r="AG48" s="370"/>
      <c r="AH48" s="375"/>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76"/>
      <c r="BI48" s="5"/>
      <c r="BJ48" s="376"/>
      <c r="BK48" s="3"/>
      <c r="BL48" s="3"/>
      <c r="BM48" s="3"/>
      <c r="BN48" s="374"/>
      <c r="BO48" s="374"/>
      <c r="BP48" s="374"/>
      <c r="BQ48" s="374"/>
      <c r="BR48" s="374"/>
      <c r="BS48" s="374"/>
      <c r="BT48" s="374"/>
      <c r="BU48" s="374"/>
      <c r="BV48" s="374"/>
      <c r="BW48" s="374"/>
      <c r="BX48" s="374"/>
      <c r="BY48" s="374"/>
      <c r="BZ48" s="374"/>
      <c r="CA48" s="374"/>
      <c r="CB48" s="374"/>
      <c r="CC48" s="374"/>
      <c r="CD48" s="374"/>
      <c r="CE48" s="374"/>
      <c r="CF48" s="374"/>
      <c r="CG48" s="374"/>
      <c r="CH48" s="374"/>
      <c r="CI48" s="374"/>
      <c r="CJ48" s="374"/>
      <c r="CK48" s="374"/>
      <c r="CL48" s="374"/>
    </row>
    <row r="49" ht="15.0" customHeight="1">
      <c r="AA49" s="6"/>
      <c r="AB49" s="49"/>
      <c r="AG49" s="370"/>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3"/>
      <c r="BI49" s="12"/>
      <c r="BJ49" s="13"/>
      <c r="BK49" s="11"/>
      <c r="BL49" s="11"/>
      <c r="BM49" s="11"/>
      <c r="BN49" s="374"/>
      <c r="BO49" s="374"/>
      <c r="BP49" s="374"/>
      <c r="BQ49" s="374"/>
      <c r="BR49" s="374"/>
      <c r="BS49" s="374"/>
      <c r="BT49" s="374"/>
      <c r="BU49" s="374"/>
      <c r="BV49" s="374"/>
      <c r="BW49" s="374"/>
      <c r="BX49" s="374"/>
      <c r="BY49" s="374"/>
      <c r="BZ49" s="374"/>
      <c r="CA49" s="374"/>
      <c r="CB49" s="374"/>
      <c r="CC49" s="374"/>
      <c r="CD49" s="374"/>
      <c r="CE49" s="374"/>
      <c r="CF49" s="374"/>
      <c r="CG49" s="374"/>
      <c r="CH49" s="374"/>
      <c r="CI49" s="374"/>
      <c r="CJ49" s="374"/>
      <c r="CK49" s="374"/>
      <c r="CL49" s="374"/>
    </row>
    <row r="50" ht="15.0" customHeight="1">
      <c r="A50" s="371"/>
      <c r="B50" s="3"/>
      <c r="C50" s="3"/>
      <c r="D50" s="3"/>
      <c r="E50" s="3"/>
      <c r="F50" s="3"/>
      <c r="G50" s="3"/>
      <c r="H50" s="3"/>
      <c r="I50" s="3"/>
      <c r="J50" s="3"/>
      <c r="K50" s="3"/>
      <c r="L50" s="3"/>
      <c r="M50" s="3"/>
      <c r="N50" s="3"/>
      <c r="O50" s="3"/>
      <c r="P50" s="3"/>
      <c r="Q50" s="3"/>
      <c r="R50" s="3"/>
      <c r="S50" s="3"/>
      <c r="T50" s="3"/>
      <c r="U50" s="3"/>
      <c r="V50" s="3"/>
      <c r="W50" s="3"/>
      <c r="X50" s="3"/>
      <c r="Y50" s="3"/>
      <c r="Z50" s="3"/>
      <c r="AA50" s="372"/>
      <c r="AB50" s="5"/>
      <c r="AC50" s="87"/>
      <c r="AD50" s="3"/>
      <c r="AE50" s="3"/>
      <c r="AF50" s="3"/>
      <c r="AG50" s="370"/>
      <c r="AH50" s="371"/>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72"/>
      <c r="BI50" s="5"/>
      <c r="BJ50" s="372"/>
      <c r="BK50" s="3"/>
      <c r="BL50" s="3"/>
      <c r="BM50" s="3"/>
      <c r="BN50" s="374"/>
      <c r="BO50" s="374"/>
      <c r="BP50" s="374"/>
      <c r="BQ50" s="374"/>
      <c r="BR50" s="374"/>
      <c r="BS50" s="374"/>
      <c r="BT50" s="374"/>
      <c r="BU50" s="374"/>
      <c r="BV50" s="374"/>
      <c r="BW50" s="374"/>
      <c r="BX50" s="374"/>
      <c r="BY50" s="374"/>
      <c r="BZ50" s="374"/>
      <c r="CA50" s="374"/>
      <c r="CB50" s="374"/>
      <c r="CC50" s="374"/>
      <c r="CD50" s="374"/>
      <c r="CE50" s="374"/>
      <c r="CF50" s="374"/>
      <c r="CG50" s="374"/>
      <c r="CH50" s="374"/>
      <c r="CI50" s="374"/>
      <c r="CJ50" s="374"/>
      <c r="CK50" s="374"/>
      <c r="CL50" s="374"/>
    </row>
    <row r="51" ht="15.0" customHeight="1">
      <c r="AA51" s="6"/>
      <c r="AB51" s="49"/>
      <c r="AG51" s="370"/>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3"/>
      <c r="BI51" s="12"/>
      <c r="BJ51" s="13"/>
      <c r="BK51" s="11"/>
      <c r="BL51" s="11"/>
      <c r="BM51" s="11"/>
      <c r="BN51" s="374"/>
      <c r="BO51" s="374"/>
      <c r="BP51" s="374"/>
      <c r="BQ51" s="374"/>
      <c r="BR51" s="374"/>
      <c r="BS51" s="374"/>
      <c r="BT51" s="374"/>
      <c r="BU51" s="374"/>
      <c r="BV51" s="374"/>
      <c r="BW51" s="374"/>
      <c r="BX51" s="374"/>
      <c r="BY51" s="374"/>
      <c r="BZ51" s="374"/>
      <c r="CA51" s="374"/>
      <c r="CB51" s="374"/>
      <c r="CC51" s="374"/>
      <c r="CD51" s="374"/>
      <c r="CE51" s="374"/>
      <c r="CF51" s="374"/>
      <c r="CG51" s="374"/>
      <c r="CH51" s="374"/>
      <c r="CI51" s="374"/>
      <c r="CJ51" s="374"/>
      <c r="CK51" s="374"/>
      <c r="CL51" s="374"/>
    </row>
    <row r="52" ht="15.0" customHeight="1">
      <c r="A52" s="375"/>
      <c r="B52" s="3"/>
      <c r="C52" s="3"/>
      <c r="D52" s="3"/>
      <c r="E52" s="3"/>
      <c r="F52" s="3"/>
      <c r="G52" s="3"/>
      <c r="H52" s="3"/>
      <c r="I52" s="3"/>
      <c r="J52" s="3"/>
      <c r="K52" s="3"/>
      <c r="L52" s="3"/>
      <c r="M52" s="3"/>
      <c r="N52" s="3"/>
      <c r="O52" s="3"/>
      <c r="P52" s="3"/>
      <c r="Q52" s="3"/>
      <c r="R52" s="3"/>
      <c r="S52" s="3"/>
      <c r="T52" s="3"/>
      <c r="U52" s="3"/>
      <c r="V52" s="3"/>
      <c r="W52" s="3"/>
      <c r="X52" s="3"/>
      <c r="Y52" s="3"/>
      <c r="Z52" s="3"/>
      <c r="AA52" s="376"/>
      <c r="AB52" s="5"/>
      <c r="AC52" s="379"/>
      <c r="AD52" s="3"/>
      <c r="AE52" s="3"/>
      <c r="AF52" s="3"/>
      <c r="AG52" s="370"/>
      <c r="AH52" s="375"/>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76"/>
      <c r="BI52" s="5"/>
      <c r="BJ52" s="376"/>
      <c r="BK52" s="3"/>
      <c r="BL52" s="3"/>
      <c r="BM52" s="3"/>
      <c r="BN52" s="374"/>
      <c r="BO52" s="374"/>
      <c r="BP52" s="374"/>
      <c r="BQ52" s="374"/>
      <c r="BR52" s="374"/>
      <c r="BS52" s="374"/>
      <c r="BT52" s="374"/>
      <c r="BU52" s="374"/>
      <c r="BV52" s="374"/>
      <c r="BW52" s="374"/>
      <c r="BX52" s="374"/>
      <c r="BY52" s="374"/>
      <c r="BZ52" s="374"/>
      <c r="CA52" s="374"/>
      <c r="CB52" s="374"/>
      <c r="CC52" s="374"/>
      <c r="CD52" s="374"/>
      <c r="CE52" s="374"/>
      <c r="CF52" s="374"/>
      <c r="CG52" s="374"/>
      <c r="CH52" s="374"/>
      <c r="CI52" s="374"/>
      <c r="CJ52" s="374"/>
      <c r="CK52" s="374"/>
      <c r="CL52" s="374"/>
    </row>
    <row r="53" ht="15.0" customHeight="1">
      <c r="AA53" s="6"/>
      <c r="AB53" s="49"/>
      <c r="AG53" s="370"/>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3"/>
      <c r="BI53" s="12"/>
      <c r="BJ53" s="13"/>
      <c r="BK53" s="11"/>
      <c r="BL53" s="11"/>
      <c r="BM53" s="11"/>
      <c r="BN53" s="374"/>
      <c r="BO53" s="374"/>
      <c r="BP53" s="374"/>
      <c r="BQ53" s="374"/>
      <c r="BR53" s="374"/>
      <c r="BS53" s="374"/>
      <c r="BT53" s="374"/>
      <c r="BU53" s="374"/>
      <c r="BV53" s="374"/>
      <c r="BW53" s="374"/>
      <c r="BX53" s="374"/>
      <c r="BY53" s="374"/>
      <c r="BZ53" s="374"/>
      <c r="CA53" s="374"/>
      <c r="CB53" s="374"/>
      <c r="CC53" s="374"/>
      <c r="CD53" s="374"/>
      <c r="CE53" s="374"/>
      <c r="CF53" s="374"/>
      <c r="CG53" s="374"/>
      <c r="CH53" s="374"/>
      <c r="CI53" s="374"/>
      <c r="CJ53" s="374"/>
      <c r="CK53" s="374"/>
      <c r="CL53" s="374"/>
    </row>
    <row r="54" ht="15.0" customHeight="1">
      <c r="A54" s="371"/>
      <c r="B54" s="3"/>
      <c r="C54" s="3"/>
      <c r="D54" s="3"/>
      <c r="E54" s="3"/>
      <c r="F54" s="3"/>
      <c r="G54" s="3"/>
      <c r="H54" s="3"/>
      <c r="I54" s="3"/>
      <c r="J54" s="3"/>
      <c r="K54" s="3"/>
      <c r="L54" s="3"/>
      <c r="M54" s="3"/>
      <c r="N54" s="3"/>
      <c r="O54" s="3"/>
      <c r="P54" s="3"/>
      <c r="Q54" s="3"/>
      <c r="R54" s="3"/>
      <c r="S54" s="3"/>
      <c r="T54" s="3"/>
      <c r="U54" s="3"/>
      <c r="V54" s="3"/>
      <c r="W54" s="3"/>
      <c r="X54" s="3"/>
      <c r="Y54" s="3"/>
      <c r="Z54" s="3"/>
      <c r="AA54" s="372"/>
      <c r="AB54" s="5"/>
      <c r="AC54" s="87"/>
      <c r="AD54" s="3"/>
      <c r="AE54" s="3"/>
      <c r="AF54" s="3"/>
      <c r="AG54" s="370"/>
      <c r="AH54" s="371"/>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72"/>
      <c r="BI54" s="5"/>
      <c r="BJ54" s="372"/>
      <c r="BK54" s="3"/>
      <c r="BL54" s="3"/>
      <c r="BM54" s="3"/>
      <c r="BN54" s="374"/>
      <c r="BO54" s="374"/>
      <c r="BP54" s="374"/>
      <c r="BQ54" s="374"/>
      <c r="BR54" s="374"/>
      <c r="BS54" s="374"/>
      <c r="BT54" s="374"/>
      <c r="BU54" s="374"/>
      <c r="BV54" s="374"/>
      <c r="BW54" s="374"/>
      <c r="BX54" s="374"/>
      <c r="BY54" s="374"/>
      <c r="BZ54" s="374"/>
      <c r="CA54" s="374"/>
      <c r="CB54" s="374"/>
      <c r="CC54" s="374"/>
      <c r="CD54" s="374"/>
      <c r="CE54" s="374"/>
      <c r="CF54" s="374"/>
      <c r="CG54" s="374"/>
      <c r="CH54" s="374"/>
      <c r="CI54" s="374"/>
      <c r="CJ54" s="374"/>
      <c r="CK54" s="374"/>
      <c r="CL54" s="374"/>
    </row>
    <row r="55" ht="15.0" customHeight="1">
      <c r="AA55" s="6"/>
      <c r="AB55" s="49"/>
      <c r="AG55" s="370"/>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3"/>
      <c r="BI55" s="12"/>
      <c r="BJ55" s="13"/>
      <c r="BK55" s="11"/>
      <c r="BL55" s="11"/>
      <c r="BM55" s="11"/>
      <c r="BN55" s="374"/>
      <c r="BO55" s="374"/>
      <c r="BP55" s="374"/>
      <c r="BQ55" s="374"/>
      <c r="BR55" s="374"/>
      <c r="BS55" s="374"/>
      <c r="BT55" s="374"/>
      <c r="BU55" s="374"/>
      <c r="BV55" s="374"/>
      <c r="BW55" s="374"/>
      <c r="BX55" s="374"/>
      <c r="BY55" s="374"/>
      <c r="BZ55" s="374"/>
      <c r="CA55" s="374"/>
      <c r="CB55" s="374"/>
      <c r="CC55" s="374"/>
      <c r="CD55" s="374"/>
      <c r="CE55" s="374"/>
      <c r="CF55" s="374"/>
      <c r="CG55" s="374"/>
      <c r="CH55" s="374"/>
      <c r="CI55" s="374"/>
      <c r="CJ55" s="374"/>
      <c r="CK55" s="374"/>
      <c r="CL55" s="374"/>
    </row>
    <row r="56" ht="15.0" customHeight="1">
      <c r="A56" s="375"/>
      <c r="B56" s="3"/>
      <c r="C56" s="3"/>
      <c r="D56" s="3"/>
      <c r="E56" s="3"/>
      <c r="F56" s="3"/>
      <c r="G56" s="3"/>
      <c r="H56" s="3"/>
      <c r="I56" s="3"/>
      <c r="J56" s="3"/>
      <c r="K56" s="3"/>
      <c r="L56" s="3"/>
      <c r="M56" s="3"/>
      <c r="N56" s="3"/>
      <c r="O56" s="3"/>
      <c r="P56" s="3"/>
      <c r="Q56" s="3"/>
      <c r="R56" s="3"/>
      <c r="S56" s="3"/>
      <c r="T56" s="3"/>
      <c r="U56" s="3"/>
      <c r="V56" s="3"/>
      <c r="W56" s="3"/>
      <c r="X56" s="3"/>
      <c r="Y56" s="3"/>
      <c r="Z56" s="3"/>
      <c r="AA56" s="376"/>
      <c r="AB56" s="5"/>
      <c r="AC56" s="379"/>
      <c r="AD56" s="3"/>
      <c r="AE56" s="3"/>
      <c r="AF56" s="3"/>
      <c r="AG56" s="370"/>
      <c r="AH56" s="375"/>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76"/>
      <c r="BI56" s="5"/>
      <c r="BJ56" s="376"/>
      <c r="BK56" s="3"/>
      <c r="BL56" s="3"/>
      <c r="BM56" s="3"/>
      <c r="BN56" s="374"/>
      <c r="BO56" s="374"/>
      <c r="BP56" s="374"/>
      <c r="BQ56" s="374"/>
      <c r="BR56" s="374"/>
      <c r="BS56" s="374"/>
      <c r="BT56" s="374"/>
      <c r="BU56" s="374"/>
      <c r="BV56" s="374"/>
      <c r="BW56" s="374"/>
      <c r="BX56" s="374"/>
      <c r="BY56" s="374"/>
      <c r="BZ56" s="374"/>
      <c r="CA56" s="374"/>
      <c r="CB56" s="374"/>
      <c r="CC56" s="374"/>
      <c r="CD56" s="374"/>
      <c r="CE56" s="374"/>
      <c r="CF56" s="374"/>
      <c r="CG56" s="374"/>
      <c r="CH56" s="374"/>
      <c r="CI56" s="374"/>
      <c r="CJ56" s="374"/>
      <c r="CK56" s="374"/>
      <c r="CL56" s="374"/>
    </row>
    <row r="57" ht="15.0" customHeight="1">
      <c r="AA57" s="6"/>
      <c r="AB57" s="49"/>
      <c r="AG57" s="370"/>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3"/>
      <c r="BI57" s="12"/>
      <c r="BJ57" s="13"/>
      <c r="BK57" s="11"/>
      <c r="BL57" s="11"/>
      <c r="BM57" s="11"/>
      <c r="BN57" s="374"/>
      <c r="BO57" s="374"/>
      <c r="BP57" s="374"/>
      <c r="BQ57" s="374"/>
      <c r="BR57" s="374"/>
      <c r="BS57" s="374"/>
      <c r="BT57" s="374"/>
      <c r="BU57" s="374"/>
      <c r="BV57" s="374"/>
      <c r="BW57" s="374"/>
      <c r="BX57" s="374"/>
      <c r="BY57" s="374"/>
      <c r="BZ57" s="374"/>
      <c r="CA57" s="374"/>
      <c r="CB57" s="374"/>
      <c r="CC57" s="374"/>
      <c r="CD57" s="374"/>
      <c r="CE57" s="374"/>
      <c r="CF57" s="374"/>
      <c r="CG57" s="374"/>
      <c r="CH57" s="374"/>
      <c r="CI57" s="374"/>
      <c r="CJ57" s="374"/>
      <c r="CK57" s="374"/>
      <c r="CL57" s="374"/>
    </row>
    <row r="58" ht="15.0" customHeight="1">
      <c r="A58" s="371"/>
      <c r="B58" s="3"/>
      <c r="C58" s="3"/>
      <c r="D58" s="3"/>
      <c r="E58" s="3"/>
      <c r="F58" s="3"/>
      <c r="G58" s="3"/>
      <c r="H58" s="3"/>
      <c r="I58" s="3"/>
      <c r="J58" s="3"/>
      <c r="K58" s="3"/>
      <c r="L58" s="3"/>
      <c r="M58" s="3"/>
      <c r="N58" s="3"/>
      <c r="O58" s="3"/>
      <c r="P58" s="3"/>
      <c r="Q58" s="3"/>
      <c r="R58" s="3"/>
      <c r="S58" s="3"/>
      <c r="T58" s="3"/>
      <c r="U58" s="3"/>
      <c r="V58" s="3"/>
      <c r="W58" s="3"/>
      <c r="X58" s="3"/>
      <c r="Y58" s="3"/>
      <c r="Z58" s="3"/>
      <c r="AA58" s="372"/>
      <c r="AB58" s="5"/>
      <c r="AC58" s="87"/>
      <c r="AD58" s="3"/>
      <c r="AE58" s="3"/>
      <c r="AF58" s="3"/>
      <c r="AG58" s="370"/>
      <c r="AH58" s="371"/>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72"/>
      <c r="BI58" s="5"/>
      <c r="BJ58" s="372"/>
      <c r="BK58" s="3"/>
      <c r="BL58" s="3"/>
      <c r="BM58" s="3"/>
      <c r="BN58" s="380"/>
      <c r="BO58" s="380"/>
      <c r="BP58" s="380"/>
      <c r="BQ58" s="380"/>
      <c r="BR58" s="380"/>
      <c r="BS58" s="380"/>
      <c r="BT58" s="380"/>
      <c r="BU58" s="380"/>
      <c r="BV58" s="380"/>
      <c r="BW58" s="380"/>
      <c r="BX58" s="380"/>
      <c r="BY58" s="380"/>
      <c r="BZ58" s="380"/>
      <c r="CA58" s="380"/>
      <c r="CB58" s="380"/>
      <c r="CC58" s="380"/>
      <c r="CD58" s="380"/>
      <c r="CE58" s="380"/>
      <c r="CF58" s="380"/>
      <c r="CG58" s="380"/>
      <c r="CH58" s="380"/>
      <c r="CI58" s="380"/>
      <c r="CJ58" s="380"/>
      <c r="CK58" s="380"/>
      <c r="CL58" s="380"/>
    </row>
    <row r="59" ht="15.0" customHeight="1">
      <c r="AA59" s="6"/>
      <c r="AB59" s="49"/>
      <c r="AG59" s="370"/>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3"/>
      <c r="BI59" s="12"/>
      <c r="BJ59" s="13"/>
      <c r="BK59" s="11"/>
      <c r="BL59" s="11"/>
      <c r="BM59" s="11"/>
      <c r="BO59" s="380"/>
      <c r="BP59" s="380"/>
      <c r="BQ59" s="380"/>
      <c r="BR59" s="380"/>
      <c r="BS59" s="380"/>
      <c r="BT59" s="380"/>
      <c r="BU59" s="380"/>
      <c r="BV59" s="380"/>
      <c r="BW59" s="380"/>
      <c r="BX59" s="380"/>
      <c r="BY59" s="380"/>
      <c r="BZ59" s="380"/>
      <c r="CA59" s="380"/>
      <c r="CB59" s="380"/>
      <c r="CC59" s="380"/>
      <c r="CD59" s="380"/>
      <c r="CE59" s="380"/>
      <c r="CF59" s="380"/>
      <c r="CG59" s="380"/>
      <c r="CH59" s="380"/>
      <c r="CI59" s="380"/>
      <c r="CJ59" s="380"/>
      <c r="CK59" s="380"/>
      <c r="CL59" s="380"/>
    </row>
    <row r="60" ht="15.0" customHeight="1">
      <c r="A60" s="375"/>
      <c r="B60" s="3"/>
      <c r="C60" s="3"/>
      <c r="D60" s="3"/>
      <c r="E60" s="3"/>
      <c r="F60" s="3"/>
      <c r="G60" s="3"/>
      <c r="H60" s="3"/>
      <c r="I60" s="3"/>
      <c r="J60" s="3"/>
      <c r="K60" s="3"/>
      <c r="L60" s="3"/>
      <c r="M60" s="3"/>
      <c r="N60" s="3"/>
      <c r="O60" s="3"/>
      <c r="P60" s="3"/>
      <c r="Q60" s="3"/>
      <c r="R60" s="3"/>
      <c r="S60" s="3"/>
      <c r="T60" s="3"/>
      <c r="U60" s="3"/>
      <c r="V60" s="3"/>
      <c r="W60" s="3"/>
      <c r="X60" s="3"/>
      <c r="Y60" s="3"/>
      <c r="Z60" s="3"/>
      <c r="AA60" s="376"/>
      <c r="AB60" s="5"/>
      <c r="AC60" s="379"/>
      <c r="AD60" s="3"/>
      <c r="AE60" s="3"/>
      <c r="AF60" s="3"/>
      <c r="AG60" s="370"/>
      <c r="AH60" s="375"/>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76"/>
      <c r="BI60" s="5"/>
      <c r="BJ60" s="376"/>
      <c r="BK60" s="3"/>
      <c r="BL60" s="3"/>
      <c r="BM60" s="3"/>
      <c r="BN60" s="380"/>
      <c r="BO60" s="380"/>
      <c r="BP60" s="380"/>
      <c r="BQ60" s="380"/>
      <c r="BR60" s="380"/>
      <c r="BS60" s="380"/>
      <c r="BT60" s="380"/>
      <c r="BU60" s="380"/>
      <c r="BV60" s="380"/>
      <c r="BW60" s="380"/>
      <c r="BX60" s="380"/>
      <c r="BY60" s="380"/>
      <c r="BZ60" s="380"/>
      <c r="CA60" s="380"/>
      <c r="CB60" s="380"/>
      <c r="CC60" s="380"/>
      <c r="CD60" s="380"/>
      <c r="CE60" s="380"/>
      <c r="CF60" s="380"/>
      <c r="CG60" s="380"/>
      <c r="CH60" s="380"/>
      <c r="CI60" s="380"/>
      <c r="CJ60" s="380"/>
      <c r="CK60" s="380"/>
      <c r="CL60" s="380"/>
    </row>
    <row r="61" ht="15.0" customHeight="1">
      <c r="AA61" s="6"/>
      <c r="AB61" s="49"/>
      <c r="AG61" s="370"/>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3"/>
      <c r="BI61" s="12"/>
      <c r="BJ61" s="13"/>
      <c r="BK61" s="11"/>
      <c r="BL61" s="11"/>
      <c r="BM61" s="11"/>
      <c r="BO61" s="380"/>
      <c r="BP61" s="380"/>
      <c r="BQ61" s="380"/>
      <c r="BR61" s="380"/>
      <c r="BS61" s="380"/>
      <c r="BT61" s="380"/>
      <c r="BU61" s="380"/>
      <c r="BV61" s="380"/>
      <c r="BW61" s="380"/>
      <c r="BX61" s="380"/>
      <c r="BY61" s="380"/>
      <c r="BZ61" s="380"/>
      <c r="CA61" s="380"/>
      <c r="CB61" s="380"/>
      <c r="CC61" s="380"/>
      <c r="CD61" s="380"/>
      <c r="CE61" s="380"/>
      <c r="CF61" s="380"/>
      <c r="CG61" s="380"/>
      <c r="CH61" s="380"/>
      <c r="CI61" s="380"/>
      <c r="CJ61" s="380"/>
      <c r="CK61" s="380"/>
      <c r="CL61" s="380"/>
    </row>
    <row r="62" ht="15.0" customHeight="1">
      <c r="A62" s="371"/>
      <c r="B62" s="3"/>
      <c r="C62" s="3"/>
      <c r="D62" s="3"/>
      <c r="E62" s="3"/>
      <c r="F62" s="3"/>
      <c r="G62" s="3"/>
      <c r="H62" s="3"/>
      <c r="I62" s="3"/>
      <c r="J62" s="3"/>
      <c r="K62" s="3"/>
      <c r="L62" s="3"/>
      <c r="M62" s="3"/>
      <c r="N62" s="3"/>
      <c r="O62" s="3"/>
      <c r="P62" s="3"/>
      <c r="Q62" s="3"/>
      <c r="R62" s="3"/>
      <c r="S62" s="3"/>
      <c r="T62" s="3"/>
      <c r="U62" s="3"/>
      <c r="V62" s="3"/>
      <c r="W62" s="3"/>
      <c r="X62" s="3"/>
      <c r="Y62" s="3"/>
      <c r="Z62" s="3"/>
      <c r="AA62" s="372"/>
      <c r="AB62" s="5"/>
      <c r="AC62" s="87"/>
      <c r="AD62" s="3"/>
      <c r="AE62" s="3"/>
      <c r="AF62" s="3"/>
      <c r="AG62" s="370"/>
      <c r="AH62" s="371"/>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72"/>
      <c r="BI62" s="5"/>
      <c r="BJ62" s="372"/>
      <c r="BK62" s="3"/>
      <c r="BL62" s="3"/>
      <c r="BM62" s="3"/>
      <c r="BN62" s="380"/>
      <c r="BO62" s="380"/>
      <c r="BP62" s="380"/>
      <c r="BQ62" s="380"/>
      <c r="BR62" s="380"/>
      <c r="BS62" s="380"/>
      <c r="BT62" s="380"/>
      <c r="BU62" s="380"/>
      <c r="BV62" s="380"/>
      <c r="BW62" s="380"/>
      <c r="BX62" s="380"/>
      <c r="BY62" s="380"/>
      <c r="BZ62" s="380"/>
      <c r="CA62" s="380"/>
      <c r="CB62" s="380"/>
      <c r="CC62" s="380"/>
      <c r="CD62" s="380"/>
      <c r="CE62" s="380"/>
      <c r="CF62" s="380"/>
      <c r="CG62" s="380"/>
      <c r="CH62" s="380"/>
      <c r="CI62" s="380"/>
      <c r="CJ62" s="380"/>
      <c r="CK62" s="380"/>
      <c r="CL62" s="380"/>
    </row>
    <row r="63" ht="15.0" customHeight="1">
      <c r="AA63" s="6"/>
      <c r="AB63" s="49"/>
      <c r="AG63" s="370"/>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3"/>
      <c r="BI63" s="12"/>
      <c r="BJ63" s="13"/>
      <c r="BK63" s="11"/>
      <c r="BL63" s="11"/>
      <c r="BM63" s="11"/>
      <c r="BO63" s="380"/>
      <c r="BP63" s="380"/>
      <c r="BQ63" s="380"/>
      <c r="BR63" s="380"/>
      <c r="BS63" s="380"/>
      <c r="BT63" s="380"/>
      <c r="BU63" s="380"/>
      <c r="BV63" s="380"/>
      <c r="BW63" s="380"/>
      <c r="BX63" s="380"/>
      <c r="BY63" s="380"/>
      <c r="BZ63" s="380"/>
      <c r="CA63" s="380"/>
      <c r="CB63" s="380"/>
      <c r="CC63" s="380"/>
      <c r="CD63" s="380"/>
      <c r="CE63" s="380"/>
      <c r="CF63" s="380"/>
      <c r="CG63" s="380"/>
      <c r="CH63" s="380"/>
      <c r="CI63" s="380"/>
      <c r="CJ63" s="380"/>
      <c r="CK63" s="380"/>
      <c r="CL63" s="380"/>
    </row>
    <row r="64" ht="15.0" customHeight="1">
      <c r="A64" s="375"/>
      <c r="B64" s="3"/>
      <c r="C64" s="3"/>
      <c r="D64" s="3"/>
      <c r="E64" s="3"/>
      <c r="F64" s="3"/>
      <c r="G64" s="3"/>
      <c r="H64" s="3"/>
      <c r="I64" s="3"/>
      <c r="J64" s="3"/>
      <c r="K64" s="3"/>
      <c r="L64" s="3"/>
      <c r="M64" s="3"/>
      <c r="N64" s="3"/>
      <c r="O64" s="3"/>
      <c r="P64" s="3"/>
      <c r="Q64" s="3"/>
      <c r="R64" s="3"/>
      <c r="S64" s="3"/>
      <c r="T64" s="3"/>
      <c r="U64" s="3"/>
      <c r="V64" s="3"/>
      <c r="W64" s="3"/>
      <c r="X64" s="3"/>
      <c r="Y64" s="3"/>
      <c r="Z64" s="3"/>
      <c r="AA64" s="376"/>
      <c r="AB64" s="5"/>
      <c r="AC64" s="379"/>
      <c r="AD64" s="3"/>
      <c r="AE64" s="3"/>
      <c r="AF64" s="3"/>
      <c r="AG64" s="370"/>
      <c r="AH64" s="375"/>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76"/>
      <c r="BI64" s="5"/>
      <c r="BJ64" s="376"/>
      <c r="BK64" s="3"/>
      <c r="BL64" s="3"/>
      <c r="BM64" s="3"/>
      <c r="BN64" s="380"/>
      <c r="BO64" s="380"/>
      <c r="BP64" s="380"/>
      <c r="BQ64" s="380"/>
      <c r="BR64" s="380"/>
      <c r="BS64" s="380"/>
      <c r="BT64" s="380"/>
      <c r="BU64" s="380"/>
      <c r="BV64" s="380"/>
      <c r="BW64" s="380"/>
      <c r="BX64" s="380"/>
      <c r="BY64" s="380"/>
      <c r="BZ64" s="380"/>
      <c r="CA64" s="380"/>
      <c r="CB64" s="380"/>
      <c r="CC64" s="380"/>
      <c r="CD64" s="380"/>
      <c r="CE64" s="380"/>
      <c r="CF64" s="380"/>
      <c r="CG64" s="380"/>
      <c r="CH64" s="380"/>
      <c r="CI64" s="380"/>
      <c r="CJ64" s="380"/>
      <c r="CK64" s="380"/>
      <c r="CL64" s="380"/>
    </row>
    <row r="65" ht="15.0" customHeight="1">
      <c r="AA65" s="6"/>
      <c r="AB65" s="49"/>
      <c r="AG65" s="370"/>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3"/>
      <c r="BI65" s="12"/>
      <c r="BJ65" s="13"/>
      <c r="BK65" s="11"/>
      <c r="BL65" s="11"/>
      <c r="BM65" s="11"/>
      <c r="BO65" s="380"/>
      <c r="BP65" s="380"/>
      <c r="BQ65" s="380"/>
      <c r="BR65" s="380"/>
      <c r="BS65" s="380"/>
      <c r="BT65" s="380"/>
      <c r="BU65" s="380"/>
      <c r="BV65" s="380"/>
      <c r="BW65" s="380"/>
      <c r="BX65" s="380"/>
      <c r="BY65" s="380"/>
      <c r="BZ65" s="380"/>
      <c r="CA65" s="380"/>
      <c r="CB65" s="380"/>
      <c r="CC65" s="380"/>
      <c r="CD65" s="380"/>
      <c r="CE65" s="380"/>
      <c r="CF65" s="380"/>
      <c r="CG65" s="380"/>
      <c r="CH65" s="380"/>
      <c r="CI65" s="380"/>
      <c r="CJ65" s="380"/>
      <c r="CK65" s="380"/>
      <c r="CL65" s="380"/>
    </row>
    <row r="66" ht="15.0" customHeight="1">
      <c r="A66" s="371"/>
      <c r="B66" s="3"/>
      <c r="C66" s="3"/>
      <c r="D66" s="3"/>
      <c r="E66" s="3"/>
      <c r="F66" s="3"/>
      <c r="G66" s="3"/>
      <c r="H66" s="3"/>
      <c r="I66" s="3"/>
      <c r="J66" s="3"/>
      <c r="K66" s="3"/>
      <c r="L66" s="3"/>
      <c r="M66" s="3"/>
      <c r="N66" s="3"/>
      <c r="O66" s="3"/>
      <c r="P66" s="3"/>
      <c r="Q66" s="3"/>
      <c r="R66" s="3"/>
      <c r="S66" s="3"/>
      <c r="T66" s="3"/>
      <c r="U66" s="3"/>
      <c r="V66" s="3"/>
      <c r="W66" s="3"/>
      <c r="X66" s="3"/>
      <c r="Y66" s="3"/>
      <c r="Z66" s="3"/>
      <c r="AA66" s="372"/>
      <c r="AB66" s="5"/>
      <c r="AC66" s="87"/>
      <c r="AD66" s="3"/>
      <c r="AE66" s="3"/>
      <c r="AF66" s="3"/>
      <c r="AG66" s="370"/>
      <c r="AH66" s="363"/>
      <c r="BG66" s="49"/>
      <c r="BH66" s="372"/>
      <c r="BI66" s="5"/>
      <c r="BJ66" s="372"/>
      <c r="BK66" s="3"/>
      <c r="BL66" s="3"/>
      <c r="BM66" s="3"/>
      <c r="BN66" s="380"/>
      <c r="BO66" s="380"/>
      <c r="BP66" s="380"/>
      <c r="BQ66" s="380"/>
      <c r="BR66" s="380"/>
      <c r="BS66" s="380"/>
      <c r="BT66" s="380"/>
      <c r="BU66" s="380"/>
      <c r="BV66" s="380"/>
      <c r="BW66" s="380"/>
      <c r="BX66" s="380"/>
      <c r="BY66" s="380"/>
      <c r="BZ66" s="380"/>
      <c r="CA66" s="380"/>
      <c r="CB66" s="380"/>
      <c r="CC66" s="380"/>
      <c r="CD66" s="380"/>
      <c r="CE66" s="380"/>
      <c r="CF66" s="380"/>
      <c r="CG66" s="380"/>
      <c r="CH66" s="380"/>
      <c r="CI66" s="380"/>
      <c r="CJ66" s="380"/>
      <c r="CK66" s="380"/>
      <c r="CL66" s="380"/>
    </row>
    <row r="67" ht="15.0" customHeight="1">
      <c r="AA67" s="6"/>
      <c r="AB67" s="49"/>
      <c r="AG67" s="370"/>
      <c r="BG67" s="49"/>
      <c r="BH67" s="6"/>
      <c r="BI67" s="49"/>
      <c r="BJ67" s="6"/>
      <c r="BO67" s="380"/>
      <c r="BP67" s="380"/>
      <c r="BQ67" s="380"/>
      <c r="BR67" s="380"/>
      <c r="BS67" s="380"/>
      <c r="BT67" s="380"/>
      <c r="BU67" s="380"/>
      <c r="BV67" s="380"/>
      <c r="BW67" s="380"/>
      <c r="BX67" s="380"/>
      <c r="BY67" s="380"/>
      <c r="BZ67" s="380"/>
      <c r="CA67" s="380"/>
      <c r="CB67" s="380"/>
      <c r="CC67" s="380"/>
      <c r="CD67" s="380"/>
      <c r="CE67" s="380"/>
      <c r="CF67" s="380"/>
      <c r="CG67" s="380"/>
      <c r="CH67" s="380"/>
      <c r="CI67" s="380"/>
      <c r="CJ67" s="380"/>
      <c r="CK67" s="380"/>
      <c r="CL67" s="380"/>
    </row>
    <row r="68" ht="15.0" customHeight="1">
      <c r="A68" s="375"/>
      <c r="B68" s="3"/>
      <c r="C68" s="3"/>
      <c r="D68" s="3"/>
      <c r="E68" s="3"/>
      <c r="F68" s="3"/>
      <c r="G68" s="3"/>
      <c r="H68" s="3"/>
      <c r="I68" s="3"/>
      <c r="J68" s="3"/>
      <c r="K68" s="3"/>
      <c r="L68" s="3"/>
      <c r="M68" s="3"/>
      <c r="N68" s="3"/>
      <c r="O68" s="3"/>
      <c r="P68" s="3"/>
      <c r="Q68" s="3"/>
      <c r="R68" s="3"/>
      <c r="S68" s="3"/>
      <c r="T68" s="3"/>
      <c r="U68" s="3"/>
      <c r="V68" s="3"/>
      <c r="W68" s="3"/>
      <c r="X68" s="3"/>
      <c r="Y68" s="3"/>
      <c r="Z68" s="3"/>
      <c r="AA68" s="376"/>
      <c r="AB68" s="5"/>
      <c r="AC68" s="379"/>
      <c r="AD68" s="3"/>
      <c r="AE68" s="3"/>
      <c r="AF68" s="3"/>
      <c r="AG68" s="370"/>
      <c r="AH68" s="375"/>
      <c r="AI68" s="3"/>
      <c r="AJ68" s="3"/>
      <c r="AK68" s="3"/>
      <c r="AL68" s="3"/>
      <c r="AM68" s="3"/>
      <c r="AN68" s="3"/>
      <c r="AO68" s="3"/>
      <c r="AP68" s="3"/>
      <c r="AQ68" s="3"/>
      <c r="AR68" s="3"/>
      <c r="AS68" s="3"/>
      <c r="AT68" s="3"/>
      <c r="AU68" s="3"/>
      <c r="AV68" s="3"/>
      <c r="AW68" s="3"/>
      <c r="AX68" s="3"/>
      <c r="AY68" s="3"/>
      <c r="AZ68" s="3"/>
      <c r="BA68" s="3"/>
      <c r="BB68" s="3"/>
      <c r="BC68" s="3"/>
      <c r="BD68" s="3"/>
      <c r="BE68" s="3"/>
      <c r="BF68" s="3"/>
      <c r="BG68" s="5"/>
      <c r="BH68" s="376"/>
      <c r="BI68" s="5"/>
      <c r="BJ68" s="376"/>
      <c r="BK68" s="3"/>
      <c r="BL68" s="3"/>
      <c r="BM68" s="3"/>
      <c r="BN68" s="380"/>
      <c r="BO68" s="380"/>
      <c r="BP68" s="380"/>
      <c r="BQ68" s="380"/>
      <c r="BR68" s="380"/>
      <c r="BS68" s="380"/>
      <c r="BT68" s="380"/>
      <c r="BU68" s="380"/>
      <c r="BV68" s="380"/>
      <c r="BW68" s="380"/>
      <c r="BX68" s="380"/>
      <c r="BY68" s="380"/>
      <c r="BZ68" s="380"/>
      <c r="CA68" s="380"/>
      <c r="CB68" s="380"/>
      <c r="CC68" s="380"/>
      <c r="CD68" s="380"/>
      <c r="CE68" s="380"/>
      <c r="CF68" s="380"/>
      <c r="CG68" s="380"/>
      <c r="CH68" s="380"/>
      <c r="CI68" s="380"/>
      <c r="CJ68" s="380"/>
      <c r="CK68" s="380"/>
      <c r="CL68" s="380"/>
    </row>
    <row r="69" ht="15.0" customHeight="1">
      <c r="AA69" s="6"/>
      <c r="AB69" s="49"/>
      <c r="AG69" s="370"/>
      <c r="BG69" s="49"/>
      <c r="BH69" s="6"/>
      <c r="BI69" s="49"/>
      <c r="BJ69" s="6"/>
      <c r="BO69" s="380"/>
      <c r="BP69" s="380"/>
      <c r="BQ69" s="380"/>
      <c r="BR69" s="380"/>
      <c r="BS69" s="380"/>
      <c r="BT69" s="380"/>
      <c r="BU69" s="380"/>
      <c r="BV69" s="380"/>
      <c r="BW69" s="380"/>
      <c r="BX69" s="380"/>
      <c r="BY69" s="380"/>
      <c r="BZ69" s="380"/>
      <c r="CA69" s="380"/>
      <c r="CB69" s="380"/>
      <c r="CC69" s="380"/>
      <c r="CD69" s="380"/>
      <c r="CE69" s="380"/>
      <c r="CF69" s="380"/>
      <c r="CG69" s="380"/>
      <c r="CH69" s="380"/>
      <c r="CI69" s="380"/>
      <c r="CJ69" s="380"/>
      <c r="CK69" s="380"/>
      <c r="CL69" s="380"/>
    </row>
    <row r="70" ht="15.0" customHeight="1">
      <c r="A70" s="358" t="s">
        <v>265</v>
      </c>
      <c r="AV70" s="355" t="s">
        <v>266</v>
      </c>
      <c r="BE70" s="253" t="s">
        <v>236</v>
      </c>
      <c r="BN70" s="380"/>
      <c r="BO70" s="380"/>
      <c r="BP70" s="380"/>
      <c r="BQ70" s="380"/>
      <c r="BR70" s="380"/>
      <c r="BS70" s="380"/>
      <c r="BT70" s="380"/>
      <c r="BU70" s="380"/>
      <c r="BV70" s="380"/>
      <c r="BW70" s="380"/>
      <c r="BX70" s="380"/>
      <c r="BY70" s="380"/>
      <c r="BZ70" s="380"/>
      <c r="CA70" s="380"/>
      <c r="CB70" s="380"/>
      <c r="CC70" s="380"/>
      <c r="CD70" s="380"/>
      <c r="CE70" s="380"/>
      <c r="CF70" s="380"/>
      <c r="CG70" s="380"/>
      <c r="CH70" s="380"/>
      <c r="CI70" s="380"/>
      <c r="CJ70" s="380"/>
      <c r="CK70" s="380"/>
      <c r="CL70" s="380"/>
    </row>
    <row r="71" ht="15.0" customHeight="1">
      <c r="BO71" s="380"/>
      <c r="BP71" s="380"/>
      <c r="BQ71" s="380"/>
      <c r="BR71" s="380"/>
      <c r="BS71" s="380"/>
      <c r="BT71" s="380"/>
      <c r="BU71" s="380"/>
      <c r="BV71" s="380"/>
      <c r="BW71" s="380"/>
      <c r="BX71" s="380"/>
      <c r="BY71" s="380"/>
      <c r="BZ71" s="380"/>
      <c r="CA71" s="380"/>
      <c r="CB71" s="380"/>
      <c r="CC71" s="380"/>
      <c r="CD71" s="380"/>
      <c r="CE71" s="380"/>
      <c r="CF71" s="380"/>
      <c r="CG71" s="380"/>
      <c r="CH71" s="380"/>
      <c r="CI71" s="380"/>
      <c r="CJ71" s="380"/>
      <c r="CK71" s="380"/>
      <c r="CL71" s="380"/>
    </row>
    <row r="72" ht="15.0" customHeight="1">
      <c r="A72" s="381"/>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5"/>
      <c r="AV72" s="382"/>
      <c r="AW72" s="3"/>
      <c r="AX72" s="3"/>
      <c r="AY72" s="3"/>
      <c r="AZ72" s="3"/>
      <c r="BA72" s="3"/>
      <c r="BB72" s="3"/>
      <c r="BC72" s="3"/>
      <c r="BD72" s="3"/>
      <c r="BE72" s="3"/>
      <c r="BF72" s="3"/>
      <c r="BG72" s="3"/>
      <c r="BH72" s="5"/>
      <c r="BI72" s="382"/>
      <c r="BJ72" s="3"/>
      <c r="BK72" s="3"/>
      <c r="BL72" s="3"/>
      <c r="BM72" s="3"/>
      <c r="BN72" s="380"/>
      <c r="BO72" s="380"/>
      <c r="BP72" s="380"/>
      <c r="BQ72" s="380"/>
      <c r="BR72" s="380"/>
      <c r="BS72" s="380"/>
      <c r="BT72" s="380"/>
      <c r="BU72" s="380"/>
      <c r="BV72" s="380"/>
      <c r="BW72" s="380"/>
      <c r="BX72" s="380"/>
      <c r="BY72" s="380"/>
      <c r="BZ72" s="380"/>
      <c r="CA72" s="380"/>
      <c r="CB72" s="380"/>
      <c r="CC72" s="380"/>
      <c r="CD72" s="380"/>
      <c r="CE72" s="380"/>
      <c r="CF72" s="380"/>
      <c r="CG72" s="380"/>
      <c r="CH72" s="380"/>
      <c r="CI72" s="380"/>
      <c r="CJ72" s="380"/>
      <c r="CK72" s="380"/>
      <c r="CL72" s="380"/>
    </row>
    <row r="73" ht="15.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2"/>
      <c r="AV73" s="13"/>
      <c r="AW73" s="11"/>
      <c r="AX73" s="11"/>
      <c r="AY73" s="11"/>
      <c r="AZ73" s="11"/>
      <c r="BA73" s="11"/>
      <c r="BB73" s="11"/>
      <c r="BC73" s="11"/>
      <c r="BD73" s="11"/>
      <c r="BE73" s="11"/>
      <c r="BF73" s="11"/>
      <c r="BG73" s="11"/>
      <c r="BH73" s="12"/>
      <c r="BI73" s="13"/>
      <c r="BJ73" s="11"/>
      <c r="BK73" s="11"/>
      <c r="BL73" s="11"/>
      <c r="BM73" s="11"/>
      <c r="BO73" s="380"/>
      <c r="BP73" s="380"/>
      <c r="BQ73" s="380"/>
      <c r="BR73" s="380"/>
      <c r="BS73" s="380"/>
      <c r="BT73" s="380"/>
      <c r="BU73" s="380"/>
      <c r="BV73" s="380"/>
      <c r="BW73" s="380"/>
      <c r="BX73" s="380"/>
      <c r="BY73" s="380"/>
      <c r="BZ73" s="380"/>
      <c r="CA73" s="380"/>
      <c r="CB73" s="380"/>
      <c r="CC73" s="380"/>
      <c r="CD73" s="380"/>
      <c r="CE73" s="380"/>
      <c r="CF73" s="380"/>
      <c r="CG73" s="380"/>
      <c r="CH73" s="380"/>
      <c r="CI73" s="380"/>
      <c r="CJ73" s="380"/>
      <c r="CK73" s="380"/>
      <c r="CL73" s="380"/>
    </row>
    <row r="74" ht="15.0" customHeight="1">
      <c r="A74" s="38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5"/>
      <c r="AV74" s="384"/>
      <c r="AW74" s="3"/>
      <c r="AX74" s="3"/>
      <c r="AY74" s="3"/>
      <c r="AZ74" s="3"/>
      <c r="BA74" s="3"/>
      <c r="BB74" s="3"/>
      <c r="BC74" s="3"/>
      <c r="BD74" s="3"/>
      <c r="BE74" s="3"/>
      <c r="BF74" s="3"/>
      <c r="BG74" s="3"/>
      <c r="BH74" s="5"/>
      <c r="BI74" s="384"/>
      <c r="BJ74" s="3"/>
      <c r="BK74" s="3"/>
      <c r="BL74" s="3"/>
      <c r="BM74" s="3"/>
      <c r="BN74" s="380"/>
      <c r="BO74" s="380"/>
      <c r="BP74" s="380"/>
      <c r="BQ74" s="380"/>
      <c r="BR74" s="380"/>
      <c r="BS74" s="380"/>
      <c r="BT74" s="380"/>
      <c r="BU74" s="380"/>
      <c r="BV74" s="380"/>
      <c r="BW74" s="380"/>
      <c r="BX74" s="380"/>
      <c r="BY74" s="380"/>
      <c r="BZ74" s="380"/>
      <c r="CA74" s="380"/>
      <c r="CB74" s="380"/>
      <c r="CC74" s="380"/>
      <c r="CD74" s="380"/>
      <c r="CE74" s="380"/>
      <c r="CF74" s="380"/>
      <c r="CG74" s="380"/>
      <c r="CH74" s="380"/>
      <c r="CI74" s="380"/>
      <c r="CJ74" s="380"/>
      <c r="CK74" s="380"/>
      <c r="CL74" s="380"/>
    </row>
    <row r="75" ht="15.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2"/>
      <c r="AV75" s="13"/>
      <c r="AW75" s="11"/>
      <c r="AX75" s="11"/>
      <c r="AY75" s="11"/>
      <c r="AZ75" s="11"/>
      <c r="BA75" s="11"/>
      <c r="BB75" s="11"/>
      <c r="BC75" s="11"/>
      <c r="BD75" s="11"/>
      <c r="BE75" s="11"/>
      <c r="BF75" s="11"/>
      <c r="BG75" s="11"/>
      <c r="BH75" s="12"/>
      <c r="BI75" s="13"/>
      <c r="BJ75" s="11"/>
      <c r="BK75" s="11"/>
      <c r="BL75" s="11"/>
      <c r="BM75" s="11"/>
      <c r="BO75" s="380"/>
      <c r="BP75" s="380"/>
      <c r="BQ75" s="380"/>
      <c r="BR75" s="380"/>
      <c r="BS75" s="380"/>
      <c r="BT75" s="380"/>
      <c r="BU75" s="380"/>
      <c r="BV75" s="380"/>
      <c r="BW75" s="380"/>
      <c r="BX75" s="380"/>
      <c r="BY75" s="380"/>
      <c r="BZ75" s="380"/>
      <c r="CA75" s="380"/>
      <c r="CB75" s="380"/>
      <c r="CC75" s="380"/>
      <c r="CD75" s="380"/>
      <c r="CE75" s="380"/>
      <c r="CF75" s="380"/>
      <c r="CG75" s="380"/>
      <c r="CH75" s="380"/>
      <c r="CI75" s="380"/>
      <c r="CJ75" s="380"/>
      <c r="CK75" s="380"/>
      <c r="CL75" s="380"/>
    </row>
    <row r="76" ht="15.0" customHeight="1">
      <c r="A76" s="381"/>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5"/>
      <c r="AV76" s="382"/>
      <c r="AW76" s="3"/>
      <c r="AX76" s="3"/>
      <c r="AY76" s="3"/>
      <c r="AZ76" s="3"/>
      <c r="BA76" s="3"/>
      <c r="BB76" s="3"/>
      <c r="BC76" s="3"/>
      <c r="BD76" s="3"/>
      <c r="BE76" s="3"/>
      <c r="BF76" s="3"/>
      <c r="BG76" s="3"/>
      <c r="BH76" s="5"/>
      <c r="BI76" s="382"/>
      <c r="BJ76" s="3"/>
      <c r="BK76" s="3"/>
      <c r="BL76" s="3"/>
      <c r="BM76" s="3"/>
      <c r="BN76" s="380"/>
      <c r="BO76" s="380"/>
      <c r="BP76" s="380"/>
      <c r="BQ76" s="380"/>
      <c r="BR76" s="380"/>
      <c r="BS76" s="380"/>
      <c r="BT76" s="380"/>
      <c r="BU76" s="380"/>
      <c r="BV76" s="380"/>
      <c r="BW76" s="380"/>
      <c r="BX76" s="380"/>
      <c r="BY76" s="380"/>
      <c r="BZ76" s="380"/>
      <c r="CA76" s="380"/>
      <c r="CB76" s="380"/>
      <c r="CC76" s="380"/>
      <c r="CD76" s="380"/>
      <c r="CE76" s="380"/>
      <c r="CF76" s="380"/>
      <c r="CG76" s="380"/>
      <c r="CH76" s="380"/>
      <c r="CI76" s="380"/>
      <c r="CJ76" s="380"/>
      <c r="CK76" s="380"/>
      <c r="CL76" s="380"/>
    </row>
    <row r="77" ht="15.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2"/>
      <c r="AV77" s="13"/>
      <c r="AW77" s="11"/>
      <c r="AX77" s="11"/>
      <c r="AY77" s="11"/>
      <c r="AZ77" s="11"/>
      <c r="BA77" s="11"/>
      <c r="BB77" s="11"/>
      <c r="BC77" s="11"/>
      <c r="BD77" s="11"/>
      <c r="BE77" s="11"/>
      <c r="BF77" s="11"/>
      <c r="BG77" s="11"/>
      <c r="BH77" s="12"/>
      <c r="BI77" s="13"/>
      <c r="BJ77" s="11"/>
      <c r="BK77" s="11"/>
      <c r="BL77" s="11"/>
      <c r="BM77" s="11"/>
      <c r="BO77" s="380"/>
      <c r="BP77" s="380"/>
      <c r="BQ77" s="380"/>
      <c r="BR77" s="380"/>
      <c r="BS77" s="380"/>
      <c r="BT77" s="380"/>
      <c r="BU77" s="380"/>
      <c r="BV77" s="380"/>
      <c r="BW77" s="380"/>
      <c r="BX77" s="380"/>
      <c r="BY77" s="380"/>
      <c r="BZ77" s="380"/>
      <c r="CA77" s="380"/>
      <c r="CB77" s="380"/>
      <c r="CC77" s="380"/>
      <c r="CD77" s="380"/>
      <c r="CE77" s="380"/>
      <c r="CF77" s="380"/>
      <c r="CG77" s="380"/>
      <c r="CH77" s="380"/>
      <c r="CI77" s="380"/>
      <c r="CJ77" s="380"/>
      <c r="CK77" s="380"/>
      <c r="CL77" s="380"/>
    </row>
    <row r="78" ht="15.0" customHeight="1">
      <c r="A78" s="38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5"/>
      <c r="AV78" s="384"/>
      <c r="AW78" s="3"/>
      <c r="AX78" s="3"/>
      <c r="AY78" s="3"/>
      <c r="AZ78" s="3"/>
      <c r="BA78" s="3"/>
      <c r="BB78" s="3"/>
      <c r="BC78" s="3"/>
      <c r="BD78" s="3"/>
      <c r="BE78" s="3"/>
      <c r="BF78" s="3"/>
      <c r="BG78" s="3"/>
      <c r="BH78" s="5"/>
      <c r="BI78" s="384"/>
      <c r="BJ78" s="3"/>
      <c r="BK78" s="3"/>
      <c r="BL78" s="3"/>
      <c r="BM78" s="3"/>
      <c r="BN78" s="380"/>
      <c r="BO78" s="380"/>
      <c r="BP78" s="380"/>
      <c r="BQ78" s="380"/>
      <c r="BR78" s="380"/>
      <c r="BS78" s="380"/>
      <c r="BT78" s="380"/>
      <c r="BU78" s="380"/>
      <c r="BV78" s="380"/>
      <c r="BW78" s="380"/>
      <c r="BX78" s="380"/>
      <c r="BY78" s="380"/>
      <c r="BZ78" s="380"/>
      <c r="CA78" s="380"/>
      <c r="CB78" s="380"/>
      <c r="CC78" s="380"/>
      <c r="CD78" s="380"/>
      <c r="CE78" s="380"/>
      <c r="CF78" s="380"/>
      <c r="CG78" s="380"/>
      <c r="CH78" s="380"/>
      <c r="CI78" s="380"/>
      <c r="CJ78" s="380"/>
      <c r="CK78" s="380"/>
      <c r="CL78" s="380"/>
    </row>
    <row r="79" ht="15.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2"/>
      <c r="AV79" s="13"/>
      <c r="AW79" s="11"/>
      <c r="AX79" s="11"/>
      <c r="AY79" s="11"/>
      <c r="AZ79" s="11"/>
      <c r="BA79" s="11"/>
      <c r="BB79" s="11"/>
      <c r="BC79" s="11"/>
      <c r="BD79" s="11"/>
      <c r="BE79" s="11"/>
      <c r="BF79" s="11"/>
      <c r="BG79" s="11"/>
      <c r="BH79" s="12"/>
      <c r="BI79" s="13"/>
      <c r="BJ79" s="11"/>
      <c r="BK79" s="11"/>
      <c r="BL79" s="11"/>
      <c r="BM79" s="11"/>
      <c r="BO79" s="380"/>
      <c r="BP79" s="380"/>
      <c r="BQ79" s="380"/>
      <c r="BR79" s="380"/>
      <c r="BS79" s="380"/>
      <c r="BT79" s="380"/>
      <c r="BU79" s="380"/>
      <c r="BV79" s="380"/>
      <c r="BW79" s="380"/>
      <c r="BX79" s="380"/>
      <c r="BY79" s="380"/>
      <c r="BZ79" s="380"/>
      <c r="CA79" s="380"/>
      <c r="CB79" s="380"/>
      <c r="CC79" s="380"/>
      <c r="CD79" s="380"/>
      <c r="CE79" s="380"/>
      <c r="CF79" s="380"/>
      <c r="CG79" s="380"/>
      <c r="CH79" s="380"/>
      <c r="CI79" s="380"/>
      <c r="CJ79" s="380"/>
      <c r="CK79" s="380"/>
      <c r="CL79" s="380"/>
    </row>
    <row r="80" ht="15.0" customHeight="1">
      <c r="A80" s="381"/>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5"/>
      <c r="AV80" s="382"/>
      <c r="AW80" s="3"/>
      <c r="AX80" s="3"/>
      <c r="AY80" s="3"/>
      <c r="AZ80" s="3"/>
      <c r="BA80" s="3"/>
      <c r="BB80" s="3"/>
      <c r="BC80" s="3"/>
      <c r="BD80" s="3"/>
      <c r="BE80" s="3"/>
      <c r="BF80" s="3"/>
      <c r="BG80" s="3"/>
      <c r="BH80" s="5"/>
      <c r="BI80" s="372"/>
      <c r="BJ80" s="3"/>
      <c r="BK80" s="3"/>
      <c r="BL80" s="3"/>
      <c r="BM80" s="3"/>
      <c r="BN80" s="380"/>
      <c r="BO80" s="380"/>
      <c r="BP80" s="380"/>
      <c r="BQ80" s="380"/>
      <c r="BR80" s="380"/>
      <c r="BS80" s="380"/>
      <c r="BT80" s="380"/>
      <c r="BU80" s="380"/>
      <c r="BV80" s="380"/>
      <c r="BW80" s="380"/>
      <c r="BX80" s="380"/>
      <c r="BY80" s="380"/>
      <c r="BZ80" s="380"/>
      <c r="CA80" s="380"/>
      <c r="CB80" s="380"/>
      <c r="CC80" s="380"/>
      <c r="CD80" s="380"/>
      <c r="CE80" s="380"/>
      <c r="CF80" s="380"/>
      <c r="CG80" s="380"/>
      <c r="CH80" s="380"/>
      <c r="CI80" s="380"/>
      <c r="CJ80" s="380"/>
      <c r="CK80" s="380"/>
      <c r="CL80" s="380"/>
    </row>
    <row r="81" ht="15.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2"/>
      <c r="AV81" s="13"/>
      <c r="AW81" s="11"/>
      <c r="AX81" s="11"/>
      <c r="AY81" s="11"/>
      <c r="AZ81" s="11"/>
      <c r="BA81" s="11"/>
      <c r="BB81" s="11"/>
      <c r="BC81" s="11"/>
      <c r="BD81" s="11"/>
      <c r="BE81" s="11"/>
      <c r="BF81" s="11"/>
      <c r="BG81" s="11"/>
      <c r="BH81" s="12"/>
      <c r="BI81" s="13"/>
      <c r="BJ81" s="11"/>
      <c r="BK81" s="11"/>
      <c r="BL81" s="11"/>
      <c r="BM81" s="11"/>
      <c r="BO81" s="380"/>
      <c r="BP81" s="380"/>
      <c r="BQ81" s="380"/>
      <c r="BR81" s="380"/>
      <c r="BS81" s="380"/>
      <c r="BT81" s="380"/>
      <c r="BU81" s="380"/>
      <c r="BV81" s="380"/>
      <c r="BW81" s="380"/>
      <c r="BX81" s="380"/>
      <c r="BY81" s="380"/>
      <c r="BZ81" s="380"/>
      <c r="CA81" s="380"/>
      <c r="CB81" s="380"/>
      <c r="CC81" s="380"/>
      <c r="CD81" s="380"/>
      <c r="CE81" s="380"/>
      <c r="CF81" s="380"/>
      <c r="CG81" s="380"/>
      <c r="CH81" s="380"/>
      <c r="CI81" s="380"/>
      <c r="CJ81" s="380"/>
      <c r="CK81" s="380"/>
      <c r="CL81" s="380"/>
    </row>
    <row r="82" ht="15.0" customHeight="1">
      <c r="A82" s="38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5"/>
      <c r="AV82" s="384"/>
      <c r="AW82" s="3"/>
      <c r="AX82" s="3"/>
      <c r="AY82" s="3"/>
      <c r="AZ82" s="3"/>
      <c r="BA82" s="3"/>
      <c r="BB82" s="3"/>
      <c r="BC82" s="3"/>
      <c r="BD82" s="3"/>
      <c r="BE82" s="3"/>
      <c r="BF82" s="3"/>
      <c r="BG82" s="3"/>
      <c r="BH82" s="5"/>
      <c r="BI82" s="384"/>
      <c r="BJ82" s="3"/>
      <c r="BK82" s="3"/>
      <c r="BL82" s="3"/>
      <c r="BM82" s="3"/>
      <c r="BN82" s="380"/>
      <c r="BO82" s="380"/>
      <c r="BP82" s="380"/>
      <c r="BQ82" s="380"/>
      <c r="BR82" s="380"/>
      <c r="BS82" s="380"/>
      <c r="BT82" s="380"/>
      <c r="BU82" s="380"/>
      <c r="BV82" s="380"/>
      <c r="BW82" s="380"/>
      <c r="BX82" s="380"/>
      <c r="BY82" s="380"/>
      <c r="BZ82" s="380"/>
      <c r="CA82" s="380"/>
      <c r="CB82" s="380"/>
      <c r="CC82" s="380"/>
      <c r="CD82" s="380"/>
      <c r="CE82" s="380"/>
      <c r="CF82" s="380"/>
      <c r="CG82" s="380"/>
      <c r="CH82" s="380"/>
      <c r="CI82" s="380"/>
      <c r="CJ82" s="380"/>
      <c r="CK82" s="380"/>
      <c r="CL82" s="380"/>
    </row>
    <row r="83" ht="15.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2"/>
      <c r="AV83" s="13"/>
      <c r="AW83" s="11"/>
      <c r="AX83" s="11"/>
      <c r="AY83" s="11"/>
      <c r="AZ83" s="11"/>
      <c r="BA83" s="11"/>
      <c r="BB83" s="11"/>
      <c r="BC83" s="11"/>
      <c r="BD83" s="11"/>
      <c r="BE83" s="11"/>
      <c r="BF83" s="11"/>
      <c r="BG83" s="11"/>
      <c r="BH83" s="12"/>
      <c r="BI83" s="13"/>
      <c r="BJ83" s="11"/>
      <c r="BK83" s="11"/>
      <c r="BL83" s="11"/>
      <c r="BM83" s="11"/>
      <c r="BO83" s="380"/>
      <c r="BP83" s="380"/>
      <c r="BQ83" s="380"/>
      <c r="BR83" s="380"/>
      <c r="BS83" s="380"/>
      <c r="BT83" s="380"/>
      <c r="BU83" s="380"/>
      <c r="BV83" s="380"/>
      <c r="BW83" s="380"/>
      <c r="BX83" s="380"/>
      <c r="BY83" s="380"/>
      <c r="BZ83" s="380"/>
      <c r="CA83" s="380"/>
      <c r="CB83" s="380"/>
      <c r="CC83" s="380"/>
      <c r="CD83" s="380"/>
      <c r="CE83" s="380"/>
      <c r="CF83" s="380"/>
      <c r="CG83" s="380"/>
      <c r="CH83" s="380"/>
      <c r="CI83" s="380"/>
      <c r="CJ83" s="380"/>
      <c r="CK83" s="380"/>
      <c r="CL83" s="380"/>
    </row>
    <row r="84" ht="15.0" customHeight="1">
      <c r="A84" s="381"/>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5"/>
      <c r="AV84" s="382"/>
      <c r="AW84" s="3"/>
      <c r="AX84" s="3"/>
      <c r="AY84" s="3"/>
      <c r="AZ84" s="3"/>
      <c r="BA84" s="3"/>
      <c r="BB84" s="3"/>
      <c r="BC84" s="3"/>
      <c r="BD84" s="3"/>
      <c r="BE84" s="3"/>
      <c r="BF84" s="3"/>
      <c r="BG84" s="3"/>
      <c r="BH84" s="5"/>
      <c r="BI84" s="382"/>
      <c r="BJ84" s="3"/>
      <c r="BK84" s="3"/>
      <c r="BL84" s="3"/>
      <c r="BM84" s="3"/>
      <c r="BN84" s="380"/>
      <c r="BO84" s="380"/>
      <c r="BP84" s="380"/>
      <c r="BQ84" s="380"/>
      <c r="BR84" s="380"/>
      <c r="BS84" s="380"/>
      <c r="BT84" s="380"/>
      <c r="BU84" s="380"/>
      <c r="BV84" s="380"/>
      <c r="BW84" s="380"/>
      <c r="BX84" s="380"/>
      <c r="BY84" s="380"/>
      <c r="BZ84" s="380"/>
      <c r="CA84" s="380"/>
      <c r="CB84" s="380"/>
      <c r="CC84" s="380"/>
      <c r="CD84" s="380"/>
      <c r="CE84" s="380"/>
      <c r="CF84" s="380"/>
      <c r="CG84" s="380"/>
      <c r="CH84" s="380"/>
      <c r="CI84" s="380"/>
      <c r="CJ84" s="380"/>
      <c r="CK84" s="380"/>
      <c r="CL84" s="380"/>
    </row>
    <row r="85" ht="15.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2"/>
      <c r="AV85" s="13"/>
      <c r="AW85" s="11"/>
      <c r="AX85" s="11"/>
      <c r="AY85" s="11"/>
      <c r="AZ85" s="11"/>
      <c r="BA85" s="11"/>
      <c r="BB85" s="11"/>
      <c r="BC85" s="11"/>
      <c r="BD85" s="11"/>
      <c r="BE85" s="11"/>
      <c r="BF85" s="11"/>
      <c r="BG85" s="11"/>
      <c r="BH85" s="12"/>
      <c r="BI85" s="13"/>
      <c r="BJ85" s="11"/>
      <c r="BK85" s="11"/>
      <c r="BL85" s="11"/>
      <c r="BM85" s="11"/>
      <c r="BO85" s="380"/>
      <c r="BP85" s="380"/>
      <c r="BQ85" s="380"/>
      <c r="BR85" s="380"/>
      <c r="BS85" s="380"/>
      <c r="BT85" s="380"/>
      <c r="BU85" s="380"/>
      <c r="BV85" s="380"/>
      <c r="BW85" s="380"/>
      <c r="BX85" s="380"/>
      <c r="BY85" s="380"/>
      <c r="BZ85" s="380"/>
      <c r="CA85" s="380"/>
      <c r="CB85" s="380"/>
      <c r="CC85" s="380"/>
      <c r="CD85" s="380"/>
      <c r="CE85" s="380"/>
      <c r="CF85" s="380"/>
      <c r="CG85" s="380"/>
      <c r="CH85" s="380"/>
      <c r="CI85" s="380"/>
      <c r="CJ85" s="380"/>
      <c r="CK85" s="380"/>
      <c r="CL85" s="380"/>
    </row>
    <row r="86" ht="15.0" customHeight="1">
      <c r="A86" s="38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5"/>
      <c r="AV86" s="384"/>
      <c r="AW86" s="3"/>
      <c r="AX86" s="3"/>
      <c r="AY86" s="3"/>
      <c r="AZ86" s="3"/>
      <c r="BA86" s="3"/>
      <c r="BB86" s="3"/>
      <c r="BC86" s="3"/>
      <c r="BD86" s="3"/>
      <c r="BE86" s="3"/>
      <c r="BF86" s="3"/>
      <c r="BG86" s="3"/>
      <c r="BH86" s="5"/>
      <c r="BI86" s="384"/>
      <c r="BJ86" s="3"/>
      <c r="BK86" s="3"/>
      <c r="BL86" s="3"/>
      <c r="BM86" s="3"/>
      <c r="BN86" s="380"/>
      <c r="BO86" s="380"/>
      <c r="BP86" s="380"/>
      <c r="BQ86" s="380"/>
      <c r="BR86" s="380"/>
      <c r="BS86" s="380"/>
      <c r="BT86" s="380"/>
      <c r="BU86" s="380"/>
      <c r="BV86" s="380"/>
      <c r="BW86" s="380"/>
      <c r="BX86" s="380"/>
      <c r="BY86" s="380"/>
      <c r="BZ86" s="380"/>
      <c r="CA86" s="380"/>
      <c r="CB86" s="380"/>
      <c r="CC86" s="380"/>
      <c r="CD86" s="380"/>
      <c r="CE86" s="380"/>
      <c r="CF86" s="380"/>
      <c r="CG86" s="380"/>
      <c r="CH86" s="380"/>
      <c r="CI86" s="380"/>
      <c r="CJ86" s="380"/>
      <c r="CK86" s="380"/>
      <c r="CL86" s="380"/>
    </row>
    <row r="87" ht="15.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2"/>
      <c r="AV87" s="13"/>
      <c r="AW87" s="11"/>
      <c r="AX87" s="11"/>
      <c r="AY87" s="11"/>
      <c r="AZ87" s="11"/>
      <c r="BA87" s="11"/>
      <c r="BB87" s="11"/>
      <c r="BC87" s="11"/>
      <c r="BD87" s="11"/>
      <c r="BE87" s="11"/>
      <c r="BF87" s="11"/>
      <c r="BG87" s="11"/>
      <c r="BH87" s="12"/>
      <c r="BI87" s="13"/>
      <c r="BJ87" s="11"/>
      <c r="BK87" s="11"/>
      <c r="BL87" s="11"/>
      <c r="BM87" s="11"/>
      <c r="BO87" s="380"/>
      <c r="BP87" s="380"/>
      <c r="BQ87" s="380"/>
      <c r="BR87" s="380"/>
      <c r="BS87" s="380"/>
      <c r="BT87" s="380"/>
      <c r="BU87" s="380"/>
      <c r="BV87" s="380"/>
      <c r="BW87" s="380"/>
      <c r="BX87" s="380"/>
      <c r="BY87" s="380"/>
      <c r="BZ87" s="380"/>
      <c r="CA87" s="380"/>
      <c r="CB87" s="380"/>
      <c r="CC87" s="380"/>
      <c r="CD87" s="380"/>
      <c r="CE87" s="380"/>
      <c r="CF87" s="380"/>
      <c r="CG87" s="380"/>
      <c r="CH87" s="380"/>
      <c r="CI87" s="380"/>
      <c r="CJ87" s="380"/>
      <c r="CK87" s="380"/>
      <c r="CL87" s="380"/>
    </row>
    <row r="88" ht="15.0" customHeight="1">
      <c r="A88" s="381"/>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5"/>
      <c r="AV88" s="382"/>
      <c r="AW88" s="3"/>
      <c r="AX88" s="3"/>
      <c r="AY88" s="3"/>
      <c r="AZ88" s="3"/>
      <c r="BA88" s="3"/>
      <c r="BB88" s="3"/>
      <c r="BC88" s="3"/>
      <c r="BD88" s="3"/>
      <c r="BE88" s="3"/>
      <c r="BF88" s="3"/>
      <c r="BG88" s="3"/>
      <c r="BH88" s="5"/>
      <c r="BI88" s="382"/>
      <c r="BJ88" s="3"/>
      <c r="BK88" s="3"/>
      <c r="BL88" s="3"/>
      <c r="BM88" s="3"/>
      <c r="BN88" s="380"/>
      <c r="BO88" s="380"/>
      <c r="BP88" s="380"/>
      <c r="BQ88" s="380"/>
      <c r="BR88" s="380"/>
      <c r="BS88" s="380"/>
      <c r="BT88" s="380"/>
      <c r="BU88" s="380"/>
      <c r="BV88" s="380"/>
      <c r="BW88" s="380"/>
      <c r="BX88" s="380"/>
      <c r="BY88" s="380"/>
      <c r="BZ88" s="380"/>
      <c r="CA88" s="380"/>
      <c r="CB88" s="380"/>
      <c r="CC88" s="380"/>
      <c r="CD88" s="380"/>
      <c r="CE88" s="380"/>
      <c r="CF88" s="380"/>
      <c r="CG88" s="380"/>
      <c r="CH88" s="380"/>
      <c r="CI88" s="380"/>
      <c r="CJ88" s="380"/>
      <c r="CK88" s="380"/>
      <c r="CL88" s="380"/>
    </row>
    <row r="89" ht="15.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2"/>
      <c r="AV89" s="13"/>
      <c r="AW89" s="11"/>
      <c r="AX89" s="11"/>
      <c r="AY89" s="11"/>
      <c r="AZ89" s="11"/>
      <c r="BA89" s="11"/>
      <c r="BB89" s="11"/>
      <c r="BC89" s="11"/>
      <c r="BD89" s="11"/>
      <c r="BE89" s="11"/>
      <c r="BF89" s="11"/>
      <c r="BG89" s="11"/>
      <c r="BH89" s="12"/>
      <c r="BI89" s="13"/>
      <c r="BJ89" s="11"/>
      <c r="BK89" s="11"/>
      <c r="BL89" s="11"/>
      <c r="BM89" s="11"/>
      <c r="BO89" s="380"/>
      <c r="BP89" s="380"/>
      <c r="BQ89" s="380"/>
      <c r="BR89" s="380"/>
      <c r="BS89" s="380"/>
      <c r="BT89" s="380"/>
      <c r="BU89" s="380"/>
      <c r="BV89" s="380"/>
      <c r="BW89" s="380"/>
      <c r="BX89" s="380"/>
      <c r="BY89" s="380"/>
      <c r="BZ89" s="380"/>
      <c r="CA89" s="380"/>
      <c r="CB89" s="380"/>
      <c r="CC89" s="380"/>
      <c r="CD89" s="380"/>
      <c r="CE89" s="380"/>
      <c r="CF89" s="380"/>
      <c r="CG89" s="380"/>
      <c r="CH89" s="380"/>
      <c r="CI89" s="380"/>
      <c r="CJ89" s="380"/>
      <c r="CK89" s="380"/>
      <c r="CL89" s="380"/>
    </row>
    <row r="90" ht="15.0" customHeight="1">
      <c r="A90" s="38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5"/>
      <c r="AV90" s="384"/>
      <c r="AW90" s="3"/>
      <c r="AX90" s="3"/>
      <c r="AY90" s="3"/>
      <c r="AZ90" s="3"/>
      <c r="BA90" s="3"/>
      <c r="BB90" s="3"/>
      <c r="BC90" s="3"/>
      <c r="BD90" s="3"/>
      <c r="BE90" s="3"/>
      <c r="BF90" s="3"/>
      <c r="BG90" s="3"/>
      <c r="BH90" s="5"/>
      <c r="BI90" s="384"/>
      <c r="BJ90" s="3"/>
      <c r="BK90" s="3"/>
      <c r="BL90" s="3"/>
      <c r="BM90" s="3"/>
      <c r="BN90" s="380"/>
      <c r="BO90" s="380"/>
      <c r="BP90" s="380"/>
      <c r="BQ90" s="380"/>
      <c r="BR90" s="380"/>
      <c r="BS90" s="380"/>
      <c r="BT90" s="380"/>
      <c r="BU90" s="380"/>
      <c r="BV90" s="380"/>
      <c r="BW90" s="380"/>
      <c r="BX90" s="380"/>
      <c r="BY90" s="380"/>
      <c r="BZ90" s="380"/>
      <c r="CA90" s="380"/>
      <c r="CB90" s="380"/>
      <c r="CC90" s="380"/>
      <c r="CD90" s="380"/>
      <c r="CE90" s="380"/>
      <c r="CF90" s="380"/>
      <c r="CG90" s="380"/>
      <c r="CH90" s="380"/>
      <c r="CI90" s="380"/>
      <c r="CJ90" s="380"/>
      <c r="CK90" s="380"/>
      <c r="CL90" s="380"/>
    </row>
    <row r="91" ht="15.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2"/>
      <c r="AV91" s="13"/>
      <c r="AW91" s="11"/>
      <c r="AX91" s="11"/>
      <c r="AY91" s="11"/>
      <c r="AZ91" s="11"/>
      <c r="BA91" s="11"/>
      <c r="BB91" s="11"/>
      <c r="BC91" s="11"/>
      <c r="BD91" s="11"/>
      <c r="BE91" s="11"/>
      <c r="BF91" s="11"/>
      <c r="BG91" s="11"/>
      <c r="BH91" s="12"/>
      <c r="BI91" s="13"/>
      <c r="BJ91" s="11"/>
      <c r="BK91" s="11"/>
      <c r="BL91" s="11"/>
      <c r="BM91" s="11"/>
      <c r="BO91" s="380"/>
      <c r="BP91" s="380"/>
      <c r="BQ91" s="380"/>
      <c r="BR91" s="380"/>
      <c r="BS91" s="380"/>
      <c r="BT91" s="380"/>
      <c r="BU91" s="380"/>
      <c r="BV91" s="380"/>
      <c r="BW91" s="380"/>
      <c r="BX91" s="380"/>
      <c r="BY91" s="380"/>
      <c r="BZ91" s="380"/>
      <c r="CA91" s="380"/>
      <c r="CB91" s="380"/>
      <c r="CC91" s="380"/>
      <c r="CD91" s="380"/>
      <c r="CE91" s="380"/>
      <c r="CF91" s="380"/>
      <c r="CG91" s="380"/>
      <c r="CH91" s="380"/>
      <c r="CI91" s="380"/>
      <c r="CJ91" s="380"/>
      <c r="CK91" s="380"/>
      <c r="CL91" s="380"/>
    </row>
    <row r="92" ht="15.0" customHeight="1">
      <c r="A92" s="381"/>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5"/>
      <c r="AV92" s="382"/>
      <c r="AW92" s="3"/>
      <c r="AX92" s="3"/>
      <c r="AY92" s="3"/>
      <c r="AZ92" s="3"/>
      <c r="BA92" s="3"/>
      <c r="BB92" s="3"/>
      <c r="BC92" s="3"/>
      <c r="BD92" s="3"/>
      <c r="BE92" s="3"/>
      <c r="BF92" s="3"/>
      <c r="BG92" s="3"/>
      <c r="BH92" s="5"/>
      <c r="BI92" s="382"/>
      <c r="BJ92" s="3"/>
      <c r="BK92" s="3"/>
      <c r="BL92" s="3"/>
      <c r="BM92" s="3"/>
      <c r="BN92" s="380"/>
      <c r="BO92" s="380"/>
      <c r="BP92" s="380"/>
      <c r="BQ92" s="380"/>
      <c r="BR92" s="380"/>
      <c r="BS92" s="380"/>
      <c r="BT92" s="380"/>
      <c r="BU92" s="380"/>
      <c r="BV92" s="380"/>
      <c r="BW92" s="380"/>
      <c r="BX92" s="380"/>
      <c r="BY92" s="380"/>
      <c r="BZ92" s="380"/>
      <c r="CA92" s="380"/>
      <c r="CB92" s="380"/>
      <c r="CC92" s="380"/>
      <c r="CD92" s="380"/>
      <c r="CE92" s="380"/>
      <c r="CF92" s="380"/>
      <c r="CG92" s="380"/>
      <c r="CH92" s="380"/>
      <c r="CI92" s="380"/>
      <c r="CJ92" s="380"/>
      <c r="CK92" s="380"/>
      <c r="CL92" s="380"/>
    </row>
    <row r="93" ht="15.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2"/>
      <c r="AV93" s="13"/>
      <c r="AW93" s="11"/>
      <c r="AX93" s="11"/>
      <c r="AY93" s="11"/>
      <c r="AZ93" s="11"/>
      <c r="BA93" s="11"/>
      <c r="BB93" s="11"/>
      <c r="BC93" s="11"/>
      <c r="BD93" s="11"/>
      <c r="BE93" s="11"/>
      <c r="BF93" s="11"/>
      <c r="BG93" s="11"/>
      <c r="BH93" s="12"/>
      <c r="BI93" s="13"/>
      <c r="BJ93" s="11"/>
      <c r="BK93" s="11"/>
      <c r="BL93" s="11"/>
      <c r="BM93" s="11"/>
      <c r="BO93" s="380"/>
      <c r="BP93" s="380"/>
      <c r="BQ93" s="380"/>
      <c r="BR93" s="380"/>
      <c r="BS93" s="380"/>
      <c r="BT93" s="380"/>
      <c r="BU93" s="380"/>
      <c r="BV93" s="380"/>
      <c r="BW93" s="380"/>
      <c r="BX93" s="380"/>
      <c r="BY93" s="380"/>
      <c r="BZ93" s="380"/>
      <c r="CA93" s="380"/>
      <c r="CB93" s="380"/>
      <c r="CC93" s="380"/>
      <c r="CD93" s="380"/>
      <c r="CE93" s="380"/>
      <c r="CF93" s="380"/>
      <c r="CG93" s="380"/>
      <c r="CH93" s="380"/>
      <c r="CI93" s="380"/>
      <c r="CJ93" s="380"/>
      <c r="CK93" s="380"/>
      <c r="CL93" s="380"/>
    </row>
    <row r="94" ht="15.0" customHeight="1">
      <c r="A94" s="38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5"/>
      <c r="AV94" s="384"/>
      <c r="AW94" s="3"/>
      <c r="AX94" s="3"/>
      <c r="AY94" s="3"/>
      <c r="AZ94" s="3"/>
      <c r="BA94" s="3"/>
      <c r="BB94" s="3"/>
      <c r="BC94" s="3"/>
      <c r="BD94" s="3"/>
      <c r="BE94" s="3"/>
      <c r="BF94" s="3"/>
      <c r="BG94" s="3"/>
      <c r="BH94" s="5"/>
      <c r="BI94" s="384"/>
      <c r="BJ94" s="3"/>
      <c r="BK94" s="3"/>
      <c r="BL94" s="3"/>
      <c r="BM94" s="3"/>
      <c r="BN94" s="380"/>
      <c r="BO94" s="380"/>
      <c r="BP94" s="380"/>
      <c r="BQ94" s="380"/>
      <c r="BR94" s="380"/>
      <c r="BS94" s="380"/>
      <c r="BT94" s="380"/>
      <c r="BU94" s="380"/>
      <c r="BV94" s="380"/>
      <c r="BW94" s="380"/>
      <c r="BX94" s="380"/>
      <c r="BY94" s="380"/>
      <c r="BZ94" s="380"/>
      <c r="CA94" s="380"/>
      <c r="CB94" s="380"/>
      <c r="CC94" s="380"/>
      <c r="CD94" s="380"/>
      <c r="CE94" s="380"/>
      <c r="CF94" s="380"/>
      <c r="CG94" s="380"/>
      <c r="CH94" s="380"/>
      <c r="CI94" s="380"/>
      <c r="CJ94" s="380"/>
      <c r="CK94" s="380"/>
      <c r="CL94" s="380"/>
    </row>
    <row r="95" ht="15.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2"/>
      <c r="AV95" s="13"/>
      <c r="AW95" s="11"/>
      <c r="AX95" s="11"/>
      <c r="AY95" s="11"/>
      <c r="AZ95" s="11"/>
      <c r="BA95" s="11"/>
      <c r="BB95" s="11"/>
      <c r="BC95" s="11"/>
      <c r="BD95" s="11"/>
      <c r="BE95" s="11"/>
      <c r="BF95" s="11"/>
      <c r="BG95" s="11"/>
      <c r="BH95" s="12"/>
      <c r="BI95" s="13"/>
      <c r="BJ95" s="11"/>
      <c r="BK95" s="11"/>
      <c r="BL95" s="11"/>
      <c r="BM95" s="11"/>
      <c r="BO95" s="380"/>
      <c r="BP95" s="380"/>
      <c r="BQ95" s="380"/>
      <c r="BR95" s="380"/>
      <c r="BS95" s="380"/>
      <c r="BT95" s="380"/>
      <c r="BU95" s="380"/>
      <c r="BV95" s="380"/>
      <c r="BW95" s="380"/>
      <c r="BX95" s="380"/>
      <c r="BY95" s="380"/>
      <c r="BZ95" s="380"/>
      <c r="CA95" s="380"/>
      <c r="CB95" s="380"/>
      <c r="CC95" s="380"/>
      <c r="CD95" s="380"/>
      <c r="CE95" s="380"/>
      <c r="CF95" s="380"/>
      <c r="CG95" s="380"/>
      <c r="CH95" s="380"/>
      <c r="CI95" s="380"/>
      <c r="CJ95" s="380"/>
      <c r="CK95" s="380"/>
      <c r="CL95" s="380"/>
    </row>
    <row r="96" ht="15.0" customHeight="1">
      <c r="A96" s="381"/>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5"/>
      <c r="AV96" s="382"/>
      <c r="AW96" s="3"/>
      <c r="AX96" s="3"/>
      <c r="AY96" s="3"/>
      <c r="AZ96" s="3"/>
      <c r="BA96" s="3"/>
      <c r="BB96" s="3"/>
      <c r="BC96" s="3"/>
      <c r="BD96" s="3"/>
      <c r="BE96" s="3"/>
      <c r="BF96" s="3"/>
      <c r="BG96" s="3"/>
      <c r="BH96" s="5"/>
      <c r="BI96" s="382"/>
      <c r="BJ96" s="3"/>
      <c r="BK96" s="3"/>
      <c r="BL96" s="3"/>
      <c r="BM96" s="3"/>
      <c r="BN96" s="380"/>
      <c r="BO96" s="380"/>
      <c r="BP96" s="380"/>
      <c r="BQ96" s="380"/>
      <c r="BR96" s="380"/>
      <c r="BS96" s="380"/>
      <c r="BT96" s="380"/>
      <c r="BU96" s="380"/>
      <c r="BV96" s="380"/>
      <c r="BW96" s="380"/>
      <c r="BX96" s="380"/>
      <c r="BY96" s="380"/>
      <c r="BZ96" s="380"/>
      <c r="CA96" s="380"/>
      <c r="CB96" s="380"/>
      <c r="CC96" s="380"/>
      <c r="CD96" s="380"/>
      <c r="CE96" s="380"/>
      <c r="CF96" s="380"/>
      <c r="CG96" s="380"/>
      <c r="CH96" s="380"/>
      <c r="CI96" s="380"/>
      <c r="CJ96" s="380"/>
      <c r="CK96" s="380"/>
      <c r="CL96" s="380"/>
    </row>
    <row r="97" ht="15.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2"/>
      <c r="AV97" s="13"/>
      <c r="AW97" s="11"/>
      <c r="AX97" s="11"/>
      <c r="AY97" s="11"/>
      <c r="AZ97" s="11"/>
      <c r="BA97" s="11"/>
      <c r="BB97" s="11"/>
      <c r="BC97" s="11"/>
      <c r="BD97" s="11"/>
      <c r="BE97" s="11"/>
      <c r="BF97" s="11"/>
      <c r="BG97" s="11"/>
      <c r="BH97" s="12"/>
      <c r="BI97" s="13"/>
      <c r="BJ97" s="11"/>
      <c r="BK97" s="11"/>
      <c r="BL97" s="11"/>
      <c r="BM97" s="11"/>
      <c r="BO97" s="380"/>
      <c r="BP97" s="380"/>
      <c r="BQ97" s="380"/>
      <c r="BR97" s="380"/>
      <c r="BS97" s="380"/>
      <c r="BT97" s="380"/>
      <c r="BU97" s="380"/>
      <c r="BV97" s="380"/>
      <c r="BW97" s="380"/>
      <c r="BX97" s="380"/>
      <c r="BY97" s="380"/>
      <c r="BZ97" s="380"/>
      <c r="CA97" s="380"/>
      <c r="CB97" s="380"/>
      <c r="CC97" s="380"/>
      <c r="CD97" s="380"/>
      <c r="CE97" s="380"/>
      <c r="CF97" s="380"/>
      <c r="CG97" s="380"/>
      <c r="CH97" s="380"/>
      <c r="CI97" s="380"/>
      <c r="CJ97" s="380"/>
      <c r="CK97" s="380"/>
      <c r="CL97" s="380"/>
    </row>
    <row r="98" ht="15.0" customHeight="1">
      <c r="A98" s="38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5"/>
      <c r="AV98" s="384"/>
      <c r="AW98" s="3"/>
      <c r="AX98" s="3"/>
      <c r="AY98" s="3"/>
      <c r="AZ98" s="3"/>
      <c r="BA98" s="3"/>
      <c r="BB98" s="3"/>
      <c r="BC98" s="3"/>
      <c r="BD98" s="3"/>
      <c r="BE98" s="3"/>
      <c r="BF98" s="3"/>
      <c r="BG98" s="3"/>
      <c r="BH98" s="5"/>
      <c r="BI98" s="384"/>
      <c r="BJ98" s="3"/>
      <c r="BK98" s="3"/>
      <c r="BL98" s="3"/>
      <c r="BM98" s="3"/>
      <c r="BN98" s="380"/>
      <c r="BO98" s="380"/>
      <c r="BP98" s="380"/>
      <c r="BQ98" s="380"/>
      <c r="BR98" s="380"/>
      <c r="BS98" s="380"/>
      <c r="BT98" s="380"/>
      <c r="BU98" s="380"/>
      <c r="BV98" s="380"/>
      <c r="BW98" s="380"/>
      <c r="BX98" s="380"/>
      <c r="BY98" s="380"/>
      <c r="BZ98" s="380"/>
      <c r="CA98" s="380"/>
      <c r="CB98" s="380"/>
      <c r="CC98" s="380"/>
      <c r="CD98" s="380"/>
      <c r="CE98" s="380"/>
      <c r="CF98" s="380"/>
      <c r="CG98" s="380"/>
      <c r="CH98" s="380"/>
      <c r="CI98" s="380"/>
      <c r="CJ98" s="380"/>
      <c r="CK98" s="380"/>
      <c r="CL98" s="380"/>
    </row>
    <row r="99" ht="15.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2"/>
      <c r="AV99" s="13"/>
      <c r="AW99" s="11"/>
      <c r="AX99" s="11"/>
      <c r="AY99" s="11"/>
      <c r="AZ99" s="11"/>
      <c r="BA99" s="11"/>
      <c r="BB99" s="11"/>
      <c r="BC99" s="11"/>
      <c r="BD99" s="11"/>
      <c r="BE99" s="11"/>
      <c r="BF99" s="11"/>
      <c r="BG99" s="11"/>
      <c r="BH99" s="12"/>
      <c r="BI99" s="13"/>
      <c r="BJ99" s="11"/>
      <c r="BK99" s="11"/>
      <c r="BL99" s="11"/>
      <c r="BM99" s="11"/>
      <c r="BO99" s="380"/>
      <c r="BP99" s="380"/>
      <c r="BQ99" s="380"/>
      <c r="BR99" s="380"/>
      <c r="BS99" s="380"/>
      <c r="BT99" s="380"/>
      <c r="BU99" s="380"/>
      <c r="BV99" s="380"/>
      <c r="BW99" s="380"/>
      <c r="BX99" s="380"/>
      <c r="BY99" s="380"/>
      <c r="BZ99" s="380"/>
      <c r="CA99" s="380"/>
      <c r="CB99" s="380"/>
      <c r="CC99" s="380"/>
      <c r="CD99" s="380"/>
      <c r="CE99" s="380"/>
      <c r="CF99" s="380"/>
      <c r="CG99" s="380"/>
      <c r="CH99" s="380"/>
      <c r="CI99" s="380"/>
      <c r="CJ99" s="380"/>
      <c r="CK99" s="380"/>
      <c r="CL99" s="380"/>
    </row>
    <row r="100" ht="15.0" customHeight="1">
      <c r="A100" s="38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5"/>
      <c r="AV100" s="382"/>
      <c r="AW100" s="3"/>
      <c r="AX100" s="3"/>
      <c r="AY100" s="3"/>
      <c r="AZ100" s="3"/>
      <c r="BA100" s="3"/>
      <c r="BB100" s="3"/>
      <c r="BC100" s="3"/>
      <c r="BD100" s="3"/>
      <c r="BE100" s="3"/>
      <c r="BF100" s="3"/>
      <c r="BG100" s="3"/>
      <c r="BH100" s="5"/>
      <c r="BI100" s="382"/>
      <c r="BJ100" s="3"/>
      <c r="BK100" s="3"/>
      <c r="BL100" s="3"/>
      <c r="BM100" s="3"/>
      <c r="BN100" s="380"/>
      <c r="BO100" s="380"/>
      <c r="BP100" s="380"/>
      <c r="BQ100" s="380"/>
      <c r="BR100" s="380"/>
      <c r="BS100" s="380"/>
      <c r="BT100" s="380"/>
      <c r="BU100" s="380"/>
      <c r="BV100" s="380"/>
      <c r="BW100" s="380"/>
      <c r="BX100" s="380"/>
      <c r="BY100" s="380"/>
      <c r="BZ100" s="380"/>
      <c r="CA100" s="380"/>
      <c r="CB100" s="380"/>
      <c r="CC100" s="380"/>
      <c r="CD100" s="380"/>
      <c r="CE100" s="380"/>
      <c r="CF100" s="380"/>
      <c r="CG100" s="380"/>
      <c r="CH100" s="380"/>
      <c r="CI100" s="380"/>
      <c r="CJ100" s="380"/>
      <c r="CK100" s="380"/>
      <c r="CL100" s="380"/>
    </row>
    <row r="101" ht="15.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2"/>
      <c r="AV101" s="13"/>
      <c r="AW101" s="11"/>
      <c r="AX101" s="11"/>
      <c r="AY101" s="11"/>
      <c r="AZ101" s="11"/>
      <c r="BA101" s="11"/>
      <c r="BB101" s="11"/>
      <c r="BC101" s="11"/>
      <c r="BD101" s="11"/>
      <c r="BE101" s="11"/>
      <c r="BF101" s="11"/>
      <c r="BG101" s="11"/>
      <c r="BH101" s="12"/>
      <c r="BI101" s="13"/>
      <c r="BJ101" s="11"/>
      <c r="BK101" s="11"/>
      <c r="BL101" s="11"/>
      <c r="BM101" s="11"/>
      <c r="BO101" s="380"/>
      <c r="BP101" s="380"/>
      <c r="BQ101" s="380"/>
      <c r="BR101" s="380"/>
      <c r="BS101" s="380"/>
      <c r="BT101" s="380"/>
      <c r="BU101" s="380"/>
      <c r="BV101" s="380"/>
      <c r="BW101" s="380"/>
      <c r="BX101" s="380"/>
      <c r="BY101" s="380"/>
      <c r="BZ101" s="380"/>
      <c r="CA101" s="380"/>
      <c r="CB101" s="380"/>
      <c r="CC101" s="380"/>
      <c r="CD101" s="380"/>
      <c r="CE101" s="380"/>
      <c r="CF101" s="380"/>
      <c r="CG101" s="380"/>
      <c r="CH101" s="380"/>
      <c r="CI101" s="380"/>
      <c r="CJ101" s="380"/>
      <c r="CK101" s="380"/>
      <c r="CL101" s="380"/>
    </row>
    <row r="102" ht="15.0" customHeight="1">
      <c r="A102" s="38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5"/>
      <c r="AV102" s="384"/>
      <c r="AW102" s="3"/>
      <c r="AX102" s="3"/>
      <c r="AY102" s="3"/>
      <c r="AZ102" s="3"/>
      <c r="BA102" s="3"/>
      <c r="BB102" s="3"/>
      <c r="BC102" s="3"/>
      <c r="BD102" s="3"/>
      <c r="BE102" s="3"/>
      <c r="BF102" s="3"/>
      <c r="BG102" s="3"/>
      <c r="BH102" s="5"/>
      <c r="BI102" s="384"/>
      <c r="BJ102" s="3"/>
      <c r="BK102" s="3"/>
      <c r="BL102" s="3"/>
      <c r="BM102" s="3"/>
      <c r="BN102" s="380"/>
      <c r="BO102" s="380"/>
      <c r="BP102" s="380"/>
      <c r="BQ102" s="380"/>
      <c r="BR102" s="380"/>
      <c r="BS102" s="380"/>
      <c r="BT102" s="380"/>
      <c r="BU102" s="380"/>
      <c r="BV102" s="380"/>
      <c r="BW102" s="380"/>
      <c r="BX102" s="380"/>
      <c r="BY102" s="380"/>
      <c r="BZ102" s="380"/>
      <c r="CA102" s="380"/>
      <c r="CB102" s="380"/>
      <c r="CC102" s="380"/>
      <c r="CD102" s="380"/>
      <c r="CE102" s="380"/>
      <c r="CF102" s="380"/>
      <c r="CG102" s="380"/>
      <c r="CH102" s="380"/>
      <c r="CI102" s="380"/>
      <c r="CJ102" s="380"/>
      <c r="CK102" s="380"/>
      <c r="CL102" s="380"/>
    </row>
    <row r="103" ht="15.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2"/>
      <c r="AV103" s="13"/>
      <c r="AW103" s="11"/>
      <c r="AX103" s="11"/>
      <c r="AY103" s="11"/>
      <c r="AZ103" s="11"/>
      <c r="BA103" s="11"/>
      <c r="BB103" s="11"/>
      <c r="BC103" s="11"/>
      <c r="BD103" s="11"/>
      <c r="BE103" s="11"/>
      <c r="BF103" s="11"/>
      <c r="BG103" s="11"/>
      <c r="BH103" s="12"/>
      <c r="BI103" s="13"/>
      <c r="BJ103" s="11"/>
      <c r="BK103" s="11"/>
      <c r="BL103" s="11"/>
      <c r="BM103" s="11"/>
      <c r="BO103" s="380"/>
      <c r="BP103" s="380"/>
      <c r="BQ103" s="380"/>
      <c r="BR103" s="380"/>
      <c r="BS103" s="380"/>
      <c r="BT103" s="380"/>
      <c r="BU103" s="380"/>
      <c r="BV103" s="380"/>
      <c r="BW103" s="380"/>
      <c r="BX103" s="380"/>
      <c r="BY103" s="380"/>
      <c r="BZ103" s="380"/>
      <c r="CA103" s="380"/>
      <c r="CB103" s="380"/>
      <c r="CC103" s="380"/>
      <c r="CD103" s="380"/>
      <c r="CE103" s="380"/>
      <c r="CF103" s="380"/>
      <c r="CG103" s="380"/>
      <c r="CH103" s="380"/>
      <c r="CI103" s="380"/>
      <c r="CJ103" s="380"/>
      <c r="CK103" s="380"/>
      <c r="CL103" s="380"/>
    </row>
    <row r="104" ht="15.0" customHeight="1">
      <c r="A104" s="38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5"/>
      <c r="AV104" s="382"/>
      <c r="AW104" s="3"/>
      <c r="AX104" s="3"/>
      <c r="AY104" s="3"/>
      <c r="AZ104" s="3"/>
      <c r="BA104" s="3"/>
      <c r="BB104" s="3"/>
      <c r="BC104" s="3"/>
      <c r="BD104" s="3"/>
      <c r="BE104" s="3"/>
      <c r="BF104" s="3"/>
      <c r="BG104" s="3"/>
      <c r="BH104" s="5"/>
      <c r="BI104" s="382"/>
      <c r="BJ104" s="3"/>
      <c r="BK104" s="3"/>
      <c r="BL104" s="3"/>
      <c r="BM104" s="3"/>
      <c r="BN104" s="380"/>
      <c r="BO104" s="380"/>
      <c r="BP104" s="380"/>
      <c r="BQ104" s="380"/>
      <c r="BR104" s="380"/>
      <c r="BS104" s="380"/>
      <c r="BT104" s="380"/>
      <c r="BU104" s="380"/>
      <c r="BV104" s="380"/>
      <c r="BW104" s="380"/>
      <c r="BX104" s="380"/>
      <c r="BY104" s="380"/>
      <c r="BZ104" s="380"/>
      <c r="CA104" s="380"/>
      <c r="CB104" s="380"/>
      <c r="CC104" s="380"/>
      <c r="CD104" s="380"/>
      <c r="CE104" s="380"/>
      <c r="CF104" s="380"/>
      <c r="CG104" s="380"/>
      <c r="CH104" s="380"/>
      <c r="CI104" s="380"/>
      <c r="CJ104" s="380"/>
      <c r="CK104" s="380"/>
      <c r="CL104" s="380"/>
    </row>
    <row r="105" ht="15.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2"/>
      <c r="AV105" s="13"/>
      <c r="AW105" s="11"/>
      <c r="AX105" s="11"/>
      <c r="AY105" s="11"/>
      <c r="AZ105" s="11"/>
      <c r="BA105" s="11"/>
      <c r="BB105" s="11"/>
      <c r="BC105" s="11"/>
      <c r="BD105" s="11"/>
      <c r="BE105" s="11"/>
      <c r="BF105" s="11"/>
      <c r="BG105" s="11"/>
      <c r="BH105" s="12"/>
      <c r="BI105" s="13"/>
      <c r="BJ105" s="11"/>
      <c r="BK105" s="11"/>
      <c r="BL105" s="11"/>
      <c r="BM105" s="11"/>
      <c r="BO105" s="380"/>
      <c r="BP105" s="380"/>
      <c r="BQ105" s="380"/>
      <c r="BR105" s="380"/>
      <c r="BS105" s="380"/>
      <c r="BT105" s="380"/>
      <c r="BU105" s="380"/>
      <c r="BV105" s="380"/>
      <c r="BW105" s="380"/>
      <c r="BX105" s="380"/>
      <c r="BY105" s="380"/>
      <c r="BZ105" s="380"/>
      <c r="CA105" s="380"/>
      <c r="CB105" s="380"/>
      <c r="CC105" s="380"/>
      <c r="CD105" s="380"/>
      <c r="CE105" s="380"/>
      <c r="CF105" s="380"/>
      <c r="CG105" s="380"/>
      <c r="CH105" s="380"/>
      <c r="CI105" s="380"/>
      <c r="CJ105" s="380"/>
      <c r="CK105" s="380"/>
      <c r="CL105" s="380"/>
    </row>
    <row r="106" ht="15.0" customHeight="1">
      <c r="A106" s="38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5"/>
      <c r="AV106" s="384"/>
      <c r="AW106" s="3"/>
      <c r="AX106" s="3"/>
      <c r="AY106" s="3"/>
      <c r="AZ106" s="3"/>
      <c r="BA106" s="3"/>
      <c r="BB106" s="3"/>
      <c r="BC106" s="3"/>
      <c r="BD106" s="3"/>
      <c r="BE106" s="3"/>
      <c r="BF106" s="3"/>
      <c r="BG106" s="3"/>
      <c r="BH106" s="5"/>
      <c r="BI106" s="384"/>
      <c r="BJ106" s="3"/>
      <c r="BK106" s="3"/>
      <c r="BL106" s="3"/>
      <c r="BM106" s="3"/>
      <c r="BN106" s="380"/>
      <c r="BO106" s="380"/>
      <c r="BP106" s="380"/>
      <c r="BQ106" s="380"/>
      <c r="BR106" s="380"/>
      <c r="BS106" s="380"/>
      <c r="BT106" s="380"/>
      <c r="BU106" s="380"/>
      <c r="BV106" s="380"/>
      <c r="BW106" s="380"/>
      <c r="BX106" s="380"/>
      <c r="BY106" s="380"/>
      <c r="BZ106" s="380"/>
      <c r="CA106" s="380"/>
      <c r="CB106" s="380"/>
      <c r="CC106" s="380"/>
      <c r="CD106" s="380"/>
      <c r="CE106" s="380"/>
      <c r="CF106" s="380"/>
      <c r="CG106" s="380"/>
      <c r="CH106" s="380"/>
      <c r="CI106" s="380"/>
      <c r="CJ106" s="380"/>
      <c r="CK106" s="380"/>
      <c r="CL106" s="380"/>
    </row>
    <row r="107" ht="15.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2"/>
      <c r="AV107" s="13"/>
      <c r="AW107" s="11"/>
      <c r="AX107" s="11"/>
      <c r="AY107" s="11"/>
      <c r="AZ107" s="11"/>
      <c r="BA107" s="11"/>
      <c r="BB107" s="11"/>
      <c r="BC107" s="11"/>
      <c r="BD107" s="11"/>
      <c r="BE107" s="11"/>
      <c r="BF107" s="11"/>
      <c r="BG107" s="11"/>
      <c r="BH107" s="12"/>
      <c r="BI107" s="13"/>
      <c r="BJ107" s="11"/>
      <c r="BK107" s="11"/>
      <c r="BL107" s="11"/>
      <c r="BM107" s="11"/>
      <c r="BO107" s="380"/>
      <c r="BP107" s="380"/>
      <c r="BQ107" s="380"/>
      <c r="BR107" s="380"/>
      <c r="BS107" s="380"/>
      <c r="BT107" s="380"/>
      <c r="BU107" s="380"/>
      <c r="BV107" s="380"/>
      <c r="BW107" s="380"/>
      <c r="BX107" s="380"/>
      <c r="BY107" s="380"/>
      <c r="BZ107" s="380"/>
      <c r="CA107" s="380"/>
      <c r="CB107" s="380"/>
      <c r="CC107" s="380"/>
      <c r="CD107" s="380"/>
      <c r="CE107" s="380"/>
      <c r="CF107" s="380"/>
      <c r="CG107" s="380"/>
      <c r="CH107" s="380"/>
      <c r="CI107" s="380"/>
      <c r="CJ107" s="380"/>
      <c r="CK107" s="380"/>
      <c r="CL107" s="380"/>
    </row>
    <row r="108" ht="15.0" customHeight="1">
      <c r="A108" s="38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5"/>
      <c r="AV108" s="382"/>
      <c r="AW108" s="3"/>
      <c r="AX108" s="3"/>
      <c r="AY108" s="3"/>
      <c r="AZ108" s="3"/>
      <c r="BA108" s="3"/>
      <c r="BB108" s="3"/>
      <c r="BC108" s="3"/>
      <c r="BD108" s="3"/>
      <c r="BE108" s="3"/>
      <c r="BF108" s="3"/>
      <c r="BG108" s="3"/>
      <c r="BH108" s="5"/>
      <c r="BI108" s="382"/>
      <c r="BJ108" s="3"/>
      <c r="BK108" s="3"/>
      <c r="BL108" s="3"/>
      <c r="BM108" s="3"/>
      <c r="BN108" s="380"/>
      <c r="BO108" s="380"/>
      <c r="BP108" s="380"/>
      <c r="BQ108" s="380"/>
      <c r="BR108" s="380"/>
      <c r="BS108" s="380"/>
      <c r="BT108" s="380"/>
      <c r="BU108" s="380"/>
      <c r="BV108" s="380"/>
      <c r="BW108" s="380"/>
      <c r="BX108" s="380"/>
      <c r="BY108" s="380"/>
      <c r="BZ108" s="380"/>
      <c r="CA108" s="380"/>
      <c r="CB108" s="380"/>
      <c r="CC108" s="380"/>
      <c r="CD108" s="380"/>
      <c r="CE108" s="380"/>
      <c r="CF108" s="380"/>
      <c r="CG108" s="380"/>
      <c r="CH108" s="380"/>
      <c r="CI108" s="380"/>
      <c r="CJ108" s="380"/>
      <c r="CK108" s="380"/>
      <c r="CL108" s="380"/>
    </row>
    <row r="109" ht="15.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2"/>
      <c r="AV109" s="13"/>
      <c r="AW109" s="11"/>
      <c r="AX109" s="11"/>
      <c r="AY109" s="11"/>
      <c r="AZ109" s="11"/>
      <c r="BA109" s="11"/>
      <c r="BB109" s="11"/>
      <c r="BC109" s="11"/>
      <c r="BD109" s="11"/>
      <c r="BE109" s="11"/>
      <c r="BF109" s="11"/>
      <c r="BG109" s="11"/>
      <c r="BH109" s="12"/>
      <c r="BI109" s="13"/>
      <c r="BJ109" s="11"/>
      <c r="BK109" s="11"/>
      <c r="BL109" s="11"/>
      <c r="BM109" s="11"/>
      <c r="BO109" s="380"/>
      <c r="BP109" s="380"/>
      <c r="BQ109" s="380"/>
      <c r="BR109" s="380"/>
      <c r="BS109" s="380"/>
      <c r="BT109" s="380"/>
      <c r="BU109" s="380"/>
      <c r="BV109" s="380"/>
      <c r="BW109" s="380"/>
      <c r="BX109" s="380"/>
      <c r="BY109" s="380"/>
      <c r="BZ109" s="380"/>
      <c r="CA109" s="380"/>
      <c r="CB109" s="380"/>
      <c r="CC109" s="380"/>
      <c r="CD109" s="380"/>
      <c r="CE109" s="380"/>
      <c r="CF109" s="380"/>
      <c r="CG109" s="380"/>
      <c r="CH109" s="380"/>
      <c r="CI109" s="380"/>
      <c r="CJ109" s="380"/>
      <c r="CK109" s="380"/>
      <c r="CL109" s="380"/>
    </row>
    <row r="110" ht="15.0" customHeight="1">
      <c r="A110" s="38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5"/>
      <c r="AV110" s="384"/>
      <c r="AW110" s="3"/>
      <c r="AX110" s="3"/>
      <c r="AY110" s="3"/>
      <c r="AZ110" s="3"/>
      <c r="BA110" s="3"/>
      <c r="BB110" s="3"/>
      <c r="BC110" s="3"/>
      <c r="BD110" s="3"/>
      <c r="BE110" s="3"/>
      <c r="BF110" s="3"/>
      <c r="BG110" s="3"/>
      <c r="BH110" s="5"/>
      <c r="BI110" s="384"/>
      <c r="BJ110" s="3"/>
      <c r="BK110" s="3"/>
      <c r="BL110" s="3"/>
      <c r="BM110" s="3"/>
      <c r="BN110" s="380"/>
      <c r="BO110" s="380"/>
      <c r="BP110" s="380"/>
      <c r="BQ110" s="380"/>
      <c r="BR110" s="380"/>
      <c r="BS110" s="380"/>
      <c r="BT110" s="380"/>
      <c r="BU110" s="380"/>
      <c r="BV110" s="380"/>
      <c r="BW110" s="380"/>
      <c r="BX110" s="380"/>
      <c r="BY110" s="380"/>
      <c r="BZ110" s="380"/>
      <c r="CA110" s="380"/>
      <c r="CB110" s="380"/>
      <c r="CC110" s="380"/>
      <c r="CD110" s="380"/>
      <c r="CE110" s="380"/>
      <c r="CF110" s="380"/>
      <c r="CG110" s="380"/>
      <c r="CH110" s="380"/>
      <c r="CI110" s="380"/>
      <c r="CJ110" s="380"/>
      <c r="CK110" s="380"/>
      <c r="CL110" s="380"/>
    </row>
    <row r="111" ht="15.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2"/>
      <c r="AV111" s="13"/>
      <c r="AW111" s="11"/>
      <c r="AX111" s="11"/>
      <c r="AY111" s="11"/>
      <c r="AZ111" s="11"/>
      <c r="BA111" s="11"/>
      <c r="BB111" s="11"/>
      <c r="BC111" s="11"/>
      <c r="BD111" s="11"/>
      <c r="BE111" s="11"/>
      <c r="BF111" s="11"/>
      <c r="BG111" s="11"/>
      <c r="BH111" s="12"/>
      <c r="BI111" s="13"/>
      <c r="BJ111" s="11"/>
      <c r="BK111" s="11"/>
      <c r="BL111" s="11"/>
      <c r="BM111" s="11"/>
      <c r="BO111" s="380"/>
      <c r="BP111" s="380"/>
      <c r="BQ111" s="380"/>
      <c r="BR111" s="380"/>
      <c r="BS111" s="380"/>
      <c r="BT111" s="380"/>
      <c r="BU111" s="380"/>
      <c r="BV111" s="380"/>
      <c r="BW111" s="380"/>
      <c r="BX111" s="380"/>
      <c r="BY111" s="380"/>
      <c r="BZ111" s="380"/>
      <c r="CA111" s="380"/>
      <c r="CB111" s="380"/>
      <c r="CC111" s="380"/>
      <c r="CD111" s="380"/>
      <c r="CE111" s="380"/>
      <c r="CF111" s="380"/>
      <c r="CG111" s="380"/>
      <c r="CH111" s="380"/>
      <c r="CI111" s="380"/>
      <c r="CJ111" s="380"/>
      <c r="CK111" s="380"/>
      <c r="CL111" s="380"/>
    </row>
    <row r="112" ht="15.0" customHeight="1">
      <c r="A112" s="38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5"/>
      <c r="AV112" s="382"/>
      <c r="AW112" s="3"/>
      <c r="AX112" s="3"/>
      <c r="AY112" s="3"/>
      <c r="AZ112" s="3"/>
      <c r="BA112" s="3"/>
      <c r="BB112" s="3"/>
      <c r="BC112" s="3"/>
      <c r="BD112" s="3"/>
      <c r="BE112" s="3"/>
      <c r="BF112" s="3"/>
      <c r="BG112" s="3"/>
      <c r="BH112" s="5"/>
      <c r="BI112" s="382"/>
      <c r="BJ112" s="3"/>
      <c r="BK112" s="3"/>
      <c r="BL112" s="3"/>
      <c r="BM112" s="3"/>
      <c r="BN112" s="380"/>
      <c r="BO112" s="380"/>
      <c r="BP112" s="380"/>
      <c r="BQ112" s="380"/>
      <c r="BR112" s="380"/>
      <c r="BS112" s="380"/>
      <c r="BT112" s="380"/>
      <c r="BU112" s="380"/>
      <c r="BV112" s="380"/>
      <c r="BW112" s="380"/>
      <c r="BX112" s="380"/>
      <c r="BY112" s="380"/>
      <c r="BZ112" s="380"/>
      <c r="CA112" s="380"/>
      <c r="CB112" s="380"/>
      <c r="CC112" s="380"/>
      <c r="CD112" s="380"/>
      <c r="CE112" s="380"/>
      <c r="CF112" s="380"/>
      <c r="CG112" s="380"/>
      <c r="CH112" s="380"/>
      <c r="CI112" s="380"/>
      <c r="CJ112" s="380"/>
      <c r="CK112" s="380"/>
      <c r="CL112" s="380"/>
    </row>
    <row r="113" ht="15.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2"/>
      <c r="AV113" s="13"/>
      <c r="AW113" s="11"/>
      <c r="AX113" s="11"/>
      <c r="AY113" s="11"/>
      <c r="AZ113" s="11"/>
      <c r="BA113" s="11"/>
      <c r="BB113" s="11"/>
      <c r="BC113" s="11"/>
      <c r="BD113" s="11"/>
      <c r="BE113" s="11"/>
      <c r="BF113" s="11"/>
      <c r="BG113" s="11"/>
      <c r="BH113" s="12"/>
      <c r="BI113" s="13"/>
      <c r="BJ113" s="11"/>
      <c r="BK113" s="11"/>
      <c r="BL113" s="11"/>
      <c r="BM113" s="11"/>
      <c r="BO113" s="380"/>
      <c r="BP113" s="380"/>
      <c r="BQ113" s="380"/>
      <c r="BR113" s="380"/>
      <c r="BS113" s="380"/>
      <c r="BT113" s="380"/>
      <c r="BU113" s="380"/>
      <c r="BV113" s="380"/>
      <c r="BW113" s="380"/>
      <c r="BX113" s="380"/>
      <c r="BY113" s="380"/>
      <c r="BZ113" s="380"/>
      <c r="CA113" s="380"/>
      <c r="CB113" s="380"/>
      <c r="CC113" s="380"/>
      <c r="CD113" s="380"/>
      <c r="CE113" s="380"/>
      <c r="CF113" s="380"/>
      <c r="CG113" s="380"/>
      <c r="CH113" s="380"/>
      <c r="CI113" s="380"/>
      <c r="CJ113" s="380"/>
      <c r="CK113" s="380"/>
      <c r="CL113" s="380"/>
    </row>
    <row r="114" ht="15.0" customHeight="1">
      <c r="A114" s="38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5"/>
      <c r="AV114" s="384"/>
      <c r="AW114" s="3"/>
      <c r="AX114" s="3"/>
      <c r="AY114" s="3"/>
      <c r="AZ114" s="3"/>
      <c r="BA114" s="3"/>
      <c r="BB114" s="3"/>
      <c r="BC114" s="3"/>
      <c r="BD114" s="3"/>
      <c r="BE114" s="3"/>
      <c r="BF114" s="3"/>
      <c r="BG114" s="3"/>
      <c r="BH114" s="5"/>
      <c r="BI114" s="384"/>
      <c r="BJ114" s="3"/>
      <c r="BK114" s="3"/>
      <c r="BL114" s="3"/>
      <c r="BM114" s="3"/>
      <c r="BN114" s="380"/>
      <c r="BO114" s="380"/>
      <c r="BP114" s="380"/>
      <c r="BQ114" s="380"/>
      <c r="BR114" s="380"/>
      <c r="BS114" s="380"/>
      <c r="BT114" s="380"/>
      <c r="BU114" s="380"/>
      <c r="BV114" s="380"/>
      <c r="BW114" s="380"/>
      <c r="BX114" s="380"/>
      <c r="BY114" s="380"/>
      <c r="BZ114" s="380"/>
      <c r="CA114" s="380"/>
      <c r="CB114" s="380"/>
      <c r="CC114" s="380"/>
      <c r="CD114" s="380"/>
      <c r="CE114" s="380"/>
      <c r="CF114" s="380"/>
      <c r="CG114" s="380"/>
      <c r="CH114" s="380"/>
      <c r="CI114" s="380"/>
      <c r="CJ114" s="380"/>
      <c r="CK114" s="380"/>
      <c r="CL114" s="380"/>
    </row>
    <row r="115" ht="15.0" customHeight="1">
      <c r="AU115" s="49"/>
      <c r="AV115" s="6"/>
      <c r="BH115" s="49"/>
      <c r="BI115" s="6"/>
      <c r="BO115" s="380"/>
      <c r="BP115" s="380"/>
      <c r="BQ115" s="380"/>
      <c r="BR115" s="380"/>
      <c r="BS115" s="380"/>
      <c r="BT115" s="380"/>
      <c r="BU115" s="380"/>
      <c r="BV115" s="380"/>
      <c r="BW115" s="380"/>
      <c r="BX115" s="380"/>
      <c r="BY115" s="380"/>
      <c r="BZ115" s="380"/>
      <c r="CA115" s="380"/>
      <c r="CB115" s="380"/>
      <c r="CC115" s="380"/>
      <c r="CD115" s="380"/>
      <c r="CE115" s="380"/>
      <c r="CF115" s="380"/>
      <c r="CG115" s="380"/>
      <c r="CH115" s="380"/>
      <c r="CI115" s="380"/>
      <c r="CJ115" s="380"/>
      <c r="CK115" s="380"/>
      <c r="CL115" s="380"/>
    </row>
    <row r="116" ht="15.0" customHeight="1">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H116" s="385"/>
      <c r="BI116" s="385"/>
      <c r="BJ116" s="385"/>
      <c r="BK116" s="386"/>
      <c r="BL116" s="386"/>
      <c r="BM116" s="386"/>
      <c r="BN116" s="374"/>
      <c r="BO116" s="374"/>
      <c r="BP116" s="374"/>
      <c r="BQ116" s="374"/>
      <c r="BR116" s="374"/>
      <c r="BS116" s="374"/>
      <c r="BT116" s="374"/>
      <c r="BU116" s="374"/>
      <c r="BV116" s="374"/>
      <c r="BW116" s="374"/>
      <c r="BX116" s="374"/>
      <c r="BY116" s="374"/>
      <c r="BZ116" s="374"/>
      <c r="CA116" s="374"/>
      <c r="CB116" s="374"/>
      <c r="CC116" s="374"/>
      <c r="CD116" s="374"/>
      <c r="CE116" s="374"/>
      <c r="CF116" s="374"/>
      <c r="CG116" s="374"/>
      <c r="CH116" s="374"/>
      <c r="CI116" s="374"/>
      <c r="CJ116" s="374"/>
      <c r="CK116" s="374"/>
      <c r="CL116" s="374"/>
    </row>
  </sheetData>
  <mergeCells count="315">
    <mergeCell ref="AH60:BG61"/>
    <mergeCell ref="BH60:BI61"/>
    <mergeCell ref="BJ60:BM61"/>
    <mergeCell ref="BN60:BN61"/>
    <mergeCell ref="BH62:BI63"/>
    <mergeCell ref="BJ62:BM63"/>
    <mergeCell ref="BN62:BN63"/>
    <mergeCell ref="AH62:BG63"/>
    <mergeCell ref="AH64:BG65"/>
    <mergeCell ref="BH64:BI65"/>
    <mergeCell ref="BJ64:BM65"/>
    <mergeCell ref="BN64:BN65"/>
    <mergeCell ref="AH66:BG67"/>
    <mergeCell ref="BH66:BI67"/>
    <mergeCell ref="BH38:BI39"/>
    <mergeCell ref="BJ38:BM39"/>
    <mergeCell ref="AH34:BG35"/>
    <mergeCell ref="BH34:BI35"/>
    <mergeCell ref="BJ34:BM35"/>
    <mergeCell ref="AH36:BG37"/>
    <mergeCell ref="BH36:BI37"/>
    <mergeCell ref="BJ36:BM37"/>
    <mergeCell ref="AH38:BG39"/>
    <mergeCell ref="BH46:BI47"/>
    <mergeCell ref="BJ46:BM47"/>
    <mergeCell ref="AH42:BG43"/>
    <mergeCell ref="BH42:BI43"/>
    <mergeCell ref="BJ42:BM43"/>
    <mergeCell ref="AH44:BG45"/>
    <mergeCell ref="BH44:BI45"/>
    <mergeCell ref="BJ44:BM45"/>
    <mergeCell ref="AH46:BG47"/>
    <mergeCell ref="BH52:BI53"/>
    <mergeCell ref="BJ52:BM53"/>
    <mergeCell ref="AH48:BG49"/>
    <mergeCell ref="BH48:BI49"/>
    <mergeCell ref="BJ48:BM49"/>
    <mergeCell ref="AH50:BG51"/>
    <mergeCell ref="BH50:BI51"/>
    <mergeCell ref="BJ50:BM51"/>
    <mergeCell ref="AH52:BG53"/>
    <mergeCell ref="BJ66:BM67"/>
    <mergeCell ref="BN66:BN67"/>
    <mergeCell ref="BI106:BM107"/>
    <mergeCell ref="BN106:BN107"/>
    <mergeCell ref="AV102:BH103"/>
    <mergeCell ref="BI102:BM103"/>
    <mergeCell ref="BN102:BN103"/>
    <mergeCell ref="AV104:BH105"/>
    <mergeCell ref="BI104:BM105"/>
    <mergeCell ref="BN104:BN105"/>
    <mergeCell ref="AV106:BH107"/>
    <mergeCell ref="BI88:BM89"/>
    <mergeCell ref="BN88:BN89"/>
    <mergeCell ref="AV84:BH85"/>
    <mergeCell ref="BI84:BM85"/>
    <mergeCell ref="BN84:BN85"/>
    <mergeCell ref="AV86:BH87"/>
    <mergeCell ref="BI86:BM87"/>
    <mergeCell ref="BN86:BN87"/>
    <mergeCell ref="AV88:BH89"/>
    <mergeCell ref="BI94:BM95"/>
    <mergeCell ref="BN94:BN95"/>
    <mergeCell ref="AV90:BH91"/>
    <mergeCell ref="BI90:BM91"/>
    <mergeCell ref="BN90:BN91"/>
    <mergeCell ref="AV92:BH93"/>
    <mergeCell ref="BI92:BM93"/>
    <mergeCell ref="BN92:BN93"/>
    <mergeCell ref="AV94:BH95"/>
    <mergeCell ref="BI100:BM101"/>
    <mergeCell ref="BN100:BN101"/>
    <mergeCell ref="AV96:BH97"/>
    <mergeCell ref="BI96:BM97"/>
    <mergeCell ref="BN96:BN97"/>
    <mergeCell ref="AV98:BH99"/>
    <mergeCell ref="BI98:BM99"/>
    <mergeCell ref="BN98:BN99"/>
    <mergeCell ref="AV100:BH101"/>
    <mergeCell ref="AV108:BH109"/>
    <mergeCell ref="BI108:BM109"/>
    <mergeCell ref="BN108:BN109"/>
    <mergeCell ref="BA2:BE2"/>
    <mergeCell ref="BA3:BE3"/>
    <mergeCell ref="BA4:BE4"/>
    <mergeCell ref="BF4:BI4"/>
    <mergeCell ref="BA5:BE5"/>
    <mergeCell ref="BF5:BI5"/>
    <mergeCell ref="BA6:BE6"/>
    <mergeCell ref="BF6:BI6"/>
    <mergeCell ref="P1:AZ1"/>
    <mergeCell ref="A2:E2"/>
    <mergeCell ref="F2:I2"/>
    <mergeCell ref="L2:N2"/>
    <mergeCell ref="BF2:BI2"/>
    <mergeCell ref="A3:E3"/>
    <mergeCell ref="Q3:S3"/>
    <mergeCell ref="BF3:BI3"/>
    <mergeCell ref="F3:I3"/>
    <mergeCell ref="F5:I6"/>
    <mergeCell ref="A9:C9"/>
    <mergeCell ref="J3:P3"/>
    <mergeCell ref="U3:AA4"/>
    <mergeCell ref="AB3:AJ4"/>
    <mergeCell ref="AK3:AM4"/>
    <mergeCell ref="J4:P4"/>
    <mergeCell ref="Q4:R4"/>
    <mergeCell ref="A5:E5"/>
    <mergeCell ref="BH9:BJ9"/>
    <mergeCell ref="BK9:BM9"/>
    <mergeCell ref="BJ10:BM11"/>
    <mergeCell ref="L5:P5"/>
    <mergeCell ref="Q5:R5"/>
    <mergeCell ref="S5:S6"/>
    <mergeCell ref="U5:AA6"/>
    <mergeCell ref="A7:AF8"/>
    <mergeCell ref="AG7:BN8"/>
    <mergeCell ref="AA9:AC9"/>
    <mergeCell ref="AD9:AF9"/>
    <mergeCell ref="AH9:AJ9"/>
    <mergeCell ref="A10:Z11"/>
    <mergeCell ref="AA10:AB11"/>
    <mergeCell ref="AC10:AF11"/>
    <mergeCell ref="AH10:BG11"/>
    <mergeCell ref="BH10:BI11"/>
    <mergeCell ref="AH28:BG29"/>
    <mergeCell ref="BH28:BI29"/>
    <mergeCell ref="A26:Z27"/>
    <mergeCell ref="AA26:AB27"/>
    <mergeCell ref="AC26:AF27"/>
    <mergeCell ref="AH26:BG27"/>
    <mergeCell ref="BH26:BI27"/>
    <mergeCell ref="BJ26:BM27"/>
    <mergeCell ref="A28:Z29"/>
    <mergeCell ref="BJ28:BM29"/>
    <mergeCell ref="AH32:BG33"/>
    <mergeCell ref="BH32:BI33"/>
    <mergeCell ref="BJ32:BM33"/>
    <mergeCell ref="AA28:AB29"/>
    <mergeCell ref="AC28:AF29"/>
    <mergeCell ref="AA30:AB31"/>
    <mergeCell ref="AC30:AF31"/>
    <mergeCell ref="AH30:BG31"/>
    <mergeCell ref="BH30:BI31"/>
    <mergeCell ref="BJ30:BM31"/>
    <mergeCell ref="A12:Z13"/>
    <mergeCell ref="AA12:AB13"/>
    <mergeCell ref="AC12:AF13"/>
    <mergeCell ref="AH12:BG13"/>
    <mergeCell ref="BH12:BI13"/>
    <mergeCell ref="BJ12:BM13"/>
    <mergeCell ref="A14:Z15"/>
    <mergeCell ref="BJ14:BM15"/>
    <mergeCell ref="AA14:AB15"/>
    <mergeCell ref="AC14:AF15"/>
    <mergeCell ref="A16:Z17"/>
    <mergeCell ref="AA16:AB17"/>
    <mergeCell ref="AC16:AF17"/>
    <mergeCell ref="AA18:AB19"/>
    <mergeCell ref="AC18:AF19"/>
    <mergeCell ref="AH18:BG19"/>
    <mergeCell ref="AH20:BG21"/>
    <mergeCell ref="BH20:BI21"/>
    <mergeCell ref="BJ20:BM21"/>
    <mergeCell ref="AH22:BG23"/>
    <mergeCell ref="BH22:BI23"/>
    <mergeCell ref="BJ22:BM23"/>
    <mergeCell ref="AH14:BG15"/>
    <mergeCell ref="BH14:BI15"/>
    <mergeCell ref="AH16:BG17"/>
    <mergeCell ref="BH16:BI17"/>
    <mergeCell ref="BJ16:BM17"/>
    <mergeCell ref="BH18:BI19"/>
    <mergeCell ref="BJ18:BM19"/>
    <mergeCell ref="A24:Z25"/>
    <mergeCell ref="AA24:AB25"/>
    <mergeCell ref="AC24:AF25"/>
    <mergeCell ref="AH24:BG25"/>
    <mergeCell ref="BH24:BI25"/>
    <mergeCell ref="BJ24:BM25"/>
    <mergeCell ref="A18:Z19"/>
    <mergeCell ref="A20:Z21"/>
    <mergeCell ref="AA20:AB21"/>
    <mergeCell ref="AC20:AF21"/>
    <mergeCell ref="A22:Z23"/>
    <mergeCell ref="AA22:AB23"/>
    <mergeCell ref="AC22:AF23"/>
    <mergeCell ref="AH40:BG41"/>
    <mergeCell ref="BH40:BI41"/>
    <mergeCell ref="BJ40:BM41"/>
    <mergeCell ref="A30:Z31"/>
    <mergeCell ref="A32:Z33"/>
    <mergeCell ref="AA32:AB33"/>
    <mergeCell ref="AC32:AF33"/>
    <mergeCell ref="A34:Z35"/>
    <mergeCell ref="AA34:AB35"/>
    <mergeCell ref="AC34:AF35"/>
    <mergeCell ref="AA40:AB41"/>
    <mergeCell ref="AC40:AF41"/>
    <mergeCell ref="A36:Z37"/>
    <mergeCell ref="AA36:AB37"/>
    <mergeCell ref="AC36:AF37"/>
    <mergeCell ref="A38:Z39"/>
    <mergeCell ref="AA38:AB39"/>
    <mergeCell ref="AC38:AF39"/>
    <mergeCell ref="A40:Z41"/>
    <mergeCell ref="AA46:AB47"/>
    <mergeCell ref="AC46:AF47"/>
    <mergeCell ref="A42:Z43"/>
    <mergeCell ref="AA42:AB43"/>
    <mergeCell ref="AC42:AF43"/>
    <mergeCell ref="A44:Z45"/>
    <mergeCell ref="AA44:AB45"/>
    <mergeCell ref="AC44:AF45"/>
    <mergeCell ref="A46:Z47"/>
    <mergeCell ref="AA52:AB53"/>
    <mergeCell ref="AC52:AF53"/>
    <mergeCell ref="A48:Z49"/>
    <mergeCell ref="AA48:AB49"/>
    <mergeCell ref="AC48:AF49"/>
    <mergeCell ref="A50:Z51"/>
    <mergeCell ref="AA50:AB51"/>
    <mergeCell ref="AC50:AF51"/>
    <mergeCell ref="A52:Z53"/>
    <mergeCell ref="BH58:BI59"/>
    <mergeCell ref="BJ58:BM59"/>
    <mergeCell ref="BN58:BN59"/>
    <mergeCell ref="AH54:BG55"/>
    <mergeCell ref="BH54:BI55"/>
    <mergeCell ref="BJ54:BM55"/>
    <mergeCell ref="AH56:BG57"/>
    <mergeCell ref="BH56:BI57"/>
    <mergeCell ref="BJ56:BM57"/>
    <mergeCell ref="AH58:BG59"/>
    <mergeCell ref="AH68:BG69"/>
    <mergeCell ref="BH68:BI69"/>
    <mergeCell ref="BJ68:BM69"/>
    <mergeCell ref="BN68:BN69"/>
    <mergeCell ref="AV70:BD71"/>
    <mergeCell ref="BE70:BM71"/>
    <mergeCell ref="BN70:BN71"/>
    <mergeCell ref="BI76:BM77"/>
    <mergeCell ref="BN76:BN77"/>
    <mergeCell ref="AV72:BH73"/>
    <mergeCell ref="BI72:BM73"/>
    <mergeCell ref="BN72:BN73"/>
    <mergeCell ref="AV74:BH75"/>
    <mergeCell ref="BI74:BM75"/>
    <mergeCell ref="BN74:BN75"/>
    <mergeCell ref="AV76:BH77"/>
    <mergeCell ref="BI82:BM83"/>
    <mergeCell ref="BN82:BN83"/>
    <mergeCell ref="AV78:BH79"/>
    <mergeCell ref="BI78:BM79"/>
    <mergeCell ref="BN78:BN79"/>
    <mergeCell ref="AV80:BH81"/>
    <mergeCell ref="BI80:BM81"/>
    <mergeCell ref="BN80:BN81"/>
    <mergeCell ref="AV82:BH83"/>
    <mergeCell ref="BI110:BM111"/>
    <mergeCell ref="BN110:BN111"/>
    <mergeCell ref="A112:AU113"/>
    <mergeCell ref="AV112:BH113"/>
    <mergeCell ref="BI112:BM113"/>
    <mergeCell ref="BN112:BN113"/>
    <mergeCell ref="A114:AU115"/>
    <mergeCell ref="AV114:BH115"/>
    <mergeCell ref="BI114:BM115"/>
    <mergeCell ref="BN114:BN115"/>
    <mergeCell ref="A100:AU101"/>
    <mergeCell ref="A102:AU103"/>
    <mergeCell ref="A104:AU105"/>
    <mergeCell ref="A106:AU107"/>
    <mergeCell ref="A108:AU109"/>
    <mergeCell ref="A110:AU111"/>
    <mergeCell ref="AV110:BH111"/>
    <mergeCell ref="AA58:AB59"/>
    <mergeCell ref="AC58:AF59"/>
    <mergeCell ref="A54:Z55"/>
    <mergeCell ref="AA54:AB55"/>
    <mergeCell ref="AC54:AF55"/>
    <mergeCell ref="A56:Z57"/>
    <mergeCell ref="AA56:AB57"/>
    <mergeCell ref="AC56:AF57"/>
    <mergeCell ref="A58:Z59"/>
    <mergeCell ref="AA64:AB65"/>
    <mergeCell ref="AC64:AF65"/>
    <mergeCell ref="A60:Z61"/>
    <mergeCell ref="AA60:AB61"/>
    <mergeCell ref="AC60:AF61"/>
    <mergeCell ref="A62:Z63"/>
    <mergeCell ref="AA62:AB63"/>
    <mergeCell ref="AC62:AF63"/>
    <mergeCell ref="A64:Z65"/>
    <mergeCell ref="A66:Z67"/>
    <mergeCell ref="AA66:AB67"/>
    <mergeCell ref="AC66:AF67"/>
    <mergeCell ref="A68:Z69"/>
    <mergeCell ref="AA68:AB69"/>
    <mergeCell ref="AC68:AF69"/>
    <mergeCell ref="A70:AU71"/>
    <mergeCell ref="A72:AU73"/>
    <mergeCell ref="A74:AU75"/>
    <mergeCell ref="A76:AU77"/>
    <mergeCell ref="A78:AU79"/>
    <mergeCell ref="A80:AU81"/>
    <mergeCell ref="A82:AU83"/>
    <mergeCell ref="A84:AU85"/>
    <mergeCell ref="A86:AU87"/>
    <mergeCell ref="A88:AU89"/>
    <mergeCell ref="A90:AU91"/>
    <mergeCell ref="A92:AU93"/>
    <mergeCell ref="A94:AU95"/>
    <mergeCell ref="A96:AU97"/>
    <mergeCell ref="A98:AU99"/>
  </mergeCells>
  <conditionalFormatting sqref="Q4:R4">
    <cfRule type="cellIs" dxfId="7" priority="1" operator="greaterThan">
      <formula>0.001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78" width="2.63"/>
  </cols>
  <sheetData>
    <row r="1" ht="18.75" customHeight="1">
      <c r="A1" s="387" t="s">
        <v>267</v>
      </c>
      <c r="B1" s="3"/>
      <c r="C1" s="3"/>
      <c r="D1" s="3"/>
      <c r="E1" s="3"/>
      <c r="F1" s="3"/>
      <c r="G1" s="3"/>
      <c r="H1" s="3"/>
      <c r="I1" s="3"/>
      <c r="J1" s="3"/>
      <c r="K1" s="3"/>
      <c r="L1" s="3"/>
      <c r="M1" s="3"/>
      <c r="N1" s="3"/>
      <c r="O1" s="3"/>
      <c r="P1" s="3"/>
      <c r="Q1" s="3"/>
      <c r="R1" s="3"/>
      <c r="S1" s="3"/>
      <c r="T1" s="3"/>
      <c r="U1" s="3"/>
      <c r="V1" s="3"/>
      <c r="W1" s="3"/>
      <c r="X1" s="3"/>
      <c r="Y1" s="5"/>
      <c r="Z1" s="388"/>
      <c r="AA1" s="389" t="s">
        <v>268</v>
      </c>
      <c r="AB1" s="17"/>
      <c r="AC1" s="17"/>
      <c r="AD1" s="17"/>
      <c r="AE1" s="17"/>
      <c r="AF1" s="17"/>
      <c r="AG1" s="17"/>
      <c r="AH1" s="17"/>
      <c r="AI1" s="17"/>
      <c r="AJ1" s="17"/>
      <c r="AK1" s="17"/>
      <c r="AL1" s="17"/>
      <c r="AM1" s="17"/>
      <c r="AN1" s="17"/>
      <c r="AO1" s="17"/>
      <c r="AP1" s="17"/>
      <c r="AQ1" s="17"/>
      <c r="AR1" s="17"/>
      <c r="AS1" s="17"/>
      <c r="AT1" s="17"/>
      <c r="AU1" s="17"/>
      <c r="AV1" s="17"/>
      <c r="AW1" s="17"/>
      <c r="AX1" s="17"/>
      <c r="AY1" s="17"/>
      <c r="AZ1" s="168"/>
      <c r="BA1" s="388"/>
      <c r="BB1" s="387" t="s">
        <v>269</v>
      </c>
      <c r="BC1" s="3"/>
      <c r="BD1" s="3"/>
      <c r="BE1" s="3"/>
      <c r="BF1" s="3"/>
      <c r="BG1" s="3"/>
      <c r="BH1" s="3"/>
      <c r="BI1" s="3"/>
      <c r="BJ1" s="3"/>
      <c r="BK1" s="3"/>
      <c r="BL1" s="3"/>
      <c r="BM1" s="3"/>
      <c r="BN1" s="3"/>
      <c r="BO1" s="3"/>
      <c r="BP1" s="3"/>
      <c r="BQ1" s="3"/>
      <c r="BR1" s="3"/>
      <c r="BS1" s="3"/>
      <c r="BT1" s="3"/>
      <c r="BU1" s="3"/>
      <c r="BV1" s="3"/>
      <c r="BW1" s="3"/>
      <c r="BX1" s="3"/>
      <c r="BY1" s="3"/>
      <c r="BZ1" s="5"/>
    </row>
    <row r="2" ht="18.75" customHeight="1">
      <c r="A2" s="390" t="s">
        <v>270</v>
      </c>
      <c r="Q2" s="391" t="s">
        <v>271</v>
      </c>
      <c r="Y2" s="49"/>
      <c r="Z2" s="388"/>
      <c r="AA2" s="392" t="s">
        <v>272</v>
      </c>
      <c r="AB2" s="17"/>
      <c r="AC2" s="17"/>
      <c r="AD2" s="17"/>
      <c r="AE2" s="17"/>
      <c r="AF2" s="17"/>
      <c r="AG2" s="17"/>
      <c r="AH2" s="17"/>
      <c r="AI2" s="168"/>
      <c r="AJ2" s="392" t="s">
        <v>273</v>
      </c>
      <c r="AK2" s="17"/>
      <c r="AL2" s="17"/>
      <c r="AM2" s="17"/>
      <c r="AN2" s="17"/>
      <c r="AO2" s="17"/>
      <c r="AP2" s="17"/>
      <c r="AQ2" s="17"/>
      <c r="AR2" s="17"/>
      <c r="AS2" s="17"/>
      <c r="AT2" s="17"/>
      <c r="AU2" s="17"/>
      <c r="AV2" s="17"/>
      <c r="AW2" s="17"/>
      <c r="AX2" s="17"/>
      <c r="AY2" s="17"/>
      <c r="AZ2" s="168"/>
      <c r="BA2" s="388"/>
      <c r="BB2" s="393" t="s">
        <v>274</v>
      </c>
      <c r="BC2" s="11"/>
      <c r="BD2" s="11"/>
      <c r="BE2" s="12"/>
      <c r="BF2" s="393" t="s">
        <v>275</v>
      </c>
      <c r="BG2" s="11"/>
      <c r="BH2" s="11"/>
      <c r="BI2" s="11"/>
      <c r="BJ2" s="11"/>
      <c r="BK2" s="11"/>
      <c r="BL2" s="11"/>
      <c r="BM2" s="11"/>
      <c r="BN2" s="11"/>
      <c r="BO2" s="11"/>
      <c r="BP2" s="11"/>
      <c r="BQ2" s="11"/>
      <c r="BR2" s="11"/>
      <c r="BS2" s="11"/>
      <c r="BT2" s="11"/>
      <c r="BU2" s="11"/>
      <c r="BV2" s="11"/>
      <c r="BW2" s="11"/>
      <c r="BX2" s="11"/>
      <c r="BY2" s="11"/>
      <c r="BZ2" s="12"/>
    </row>
    <row r="3" ht="18.75" customHeight="1">
      <c r="A3" s="393" t="s">
        <v>276</v>
      </c>
      <c r="B3" s="11"/>
      <c r="C3" s="11"/>
      <c r="D3" s="11"/>
      <c r="E3" s="11"/>
      <c r="F3" s="11"/>
      <c r="G3" s="11"/>
      <c r="H3" s="11"/>
      <c r="I3" s="11"/>
      <c r="J3" s="11"/>
      <c r="K3" s="11"/>
      <c r="L3" s="11"/>
      <c r="M3" s="11"/>
      <c r="N3" s="11"/>
      <c r="O3" s="11"/>
      <c r="P3" s="12"/>
      <c r="Q3" s="393" t="s">
        <v>277</v>
      </c>
      <c r="R3" s="11"/>
      <c r="S3" s="11"/>
      <c r="T3" s="11"/>
      <c r="U3" s="11"/>
      <c r="V3" s="11"/>
      <c r="W3" s="11"/>
      <c r="X3" s="11"/>
      <c r="Y3" s="12"/>
      <c r="Z3" s="388"/>
      <c r="AA3" s="392" t="s">
        <v>278</v>
      </c>
      <c r="AB3" s="17"/>
      <c r="AC3" s="17"/>
      <c r="AD3" s="17"/>
      <c r="AE3" s="17"/>
      <c r="AF3" s="17"/>
      <c r="AG3" s="17"/>
      <c r="AH3" s="17"/>
      <c r="AI3" s="168"/>
      <c r="AJ3" s="392" t="s">
        <v>279</v>
      </c>
      <c r="AK3" s="17"/>
      <c r="AL3" s="17"/>
      <c r="AM3" s="17"/>
      <c r="AN3" s="17"/>
      <c r="AO3" s="17"/>
      <c r="AP3" s="17"/>
      <c r="AQ3" s="17"/>
      <c r="AR3" s="17"/>
      <c r="AS3" s="17"/>
      <c r="AT3" s="17"/>
      <c r="AU3" s="17"/>
      <c r="AV3" s="17"/>
      <c r="AW3" s="17"/>
      <c r="AX3" s="17"/>
      <c r="AY3" s="17"/>
      <c r="AZ3" s="168"/>
      <c r="BA3" s="388"/>
      <c r="BB3" s="392" t="s">
        <v>280</v>
      </c>
      <c r="BC3" s="17"/>
      <c r="BD3" s="17"/>
      <c r="BE3" s="168"/>
      <c r="BF3" s="392" t="s">
        <v>281</v>
      </c>
      <c r="BG3" s="17"/>
      <c r="BH3" s="17"/>
      <c r="BI3" s="17"/>
      <c r="BJ3" s="17"/>
      <c r="BK3" s="17"/>
      <c r="BL3" s="17"/>
      <c r="BM3" s="17"/>
      <c r="BN3" s="17"/>
      <c r="BO3" s="17"/>
      <c r="BP3" s="17"/>
      <c r="BQ3" s="17"/>
      <c r="BR3" s="17"/>
      <c r="BS3" s="17"/>
      <c r="BT3" s="17"/>
      <c r="BU3" s="17"/>
      <c r="BV3" s="17"/>
      <c r="BW3" s="17"/>
      <c r="BX3" s="17"/>
      <c r="BY3" s="17"/>
      <c r="BZ3" s="168"/>
    </row>
    <row r="4" ht="18.75" customHeight="1">
      <c r="A4" s="392" t="s">
        <v>282</v>
      </c>
      <c r="B4" s="17"/>
      <c r="C4" s="17"/>
      <c r="D4" s="17"/>
      <c r="E4" s="17"/>
      <c r="F4" s="17"/>
      <c r="G4" s="17"/>
      <c r="H4" s="17"/>
      <c r="I4" s="17"/>
      <c r="J4" s="17"/>
      <c r="K4" s="17"/>
      <c r="L4" s="17"/>
      <c r="M4" s="17"/>
      <c r="N4" s="17"/>
      <c r="O4" s="17"/>
      <c r="P4" s="168"/>
      <c r="Q4" s="392" t="s">
        <v>283</v>
      </c>
      <c r="R4" s="17"/>
      <c r="S4" s="17"/>
      <c r="T4" s="17"/>
      <c r="U4" s="17"/>
      <c r="V4" s="17"/>
      <c r="W4" s="17"/>
      <c r="X4" s="17"/>
      <c r="Y4" s="168"/>
      <c r="Z4" s="388"/>
      <c r="AA4" s="394" t="s">
        <v>284</v>
      </c>
      <c r="AB4" s="3"/>
      <c r="AC4" s="3"/>
      <c r="AD4" s="3"/>
      <c r="AE4" s="3"/>
      <c r="AF4" s="3"/>
      <c r="AG4" s="3"/>
      <c r="AH4" s="3"/>
      <c r="AI4" s="5"/>
      <c r="AJ4" s="395" t="s">
        <v>285</v>
      </c>
      <c r="AK4" s="3"/>
      <c r="AL4" s="3"/>
      <c r="AM4" s="3"/>
      <c r="AN4" s="3"/>
      <c r="AO4" s="3"/>
      <c r="AP4" s="3"/>
      <c r="AQ4" s="3"/>
      <c r="AR4" s="3"/>
      <c r="AS4" s="3"/>
      <c r="AT4" s="3"/>
      <c r="AU4" s="3"/>
      <c r="AV4" s="3"/>
      <c r="AW4" s="3"/>
      <c r="AX4" s="3"/>
      <c r="AY4" s="3"/>
      <c r="AZ4" s="5"/>
      <c r="BA4" s="396"/>
      <c r="BB4" s="397"/>
      <c r="BC4" s="397"/>
      <c r="BD4" s="397"/>
      <c r="BE4" s="397"/>
      <c r="BF4" s="397"/>
      <c r="BG4" s="397"/>
      <c r="BH4" s="397"/>
      <c r="BI4" s="397"/>
      <c r="BJ4" s="397"/>
      <c r="BK4" s="397"/>
      <c r="BL4" s="397"/>
      <c r="BM4" s="397"/>
      <c r="BN4" s="397"/>
      <c r="BO4" s="397"/>
      <c r="BP4" s="397"/>
      <c r="BQ4" s="397"/>
      <c r="BR4" s="397"/>
      <c r="BS4" s="397"/>
      <c r="BT4" s="397"/>
      <c r="BU4" s="397"/>
      <c r="BV4" s="397"/>
      <c r="BW4" s="397"/>
      <c r="BX4" s="397"/>
      <c r="BY4" s="397"/>
      <c r="BZ4" s="397"/>
    </row>
    <row r="5" ht="18.75" customHeight="1">
      <c r="A5" s="392" t="s">
        <v>286</v>
      </c>
      <c r="B5" s="17"/>
      <c r="C5" s="17"/>
      <c r="D5" s="17"/>
      <c r="E5" s="17"/>
      <c r="F5" s="17"/>
      <c r="G5" s="17"/>
      <c r="H5" s="17"/>
      <c r="I5" s="17"/>
      <c r="J5" s="17"/>
      <c r="K5" s="17"/>
      <c r="L5" s="17"/>
      <c r="M5" s="17"/>
      <c r="N5" s="17"/>
      <c r="O5" s="17"/>
      <c r="P5" s="168"/>
      <c r="Q5" s="392" t="s">
        <v>283</v>
      </c>
      <c r="R5" s="17"/>
      <c r="S5" s="17"/>
      <c r="T5" s="17"/>
      <c r="U5" s="17"/>
      <c r="V5" s="17"/>
      <c r="W5" s="17"/>
      <c r="X5" s="17"/>
      <c r="Y5" s="168"/>
      <c r="Z5" s="388"/>
      <c r="AA5" s="13"/>
      <c r="AB5" s="11"/>
      <c r="AC5" s="11"/>
      <c r="AD5" s="11"/>
      <c r="AE5" s="11"/>
      <c r="AF5" s="11"/>
      <c r="AG5" s="11"/>
      <c r="AH5" s="11"/>
      <c r="AI5" s="12"/>
      <c r="AJ5" s="13"/>
      <c r="AK5" s="11"/>
      <c r="AL5" s="11"/>
      <c r="AM5" s="11"/>
      <c r="AN5" s="11"/>
      <c r="AO5" s="11"/>
      <c r="AP5" s="11"/>
      <c r="AQ5" s="11"/>
      <c r="AR5" s="11"/>
      <c r="AS5" s="11"/>
      <c r="AT5" s="11"/>
      <c r="AU5" s="11"/>
      <c r="AV5" s="11"/>
      <c r="AW5" s="11"/>
      <c r="AX5" s="11"/>
      <c r="AY5" s="11"/>
      <c r="AZ5" s="12"/>
      <c r="BA5" s="388"/>
      <c r="BB5" s="387" t="s">
        <v>287</v>
      </c>
      <c r="BC5" s="3"/>
      <c r="BD5" s="3"/>
      <c r="BE5" s="3"/>
      <c r="BF5" s="3"/>
      <c r="BG5" s="3"/>
      <c r="BH5" s="3"/>
      <c r="BI5" s="3"/>
      <c r="BJ5" s="3"/>
      <c r="BK5" s="3"/>
      <c r="BL5" s="3"/>
      <c r="BM5" s="3"/>
      <c r="BN5" s="3"/>
      <c r="BO5" s="3"/>
      <c r="BP5" s="3"/>
      <c r="BQ5" s="3"/>
      <c r="BR5" s="3"/>
      <c r="BS5" s="3"/>
      <c r="BT5" s="3"/>
      <c r="BU5" s="3"/>
      <c r="BV5" s="3"/>
      <c r="BW5" s="3"/>
      <c r="BX5" s="3"/>
      <c r="BY5" s="3"/>
      <c r="BZ5" s="5"/>
    </row>
    <row r="6" ht="18.75" customHeight="1">
      <c r="A6" s="392" t="s">
        <v>288</v>
      </c>
      <c r="B6" s="17"/>
      <c r="C6" s="17"/>
      <c r="D6" s="17"/>
      <c r="E6" s="17"/>
      <c r="F6" s="17"/>
      <c r="G6" s="17"/>
      <c r="H6" s="17"/>
      <c r="I6" s="17"/>
      <c r="J6" s="17"/>
      <c r="K6" s="17"/>
      <c r="L6" s="17"/>
      <c r="M6" s="17"/>
      <c r="N6" s="17"/>
      <c r="O6" s="17"/>
      <c r="P6" s="168"/>
      <c r="Q6" s="392" t="s">
        <v>289</v>
      </c>
      <c r="R6" s="17"/>
      <c r="S6" s="17"/>
      <c r="T6" s="17"/>
      <c r="U6" s="17"/>
      <c r="V6" s="17"/>
      <c r="W6" s="17"/>
      <c r="X6" s="17"/>
      <c r="Y6" s="168"/>
      <c r="Z6" s="388"/>
      <c r="AA6" s="394" t="s">
        <v>290</v>
      </c>
      <c r="AB6" s="3"/>
      <c r="AC6" s="3"/>
      <c r="AD6" s="3"/>
      <c r="AE6" s="3"/>
      <c r="AF6" s="3"/>
      <c r="AG6" s="3"/>
      <c r="AH6" s="3"/>
      <c r="AI6" s="5"/>
      <c r="AJ6" s="395" t="s">
        <v>291</v>
      </c>
      <c r="AK6" s="3"/>
      <c r="AL6" s="3"/>
      <c r="AM6" s="3"/>
      <c r="AN6" s="3"/>
      <c r="AO6" s="3"/>
      <c r="AP6" s="3"/>
      <c r="AQ6" s="3"/>
      <c r="AR6" s="3"/>
      <c r="AS6" s="3"/>
      <c r="AT6" s="3"/>
      <c r="AU6" s="3"/>
      <c r="AV6" s="3"/>
      <c r="AW6" s="3"/>
      <c r="AX6" s="3"/>
      <c r="AY6" s="3"/>
      <c r="AZ6" s="5"/>
      <c r="BA6" s="388"/>
      <c r="BB6" s="393" t="s">
        <v>292</v>
      </c>
      <c r="BC6" s="11"/>
      <c r="BD6" s="11"/>
      <c r="BE6" s="11"/>
      <c r="BF6" s="11"/>
      <c r="BG6" s="12"/>
      <c r="BH6" s="398" t="s">
        <v>293</v>
      </c>
      <c r="BI6" s="11"/>
      <c r="BJ6" s="11"/>
      <c r="BK6" s="11"/>
      <c r="BL6" s="11"/>
      <c r="BM6" s="11"/>
      <c r="BN6" s="11"/>
      <c r="BO6" s="11"/>
      <c r="BP6" s="11"/>
      <c r="BQ6" s="11"/>
      <c r="BR6" s="11"/>
      <c r="BS6" s="11"/>
      <c r="BT6" s="11"/>
      <c r="BU6" s="11"/>
      <c r="BV6" s="11"/>
      <c r="BW6" s="11"/>
      <c r="BX6" s="11"/>
      <c r="BY6" s="11"/>
      <c r="BZ6" s="12"/>
    </row>
    <row r="7" ht="18.75" customHeight="1">
      <c r="A7" s="392" t="s">
        <v>294</v>
      </c>
      <c r="B7" s="17"/>
      <c r="C7" s="17"/>
      <c r="D7" s="17"/>
      <c r="E7" s="17"/>
      <c r="F7" s="17"/>
      <c r="G7" s="17"/>
      <c r="H7" s="17"/>
      <c r="I7" s="17"/>
      <c r="J7" s="17"/>
      <c r="K7" s="17"/>
      <c r="L7" s="17"/>
      <c r="M7" s="17"/>
      <c r="N7" s="17"/>
      <c r="O7" s="17"/>
      <c r="P7" s="168"/>
      <c r="Q7" s="392" t="s">
        <v>289</v>
      </c>
      <c r="R7" s="17"/>
      <c r="S7" s="17"/>
      <c r="T7" s="17"/>
      <c r="U7" s="17"/>
      <c r="V7" s="17"/>
      <c r="W7" s="17"/>
      <c r="X7" s="17"/>
      <c r="Y7" s="168"/>
      <c r="Z7" s="388"/>
      <c r="AA7" s="13"/>
      <c r="AB7" s="11"/>
      <c r="AC7" s="11"/>
      <c r="AD7" s="11"/>
      <c r="AE7" s="11"/>
      <c r="AF7" s="11"/>
      <c r="AG7" s="11"/>
      <c r="AH7" s="11"/>
      <c r="AI7" s="12"/>
      <c r="AJ7" s="13"/>
      <c r="AK7" s="11"/>
      <c r="AL7" s="11"/>
      <c r="AM7" s="11"/>
      <c r="AN7" s="11"/>
      <c r="AO7" s="11"/>
      <c r="AP7" s="11"/>
      <c r="AQ7" s="11"/>
      <c r="AR7" s="11"/>
      <c r="AS7" s="11"/>
      <c r="AT7" s="11"/>
      <c r="AU7" s="11"/>
      <c r="AV7" s="11"/>
      <c r="AW7" s="11"/>
      <c r="AX7" s="11"/>
      <c r="AY7" s="11"/>
      <c r="AZ7" s="12"/>
      <c r="BA7" s="388"/>
      <c r="BB7" s="392" t="s">
        <v>295</v>
      </c>
      <c r="BC7" s="17"/>
      <c r="BD7" s="17"/>
      <c r="BE7" s="17"/>
      <c r="BF7" s="17"/>
      <c r="BG7" s="168"/>
      <c r="BH7" s="399" t="s">
        <v>296</v>
      </c>
      <c r="BI7" s="17"/>
      <c r="BJ7" s="17"/>
      <c r="BK7" s="17"/>
      <c r="BL7" s="17"/>
      <c r="BM7" s="17"/>
      <c r="BN7" s="17"/>
      <c r="BO7" s="17"/>
      <c r="BP7" s="17"/>
      <c r="BQ7" s="17"/>
      <c r="BR7" s="17"/>
      <c r="BS7" s="17"/>
      <c r="BT7" s="17"/>
      <c r="BU7" s="17"/>
      <c r="BV7" s="17"/>
      <c r="BW7" s="17"/>
      <c r="BX7" s="17"/>
      <c r="BY7" s="17"/>
      <c r="BZ7" s="168"/>
    </row>
    <row r="8" ht="18.75" customHeight="1">
      <c r="A8" s="392" t="s">
        <v>297</v>
      </c>
      <c r="B8" s="17"/>
      <c r="C8" s="17"/>
      <c r="D8" s="17"/>
      <c r="E8" s="17"/>
      <c r="F8" s="17"/>
      <c r="G8" s="17"/>
      <c r="H8" s="17"/>
      <c r="I8" s="17"/>
      <c r="J8" s="17"/>
      <c r="K8" s="17"/>
      <c r="L8" s="17"/>
      <c r="M8" s="17"/>
      <c r="N8" s="17"/>
      <c r="O8" s="17"/>
      <c r="P8" s="168"/>
      <c r="Q8" s="392" t="s">
        <v>298</v>
      </c>
      <c r="R8" s="17"/>
      <c r="S8" s="17"/>
      <c r="T8" s="17"/>
      <c r="U8" s="17"/>
      <c r="V8" s="17"/>
      <c r="W8" s="17"/>
      <c r="X8" s="17"/>
      <c r="Y8" s="168"/>
      <c r="Z8" s="396"/>
      <c r="AA8" s="397"/>
      <c r="AB8" s="397"/>
      <c r="AC8" s="397"/>
      <c r="AD8" s="397"/>
      <c r="AE8" s="397"/>
      <c r="AF8" s="397"/>
      <c r="AG8" s="397"/>
      <c r="AH8" s="397"/>
      <c r="AI8" s="397"/>
      <c r="AJ8" s="397"/>
      <c r="AK8" s="397"/>
      <c r="AL8" s="397"/>
      <c r="AM8" s="397"/>
      <c r="AN8" s="397"/>
      <c r="AO8" s="397"/>
      <c r="AP8" s="397"/>
      <c r="AQ8" s="397"/>
      <c r="AR8" s="397"/>
      <c r="AS8" s="397"/>
      <c r="AT8" s="397"/>
      <c r="AU8" s="397"/>
      <c r="AV8" s="397"/>
      <c r="AW8" s="397"/>
      <c r="AX8" s="397"/>
      <c r="AY8" s="397"/>
      <c r="AZ8" s="397"/>
      <c r="BA8" s="400"/>
      <c r="BB8" s="397"/>
      <c r="BC8" s="397"/>
      <c r="BD8" s="397"/>
      <c r="BE8" s="397"/>
      <c r="BF8" s="397"/>
      <c r="BG8" s="397"/>
      <c r="BH8" s="397"/>
      <c r="BI8" s="397"/>
      <c r="BJ8" s="397"/>
      <c r="BK8" s="397"/>
      <c r="BL8" s="397"/>
      <c r="BM8" s="397"/>
      <c r="BN8" s="397"/>
      <c r="BO8" s="397"/>
      <c r="BP8" s="397"/>
      <c r="BQ8" s="397"/>
      <c r="BR8" s="397"/>
      <c r="BS8" s="397"/>
      <c r="BT8" s="397"/>
      <c r="BU8" s="397"/>
      <c r="BV8" s="397"/>
      <c r="BW8" s="397"/>
      <c r="BX8" s="397"/>
      <c r="BY8" s="397"/>
      <c r="BZ8" s="397"/>
    </row>
    <row r="9" ht="18.75" customHeight="1">
      <c r="A9" s="392" t="s">
        <v>299</v>
      </c>
      <c r="B9" s="17"/>
      <c r="C9" s="17"/>
      <c r="D9" s="17"/>
      <c r="E9" s="17"/>
      <c r="F9" s="17"/>
      <c r="G9" s="17"/>
      <c r="H9" s="17"/>
      <c r="I9" s="17"/>
      <c r="J9" s="17"/>
      <c r="K9" s="17"/>
      <c r="L9" s="17"/>
      <c r="M9" s="17"/>
      <c r="N9" s="17"/>
      <c r="O9" s="17"/>
      <c r="P9" s="168"/>
      <c r="Q9" s="392" t="s">
        <v>277</v>
      </c>
      <c r="R9" s="17"/>
      <c r="S9" s="17"/>
      <c r="T9" s="17"/>
      <c r="U9" s="17"/>
      <c r="V9" s="17"/>
      <c r="W9" s="17"/>
      <c r="X9" s="17"/>
      <c r="Y9" s="168"/>
      <c r="Z9" s="388"/>
      <c r="AA9" s="389" t="s">
        <v>300</v>
      </c>
      <c r="AB9" s="17"/>
      <c r="AC9" s="17"/>
      <c r="AD9" s="17"/>
      <c r="AE9" s="17"/>
      <c r="AF9" s="17"/>
      <c r="AG9" s="17"/>
      <c r="AH9" s="17"/>
      <c r="AI9" s="17"/>
      <c r="AJ9" s="17"/>
      <c r="AK9" s="17"/>
      <c r="AL9" s="17"/>
      <c r="AM9" s="17"/>
      <c r="AN9" s="17"/>
      <c r="AO9" s="17"/>
      <c r="AP9" s="17"/>
      <c r="AQ9" s="17"/>
      <c r="AR9" s="17"/>
      <c r="AS9" s="17"/>
      <c r="AT9" s="17"/>
      <c r="AU9" s="17"/>
      <c r="AV9" s="17"/>
      <c r="AW9" s="17"/>
      <c r="AX9" s="17"/>
      <c r="AY9" s="17"/>
      <c r="AZ9" s="168"/>
      <c r="BA9" s="388"/>
      <c r="BB9" s="389" t="s">
        <v>301</v>
      </c>
      <c r="BC9" s="17"/>
      <c r="BD9" s="17"/>
      <c r="BE9" s="17"/>
      <c r="BF9" s="17"/>
      <c r="BG9" s="17"/>
      <c r="BH9" s="17"/>
      <c r="BI9" s="17"/>
      <c r="BJ9" s="17"/>
      <c r="BK9" s="17"/>
      <c r="BL9" s="17"/>
      <c r="BM9" s="17"/>
      <c r="BN9" s="17"/>
      <c r="BO9" s="17"/>
      <c r="BP9" s="17"/>
      <c r="BQ9" s="17"/>
      <c r="BR9" s="17"/>
      <c r="BS9" s="17"/>
      <c r="BT9" s="17"/>
      <c r="BU9" s="17"/>
      <c r="BV9" s="17"/>
      <c r="BW9" s="17"/>
      <c r="BX9" s="17"/>
      <c r="BY9" s="17"/>
      <c r="BZ9" s="168"/>
    </row>
    <row r="10" ht="18.75" customHeight="1">
      <c r="A10" s="392" t="s">
        <v>302</v>
      </c>
      <c r="B10" s="17"/>
      <c r="C10" s="17"/>
      <c r="D10" s="17"/>
      <c r="E10" s="17"/>
      <c r="F10" s="17"/>
      <c r="G10" s="17"/>
      <c r="H10" s="17"/>
      <c r="I10" s="17"/>
      <c r="J10" s="17"/>
      <c r="K10" s="17"/>
      <c r="L10" s="17"/>
      <c r="M10" s="17"/>
      <c r="N10" s="17"/>
      <c r="O10" s="17"/>
      <c r="P10" s="168"/>
      <c r="Q10" s="392" t="s">
        <v>303</v>
      </c>
      <c r="R10" s="17"/>
      <c r="S10" s="17"/>
      <c r="T10" s="17"/>
      <c r="U10" s="17"/>
      <c r="V10" s="17"/>
      <c r="W10" s="17"/>
      <c r="X10" s="17"/>
      <c r="Y10" s="168"/>
      <c r="Z10" s="388"/>
      <c r="AA10" s="395" t="s">
        <v>304</v>
      </c>
      <c r="AB10" s="3"/>
      <c r="AC10" s="3"/>
      <c r="AD10" s="3"/>
      <c r="AE10" s="3"/>
      <c r="AF10" s="3"/>
      <c r="AG10" s="3"/>
      <c r="AH10" s="3"/>
      <c r="AI10" s="3"/>
      <c r="AJ10" s="3"/>
      <c r="AK10" s="3"/>
      <c r="AL10" s="3"/>
      <c r="AM10" s="3"/>
      <c r="AN10" s="3"/>
      <c r="AO10" s="3"/>
      <c r="AP10" s="3"/>
      <c r="AQ10" s="3"/>
      <c r="AR10" s="3"/>
      <c r="AS10" s="3"/>
      <c r="AT10" s="3"/>
      <c r="AU10" s="3"/>
      <c r="AV10" s="3"/>
      <c r="AW10" s="3"/>
      <c r="AX10" s="3"/>
      <c r="AY10" s="3"/>
      <c r="AZ10" s="5"/>
      <c r="BA10" s="388"/>
      <c r="BB10" s="395" t="s">
        <v>305</v>
      </c>
      <c r="BC10" s="3"/>
      <c r="BD10" s="3"/>
      <c r="BE10" s="3"/>
      <c r="BF10" s="3"/>
      <c r="BG10" s="3"/>
      <c r="BH10" s="3"/>
      <c r="BI10" s="3"/>
      <c r="BJ10" s="3"/>
      <c r="BK10" s="3"/>
      <c r="BL10" s="3"/>
      <c r="BM10" s="3"/>
      <c r="BN10" s="3"/>
      <c r="BO10" s="3"/>
      <c r="BP10" s="3"/>
      <c r="BQ10" s="3"/>
      <c r="BR10" s="3"/>
      <c r="BS10" s="3"/>
      <c r="BT10" s="3"/>
      <c r="BU10" s="3"/>
      <c r="BV10" s="3"/>
      <c r="BW10" s="3"/>
      <c r="BX10" s="3"/>
      <c r="BY10" s="3"/>
      <c r="BZ10" s="5"/>
    </row>
    <row r="11" ht="18.75" customHeight="1">
      <c r="A11" s="392" t="s">
        <v>306</v>
      </c>
      <c r="B11" s="17"/>
      <c r="C11" s="17"/>
      <c r="D11" s="17"/>
      <c r="E11" s="17"/>
      <c r="F11" s="17"/>
      <c r="G11" s="17"/>
      <c r="H11" s="17"/>
      <c r="I11" s="17"/>
      <c r="J11" s="17"/>
      <c r="K11" s="17"/>
      <c r="L11" s="17"/>
      <c r="M11" s="17"/>
      <c r="N11" s="17"/>
      <c r="O11" s="17"/>
      <c r="P11" s="168"/>
      <c r="Q11" s="392" t="s">
        <v>298</v>
      </c>
      <c r="R11" s="17"/>
      <c r="S11" s="17"/>
      <c r="T11" s="17"/>
      <c r="U11" s="17"/>
      <c r="V11" s="17"/>
      <c r="W11" s="17"/>
      <c r="X11" s="17"/>
      <c r="Y11" s="168"/>
      <c r="Z11" s="388"/>
      <c r="AA11" s="6"/>
      <c r="AZ11" s="49"/>
      <c r="BA11" s="388"/>
      <c r="BB11" s="6"/>
      <c r="BZ11" s="49"/>
    </row>
    <row r="12" ht="18.75" customHeight="1">
      <c r="A12" s="392" t="s">
        <v>307</v>
      </c>
      <c r="B12" s="17"/>
      <c r="C12" s="17"/>
      <c r="D12" s="17"/>
      <c r="E12" s="17"/>
      <c r="F12" s="17"/>
      <c r="G12" s="17"/>
      <c r="H12" s="17"/>
      <c r="I12" s="17"/>
      <c r="J12" s="17"/>
      <c r="K12" s="17"/>
      <c r="L12" s="17"/>
      <c r="M12" s="17"/>
      <c r="N12" s="17"/>
      <c r="O12" s="17"/>
      <c r="P12" s="168"/>
      <c r="Q12" s="392" t="s">
        <v>308</v>
      </c>
      <c r="R12" s="17"/>
      <c r="S12" s="17"/>
      <c r="T12" s="17"/>
      <c r="U12" s="17"/>
      <c r="V12" s="17"/>
      <c r="W12" s="17"/>
      <c r="X12" s="17"/>
      <c r="Y12" s="168"/>
      <c r="Z12" s="388"/>
      <c r="AA12" s="13"/>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388"/>
      <c r="BB12" s="13"/>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2"/>
    </row>
    <row r="13" ht="18.75" customHeight="1">
      <c r="A13" s="392" t="s">
        <v>309</v>
      </c>
      <c r="B13" s="17"/>
      <c r="C13" s="17"/>
      <c r="D13" s="17"/>
      <c r="E13" s="17"/>
      <c r="F13" s="17"/>
      <c r="G13" s="17"/>
      <c r="H13" s="17"/>
      <c r="I13" s="17"/>
      <c r="J13" s="17"/>
      <c r="K13" s="17"/>
      <c r="L13" s="17"/>
      <c r="M13" s="17"/>
      <c r="N13" s="17"/>
      <c r="O13" s="17"/>
      <c r="P13" s="168"/>
      <c r="Q13" s="392" t="s">
        <v>310</v>
      </c>
      <c r="R13" s="17"/>
      <c r="S13" s="17"/>
      <c r="T13" s="17"/>
      <c r="U13" s="17"/>
      <c r="V13" s="17"/>
      <c r="W13" s="17"/>
      <c r="X13" s="17"/>
      <c r="Y13" s="168"/>
      <c r="Z13" s="396"/>
      <c r="AA13" s="397"/>
      <c r="AB13" s="397"/>
      <c r="AC13" s="397"/>
      <c r="AD13" s="397"/>
      <c r="AE13" s="397"/>
      <c r="AF13" s="397"/>
      <c r="AG13" s="397"/>
      <c r="AH13" s="397"/>
      <c r="AI13" s="397"/>
      <c r="AJ13" s="397"/>
      <c r="AK13" s="397"/>
      <c r="AL13" s="397"/>
      <c r="AM13" s="397"/>
      <c r="AN13" s="397"/>
      <c r="AO13" s="397"/>
      <c r="AP13" s="397"/>
      <c r="AQ13" s="397"/>
      <c r="AR13" s="397"/>
      <c r="AS13" s="397"/>
      <c r="AT13" s="397"/>
      <c r="AU13" s="397"/>
      <c r="AV13" s="397"/>
      <c r="AW13" s="397"/>
      <c r="AX13" s="397"/>
      <c r="AY13" s="397"/>
      <c r="AZ13" s="397"/>
      <c r="BA13" s="400"/>
      <c r="BB13" s="397"/>
      <c r="BC13" s="397"/>
      <c r="BD13" s="397"/>
      <c r="BE13" s="397"/>
      <c r="BF13" s="397"/>
      <c r="BG13" s="397"/>
      <c r="BH13" s="397"/>
      <c r="BI13" s="397"/>
      <c r="BJ13" s="397"/>
      <c r="BK13" s="397"/>
      <c r="BL13" s="397"/>
      <c r="BM13" s="397"/>
      <c r="BN13" s="397"/>
      <c r="BO13" s="397"/>
      <c r="BP13" s="397"/>
      <c r="BQ13" s="397"/>
      <c r="BR13" s="397"/>
      <c r="BS13" s="397"/>
      <c r="BT13" s="397"/>
      <c r="BU13" s="397"/>
      <c r="BV13" s="397"/>
      <c r="BW13" s="397"/>
      <c r="BX13" s="397"/>
      <c r="BY13" s="397"/>
      <c r="BZ13" s="397"/>
    </row>
    <row r="14" ht="18.75" customHeight="1">
      <c r="A14" s="392" t="s">
        <v>311</v>
      </c>
      <c r="B14" s="17"/>
      <c r="C14" s="17"/>
      <c r="D14" s="17"/>
      <c r="E14" s="17"/>
      <c r="F14" s="17"/>
      <c r="G14" s="17"/>
      <c r="H14" s="17"/>
      <c r="I14" s="17"/>
      <c r="J14" s="17"/>
      <c r="K14" s="17"/>
      <c r="L14" s="17"/>
      <c r="M14" s="17"/>
      <c r="N14" s="17"/>
      <c r="O14" s="17"/>
      <c r="P14" s="168"/>
      <c r="Q14" s="392" t="s">
        <v>298</v>
      </c>
      <c r="R14" s="17"/>
      <c r="S14" s="17"/>
      <c r="T14" s="17"/>
      <c r="U14" s="17"/>
      <c r="V14" s="17"/>
      <c r="W14" s="17"/>
      <c r="X14" s="17"/>
      <c r="Y14" s="168"/>
      <c r="Z14" s="388"/>
      <c r="AA14" s="387" t="s">
        <v>312</v>
      </c>
      <c r="AB14" s="3"/>
      <c r="AC14" s="3"/>
      <c r="AD14" s="3"/>
      <c r="AE14" s="3"/>
      <c r="AF14" s="3"/>
      <c r="AG14" s="3"/>
      <c r="AH14" s="3"/>
      <c r="AI14" s="3"/>
      <c r="AJ14" s="3"/>
      <c r="AK14" s="3"/>
      <c r="AL14" s="3"/>
      <c r="AM14" s="3"/>
      <c r="AN14" s="3"/>
      <c r="AO14" s="3"/>
      <c r="AP14" s="3"/>
      <c r="AQ14" s="3"/>
      <c r="AR14" s="3"/>
      <c r="AS14" s="3"/>
      <c r="AT14" s="3"/>
      <c r="AU14" s="3"/>
      <c r="AV14" s="3"/>
      <c r="AW14" s="3"/>
      <c r="AX14" s="3"/>
      <c r="AY14" s="3"/>
      <c r="AZ14" s="5"/>
      <c r="BA14" s="388"/>
      <c r="BB14" s="389" t="s">
        <v>313</v>
      </c>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68"/>
    </row>
    <row r="15" ht="18.75" customHeight="1">
      <c r="A15" s="392" t="s">
        <v>314</v>
      </c>
      <c r="B15" s="17"/>
      <c r="C15" s="17"/>
      <c r="D15" s="17"/>
      <c r="E15" s="17"/>
      <c r="F15" s="17"/>
      <c r="G15" s="17"/>
      <c r="H15" s="17"/>
      <c r="I15" s="17"/>
      <c r="J15" s="17"/>
      <c r="K15" s="17"/>
      <c r="L15" s="17"/>
      <c r="M15" s="17"/>
      <c r="N15" s="17"/>
      <c r="O15" s="17"/>
      <c r="P15" s="168"/>
      <c r="Q15" s="392" t="s">
        <v>277</v>
      </c>
      <c r="R15" s="17"/>
      <c r="S15" s="17"/>
      <c r="T15" s="17"/>
      <c r="U15" s="17"/>
      <c r="V15" s="17"/>
      <c r="W15" s="17"/>
      <c r="X15" s="17"/>
      <c r="Y15" s="168"/>
      <c r="Z15" s="388"/>
      <c r="AA15" s="393" t="s">
        <v>315</v>
      </c>
      <c r="AB15" s="11"/>
      <c r="AC15" s="11"/>
      <c r="AD15" s="12"/>
      <c r="AE15" s="393" t="s">
        <v>316</v>
      </c>
      <c r="AF15" s="11"/>
      <c r="AG15" s="11"/>
      <c r="AH15" s="11"/>
      <c r="AI15" s="11"/>
      <c r="AJ15" s="11"/>
      <c r="AK15" s="11"/>
      <c r="AL15" s="11"/>
      <c r="AM15" s="11"/>
      <c r="AN15" s="11"/>
      <c r="AO15" s="11"/>
      <c r="AP15" s="11"/>
      <c r="AQ15" s="11"/>
      <c r="AR15" s="11"/>
      <c r="AS15" s="11"/>
      <c r="AT15" s="11"/>
      <c r="AU15" s="11"/>
      <c r="AV15" s="11"/>
      <c r="AW15" s="11"/>
      <c r="AX15" s="11"/>
      <c r="AY15" s="11"/>
      <c r="AZ15" s="12"/>
      <c r="BA15" s="388"/>
      <c r="BB15" s="395" t="s">
        <v>317</v>
      </c>
      <c r="BC15" s="3"/>
      <c r="BD15" s="3"/>
      <c r="BE15" s="3"/>
      <c r="BF15" s="3"/>
      <c r="BG15" s="3"/>
      <c r="BH15" s="3"/>
      <c r="BI15" s="3"/>
      <c r="BJ15" s="3"/>
      <c r="BK15" s="3"/>
      <c r="BL15" s="3"/>
      <c r="BM15" s="3"/>
      <c r="BN15" s="3"/>
      <c r="BO15" s="3"/>
      <c r="BP15" s="3"/>
      <c r="BQ15" s="3"/>
      <c r="BR15" s="3"/>
      <c r="BS15" s="3"/>
      <c r="BT15" s="3"/>
      <c r="BU15" s="3"/>
      <c r="BV15" s="3"/>
      <c r="BW15" s="3"/>
      <c r="BX15" s="3"/>
      <c r="BY15" s="3"/>
      <c r="BZ15" s="5"/>
    </row>
    <row r="16" ht="18.75" customHeight="1">
      <c r="A16" s="394" t="s">
        <v>318</v>
      </c>
      <c r="B16" s="3"/>
      <c r="C16" s="3"/>
      <c r="D16" s="3"/>
      <c r="E16" s="3"/>
      <c r="F16" s="3"/>
      <c r="G16" s="3"/>
      <c r="H16" s="3"/>
      <c r="I16" s="3"/>
      <c r="J16" s="3"/>
      <c r="K16" s="3"/>
      <c r="L16" s="3"/>
      <c r="M16" s="3"/>
      <c r="N16" s="3"/>
      <c r="O16" s="3"/>
      <c r="P16" s="5"/>
      <c r="Q16" s="394" t="s">
        <v>303</v>
      </c>
      <c r="R16" s="3"/>
      <c r="S16" s="3"/>
      <c r="T16" s="3"/>
      <c r="U16" s="3"/>
      <c r="V16" s="3"/>
      <c r="W16" s="3"/>
      <c r="X16" s="3"/>
      <c r="Y16" s="5"/>
      <c r="Z16" s="388"/>
      <c r="AA16" s="392" t="s">
        <v>319</v>
      </c>
      <c r="AB16" s="17"/>
      <c r="AC16" s="17"/>
      <c r="AD16" s="168"/>
      <c r="AE16" s="392" t="s">
        <v>320</v>
      </c>
      <c r="AF16" s="17"/>
      <c r="AG16" s="17"/>
      <c r="AH16" s="17"/>
      <c r="AI16" s="17"/>
      <c r="AJ16" s="17"/>
      <c r="AK16" s="17"/>
      <c r="AL16" s="17"/>
      <c r="AM16" s="17"/>
      <c r="AN16" s="17"/>
      <c r="AO16" s="17"/>
      <c r="AP16" s="17"/>
      <c r="AQ16" s="17"/>
      <c r="AR16" s="17"/>
      <c r="AS16" s="17"/>
      <c r="AT16" s="17"/>
      <c r="AU16" s="17"/>
      <c r="AV16" s="17"/>
      <c r="AW16" s="17"/>
      <c r="AX16" s="17"/>
      <c r="AY16" s="17"/>
      <c r="AZ16" s="168"/>
      <c r="BA16" s="388"/>
      <c r="BB16" s="6"/>
      <c r="BZ16" s="49"/>
    </row>
    <row r="17" ht="18.75" customHeight="1">
      <c r="A17" s="390" t="s">
        <v>315</v>
      </c>
      <c r="Q17" s="391" t="s">
        <v>271</v>
      </c>
      <c r="Y17" s="49"/>
      <c r="Z17" s="396"/>
      <c r="AA17" s="397"/>
      <c r="AB17" s="397"/>
      <c r="AC17" s="397"/>
      <c r="AD17" s="397"/>
      <c r="AE17" s="397"/>
      <c r="AF17" s="397"/>
      <c r="AG17" s="397"/>
      <c r="AH17" s="397"/>
      <c r="AI17" s="397"/>
      <c r="AJ17" s="397"/>
      <c r="AK17" s="397"/>
      <c r="AL17" s="397"/>
      <c r="AM17" s="397"/>
      <c r="AN17" s="397"/>
      <c r="AO17" s="397"/>
      <c r="AP17" s="397"/>
      <c r="AQ17" s="397"/>
      <c r="AR17" s="397"/>
      <c r="AS17" s="397"/>
      <c r="AT17" s="397"/>
      <c r="AU17" s="397"/>
      <c r="AV17" s="397"/>
      <c r="AW17" s="397"/>
      <c r="AX17" s="397"/>
      <c r="AY17" s="397"/>
      <c r="AZ17" s="397"/>
      <c r="BA17" s="401"/>
      <c r="BB17" s="6"/>
      <c r="BZ17" s="49"/>
    </row>
    <row r="18" ht="18.75" customHeight="1">
      <c r="A18" s="393" t="s">
        <v>321</v>
      </c>
      <c r="B18" s="11"/>
      <c r="C18" s="11"/>
      <c r="D18" s="11"/>
      <c r="E18" s="11"/>
      <c r="F18" s="11"/>
      <c r="G18" s="11"/>
      <c r="H18" s="11"/>
      <c r="I18" s="11"/>
      <c r="J18" s="11"/>
      <c r="K18" s="11"/>
      <c r="L18" s="11"/>
      <c r="M18" s="11"/>
      <c r="N18" s="11"/>
      <c r="O18" s="11"/>
      <c r="P18" s="12"/>
      <c r="Q18" s="393" t="s">
        <v>308</v>
      </c>
      <c r="R18" s="11"/>
      <c r="S18" s="11"/>
      <c r="T18" s="11"/>
      <c r="U18" s="11"/>
      <c r="V18" s="11"/>
      <c r="W18" s="11"/>
      <c r="X18" s="11"/>
      <c r="Y18" s="12"/>
      <c r="Z18" s="388"/>
      <c r="AA18" s="389" t="s">
        <v>322</v>
      </c>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68"/>
      <c r="BA18" s="388"/>
      <c r="BB18" s="13"/>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2"/>
    </row>
    <row r="19" ht="18.75" customHeight="1">
      <c r="A19" s="392" t="s">
        <v>323</v>
      </c>
      <c r="B19" s="17"/>
      <c r="C19" s="17"/>
      <c r="D19" s="17"/>
      <c r="E19" s="17"/>
      <c r="F19" s="17"/>
      <c r="G19" s="17"/>
      <c r="H19" s="17"/>
      <c r="I19" s="17"/>
      <c r="J19" s="17"/>
      <c r="K19" s="17"/>
      <c r="L19" s="17"/>
      <c r="M19" s="17"/>
      <c r="N19" s="17"/>
      <c r="O19" s="17"/>
      <c r="P19" s="168"/>
      <c r="Q19" s="392" t="s">
        <v>298</v>
      </c>
      <c r="R19" s="17"/>
      <c r="S19" s="17"/>
      <c r="T19" s="17"/>
      <c r="U19" s="17"/>
      <c r="V19" s="17"/>
      <c r="W19" s="17"/>
      <c r="X19" s="17"/>
      <c r="Y19" s="168"/>
      <c r="Z19" s="388"/>
      <c r="AA19" s="394" t="s">
        <v>315</v>
      </c>
      <c r="AB19" s="3"/>
      <c r="AC19" s="3"/>
      <c r="AD19" s="5"/>
      <c r="AE19" s="395" t="s">
        <v>324</v>
      </c>
      <c r="AF19" s="3"/>
      <c r="AG19" s="3"/>
      <c r="AH19" s="3"/>
      <c r="AI19" s="3"/>
      <c r="AJ19" s="3"/>
      <c r="AK19" s="3"/>
      <c r="AL19" s="3"/>
      <c r="AM19" s="3"/>
      <c r="AN19" s="3"/>
      <c r="AO19" s="3"/>
      <c r="AP19" s="3"/>
      <c r="AQ19" s="3"/>
      <c r="AR19" s="3"/>
      <c r="AS19" s="3"/>
      <c r="AT19" s="3"/>
      <c r="AU19" s="3"/>
      <c r="AV19" s="3"/>
      <c r="AW19" s="3"/>
      <c r="AX19" s="3"/>
      <c r="AY19" s="3"/>
      <c r="AZ19" s="5"/>
      <c r="BA19" s="396"/>
      <c r="BB19" s="397"/>
      <c r="BC19" s="397"/>
      <c r="BD19" s="397"/>
      <c r="BE19" s="397"/>
      <c r="BF19" s="397"/>
      <c r="BG19" s="397"/>
      <c r="BH19" s="397"/>
      <c r="BI19" s="397"/>
      <c r="BJ19" s="397"/>
      <c r="BK19" s="397"/>
      <c r="BL19" s="397"/>
      <c r="BM19" s="397"/>
      <c r="BN19" s="397"/>
      <c r="BO19" s="397"/>
      <c r="BP19" s="397"/>
      <c r="BQ19" s="397"/>
      <c r="BR19" s="397"/>
      <c r="BS19" s="397"/>
      <c r="BT19" s="397"/>
      <c r="BU19" s="397"/>
      <c r="BV19" s="397"/>
      <c r="BW19" s="397"/>
      <c r="BX19" s="397"/>
      <c r="BY19" s="397"/>
      <c r="BZ19" s="397"/>
    </row>
    <row r="20" ht="18.75" customHeight="1">
      <c r="A20" s="394" t="s">
        <v>325</v>
      </c>
      <c r="B20" s="3"/>
      <c r="C20" s="3"/>
      <c r="D20" s="3"/>
      <c r="E20" s="3"/>
      <c r="F20" s="3"/>
      <c r="G20" s="3"/>
      <c r="H20" s="3"/>
      <c r="I20" s="3"/>
      <c r="J20" s="3"/>
      <c r="K20" s="3"/>
      <c r="L20" s="3"/>
      <c r="M20" s="3"/>
      <c r="N20" s="3"/>
      <c r="O20" s="3"/>
      <c r="P20" s="5"/>
      <c r="Q20" s="394" t="s">
        <v>289</v>
      </c>
      <c r="R20" s="3"/>
      <c r="S20" s="3"/>
      <c r="T20" s="3"/>
      <c r="U20" s="3"/>
      <c r="V20" s="3"/>
      <c r="W20" s="3"/>
      <c r="X20" s="3"/>
      <c r="Y20" s="5"/>
      <c r="Z20" s="388"/>
      <c r="AA20" s="13"/>
      <c r="AB20" s="11"/>
      <c r="AC20" s="11"/>
      <c r="AD20" s="12"/>
      <c r="AE20" s="13"/>
      <c r="AF20" s="11"/>
      <c r="AG20" s="11"/>
      <c r="AH20" s="11"/>
      <c r="AI20" s="11"/>
      <c r="AJ20" s="11"/>
      <c r="AK20" s="11"/>
      <c r="AL20" s="11"/>
      <c r="AM20" s="11"/>
      <c r="AN20" s="11"/>
      <c r="AO20" s="11"/>
      <c r="AP20" s="11"/>
      <c r="AQ20" s="11"/>
      <c r="AR20" s="11"/>
      <c r="AS20" s="11"/>
      <c r="AT20" s="11"/>
      <c r="AU20" s="11"/>
      <c r="AV20" s="11"/>
      <c r="AW20" s="11"/>
      <c r="AX20" s="11"/>
      <c r="AY20" s="11"/>
      <c r="AZ20" s="12"/>
      <c r="BA20" s="388"/>
      <c r="BB20" s="402" t="s">
        <v>326</v>
      </c>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68"/>
    </row>
    <row r="21" ht="18.75" customHeight="1">
      <c r="A21" s="390" t="s">
        <v>319</v>
      </c>
      <c r="Q21" s="391" t="s">
        <v>271</v>
      </c>
      <c r="Y21" s="49"/>
      <c r="Z21" s="388"/>
      <c r="AA21" s="392" t="s">
        <v>319</v>
      </c>
      <c r="AB21" s="17"/>
      <c r="AC21" s="17"/>
      <c r="AD21" s="168"/>
      <c r="AE21" s="392" t="s">
        <v>327</v>
      </c>
      <c r="AF21" s="17"/>
      <c r="AG21" s="17"/>
      <c r="AH21" s="17"/>
      <c r="AI21" s="17"/>
      <c r="AJ21" s="17"/>
      <c r="AK21" s="17"/>
      <c r="AL21" s="17"/>
      <c r="AM21" s="17"/>
      <c r="AN21" s="17"/>
      <c r="AO21" s="17"/>
      <c r="AP21" s="17"/>
      <c r="AQ21" s="17"/>
      <c r="AR21" s="17"/>
      <c r="AS21" s="17"/>
      <c r="AT21" s="17"/>
      <c r="AU21" s="17"/>
      <c r="AV21" s="17"/>
      <c r="AW21" s="17"/>
      <c r="AX21" s="17"/>
      <c r="AY21" s="17"/>
      <c r="AZ21" s="168"/>
      <c r="BA21" s="388"/>
      <c r="BB21" s="403" t="s">
        <v>328</v>
      </c>
      <c r="BC21" s="3"/>
      <c r="BD21" s="3"/>
      <c r="BE21" s="3"/>
      <c r="BF21" s="3"/>
      <c r="BG21" s="3"/>
      <c r="BH21" s="3"/>
      <c r="BI21" s="3"/>
      <c r="BJ21" s="3"/>
      <c r="BK21" s="3"/>
      <c r="BL21" s="3"/>
      <c r="BM21" s="3"/>
      <c r="BN21" s="3"/>
      <c r="BO21" s="3"/>
      <c r="BP21" s="3"/>
      <c r="BQ21" s="5"/>
      <c r="BR21" s="392" t="s">
        <v>329</v>
      </c>
      <c r="BS21" s="17"/>
      <c r="BT21" s="17"/>
      <c r="BU21" s="17"/>
      <c r="BV21" s="168"/>
      <c r="BW21" s="404" t="s">
        <v>330</v>
      </c>
      <c r="BX21" s="17"/>
      <c r="BY21" s="17"/>
      <c r="BZ21" s="168"/>
    </row>
    <row r="22" ht="18.75" customHeight="1">
      <c r="A22" s="393" t="s">
        <v>331</v>
      </c>
      <c r="B22" s="11"/>
      <c r="C22" s="11"/>
      <c r="D22" s="11"/>
      <c r="E22" s="11"/>
      <c r="F22" s="11"/>
      <c r="G22" s="11"/>
      <c r="H22" s="11"/>
      <c r="I22" s="11"/>
      <c r="J22" s="11"/>
      <c r="K22" s="11"/>
      <c r="L22" s="11"/>
      <c r="M22" s="11"/>
      <c r="N22" s="11"/>
      <c r="O22" s="11"/>
      <c r="P22" s="12"/>
      <c r="Q22" s="393" t="s">
        <v>308</v>
      </c>
      <c r="R22" s="11"/>
      <c r="S22" s="11"/>
      <c r="T22" s="11"/>
      <c r="U22" s="11"/>
      <c r="V22" s="11"/>
      <c r="W22" s="11"/>
      <c r="X22" s="11"/>
      <c r="Y22" s="12"/>
      <c r="Z22" s="396"/>
      <c r="AA22" s="397"/>
      <c r="AB22" s="397"/>
      <c r="AC22" s="397"/>
      <c r="AD22" s="397"/>
      <c r="AE22" s="397"/>
      <c r="AF22" s="397"/>
      <c r="AG22" s="397"/>
      <c r="AH22" s="397"/>
      <c r="AI22" s="397"/>
      <c r="AJ22" s="397"/>
      <c r="AK22" s="397"/>
      <c r="AL22" s="397"/>
      <c r="AM22" s="397"/>
      <c r="AN22" s="397"/>
      <c r="AO22" s="397"/>
      <c r="AP22" s="397"/>
      <c r="AQ22" s="397"/>
      <c r="AR22" s="397"/>
      <c r="AS22" s="397"/>
      <c r="AT22" s="397"/>
      <c r="AU22" s="397"/>
      <c r="AV22" s="397"/>
      <c r="AW22" s="397"/>
      <c r="AX22" s="397"/>
      <c r="AY22" s="397"/>
      <c r="AZ22" s="397"/>
      <c r="BA22" s="401"/>
      <c r="BB22" s="13"/>
      <c r="BC22" s="11"/>
      <c r="BD22" s="11"/>
      <c r="BE22" s="11"/>
      <c r="BF22" s="11"/>
      <c r="BG22" s="11"/>
      <c r="BH22" s="11"/>
      <c r="BI22" s="11"/>
      <c r="BJ22" s="11"/>
      <c r="BK22" s="11"/>
      <c r="BL22" s="11"/>
      <c r="BM22" s="11"/>
      <c r="BN22" s="11"/>
      <c r="BO22" s="11"/>
      <c r="BP22" s="11"/>
      <c r="BQ22" s="12"/>
      <c r="BR22" s="392" t="s">
        <v>332</v>
      </c>
      <c r="BS22" s="17"/>
      <c r="BT22" s="17"/>
      <c r="BU22" s="17"/>
      <c r="BV22" s="168"/>
      <c r="BW22" s="404" t="s">
        <v>333</v>
      </c>
      <c r="BX22" s="17"/>
      <c r="BY22" s="17"/>
      <c r="BZ22" s="168"/>
    </row>
    <row r="23" ht="18.75" customHeight="1">
      <c r="A23" s="392" t="s">
        <v>334</v>
      </c>
      <c r="B23" s="17"/>
      <c r="C23" s="17"/>
      <c r="D23" s="17"/>
      <c r="E23" s="17"/>
      <c r="F23" s="17"/>
      <c r="G23" s="17"/>
      <c r="H23" s="17"/>
      <c r="I23" s="17"/>
      <c r="J23" s="17"/>
      <c r="K23" s="17"/>
      <c r="L23" s="17"/>
      <c r="M23" s="17"/>
      <c r="N23" s="17"/>
      <c r="O23" s="17"/>
      <c r="P23" s="168"/>
      <c r="Q23" s="392" t="s">
        <v>298</v>
      </c>
      <c r="R23" s="17"/>
      <c r="S23" s="17"/>
      <c r="T23" s="17"/>
      <c r="U23" s="17"/>
      <c r="V23" s="17"/>
      <c r="W23" s="17"/>
      <c r="X23" s="17"/>
      <c r="Y23" s="168"/>
      <c r="Z23" s="388"/>
      <c r="AA23" s="387" t="s">
        <v>335</v>
      </c>
      <c r="AB23" s="3"/>
      <c r="AC23" s="3"/>
      <c r="AD23" s="3"/>
      <c r="AE23" s="3"/>
      <c r="AF23" s="3"/>
      <c r="AG23" s="3"/>
      <c r="AH23" s="3"/>
      <c r="AI23" s="3"/>
      <c r="AJ23" s="3"/>
      <c r="AK23" s="3"/>
      <c r="AL23" s="3"/>
      <c r="AM23" s="3"/>
      <c r="AN23" s="3"/>
      <c r="AO23" s="3"/>
      <c r="AP23" s="3"/>
      <c r="AQ23" s="3"/>
      <c r="AR23" s="3"/>
      <c r="AS23" s="3"/>
      <c r="AT23" s="3"/>
      <c r="AU23" s="3"/>
      <c r="AV23" s="3"/>
      <c r="AW23" s="3"/>
      <c r="AX23" s="3"/>
      <c r="AY23" s="3"/>
      <c r="AZ23" s="5"/>
      <c r="BA23" s="396"/>
      <c r="BB23" s="397"/>
      <c r="BC23" s="397"/>
      <c r="BD23" s="397"/>
      <c r="BE23" s="397"/>
      <c r="BF23" s="397"/>
      <c r="BG23" s="397"/>
      <c r="BH23" s="397"/>
      <c r="BI23" s="397"/>
      <c r="BJ23" s="397"/>
      <c r="BK23" s="397"/>
      <c r="BL23" s="397"/>
      <c r="BM23" s="397"/>
      <c r="BN23" s="397"/>
      <c r="BO23" s="397"/>
      <c r="BP23" s="397"/>
      <c r="BQ23" s="397"/>
      <c r="BR23" s="397"/>
      <c r="BS23" s="397"/>
      <c r="BT23" s="397"/>
      <c r="BU23" s="397"/>
      <c r="BV23" s="397"/>
      <c r="BW23" s="397"/>
      <c r="BX23" s="397"/>
      <c r="BY23" s="397"/>
      <c r="BZ23" s="397"/>
    </row>
    <row r="24" ht="18.75" customHeight="1">
      <c r="A24" s="392" t="s">
        <v>336</v>
      </c>
      <c r="B24" s="17"/>
      <c r="C24" s="17"/>
      <c r="D24" s="17"/>
      <c r="E24" s="17"/>
      <c r="F24" s="17"/>
      <c r="G24" s="17"/>
      <c r="H24" s="17"/>
      <c r="I24" s="17"/>
      <c r="J24" s="17"/>
      <c r="K24" s="17"/>
      <c r="L24" s="17"/>
      <c r="M24" s="17"/>
      <c r="N24" s="17"/>
      <c r="O24" s="17"/>
      <c r="P24" s="168"/>
      <c r="Q24" s="392" t="s">
        <v>277</v>
      </c>
      <c r="R24" s="17"/>
      <c r="S24" s="17"/>
      <c r="T24" s="17"/>
      <c r="U24" s="17"/>
      <c r="V24" s="17"/>
      <c r="W24" s="17"/>
      <c r="X24" s="17"/>
      <c r="Y24" s="168"/>
      <c r="Z24" s="388"/>
      <c r="AA24" s="393" t="s">
        <v>337</v>
      </c>
      <c r="AB24" s="11"/>
      <c r="AC24" s="11"/>
      <c r="AD24" s="11"/>
      <c r="AE24" s="11"/>
      <c r="AF24" s="11"/>
      <c r="AG24" s="11"/>
      <c r="AH24" s="12"/>
      <c r="AI24" s="393" t="s">
        <v>338</v>
      </c>
      <c r="AJ24" s="11"/>
      <c r="AK24" s="11"/>
      <c r="AL24" s="11"/>
      <c r="AM24" s="11"/>
      <c r="AN24" s="11"/>
      <c r="AO24" s="11"/>
      <c r="AP24" s="11"/>
      <c r="AQ24" s="11"/>
      <c r="AR24" s="11"/>
      <c r="AS24" s="11"/>
      <c r="AT24" s="11"/>
      <c r="AU24" s="11"/>
      <c r="AV24" s="11"/>
      <c r="AW24" s="11"/>
      <c r="AX24" s="11"/>
      <c r="AY24" s="11"/>
      <c r="AZ24" s="12"/>
      <c r="BA24" s="388"/>
      <c r="BB24" s="387" t="s">
        <v>339</v>
      </c>
      <c r="BC24" s="3"/>
      <c r="BD24" s="3"/>
      <c r="BE24" s="3"/>
      <c r="BF24" s="3"/>
      <c r="BG24" s="3"/>
      <c r="BH24" s="3"/>
      <c r="BI24" s="3"/>
      <c r="BJ24" s="3"/>
      <c r="BK24" s="3"/>
      <c r="BL24" s="3"/>
      <c r="BM24" s="3"/>
      <c r="BN24" s="3"/>
      <c r="BO24" s="3"/>
      <c r="BP24" s="3"/>
      <c r="BQ24" s="3"/>
      <c r="BR24" s="3"/>
      <c r="BS24" s="3"/>
      <c r="BT24" s="3"/>
      <c r="BU24" s="3"/>
      <c r="BV24" s="3"/>
      <c r="BW24" s="3"/>
      <c r="BX24" s="3"/>
      <c r="BY24" s="3"/>
      <c r="BZ24" s="5"/>
    </row>
    <row r="25" ht="18.75" customHeight="1">
      <c r="A25" s="392" t="s">
        <v>340</v>
      </c>
      <c r="B25" s="17"/>
      <c r="C25" s="17"/>
      <c r="D25" s="17"/>
      <c r="E25" s="17"/>
      <c r="F25" s="17"/>
      <c r="G25" s="17"/>
      <c r="H25" s="17"/>
      <c r="I25" s="17"/>
      <c r="J25" s="17"/>
      <c r="K25" s="17"/>
      <c r="L25" s="17"/>
      <c r="M25" s="17"/>
      <c r="N25" s="17"/>
      <c r="O25" s="17"/>
      <c r="P25" s="168"/>
      <c r="Q25" s="392" t="s">
        <v>303</v>
      </c>
      <c r="R25" s="17"/>
      <c r="S25" s="17"/>
      <c r="T25" s="17"/>
      <c r="U25" s="17"/>
      <c r="V25" s="17"/>
      <c r="W25" s="17"/>
      <c r="X25" s="17"/>
      <c r="Y25" s="168"/>
      <c r="Z25" s="388"/>
      <c r="AA25" s="392" t="s">
        <v>341</v>
      </c>
      <c r="AB25" s="17"/>
      <c r="AC25" s="17"/>
      <c r="AD25" s="17"/>
      <c r="AE25" s="17"/>
      <c r="AF25" s="17"/>
      <c r="AG25" s="17"/>
      <c r="AH25" s="168"/>
      <c r="AI25" s="392" t="s">
        <v>342</v>
      </c>
      <c r="AJ25" s="17"/>
      <c r="AK25" s="17"/>
      <c r="AL25" s="17"/>
      <c r="AM25" s="17"/>
      <c r="AN25" s="17"/>
      <c r="AO25" s="17"/>
      <c r="AP25" s="17"/>
      <c r="AQ25" s="17"/>
      <c r="AR25" s="17"/>
      <c r="AS25" s="17"/>
      <c r="AT25" s="17"/>
      <c r="AU25" s="17"/>
      <c r="AV25" s="17"/>
      <c r="AW25" s="17"/>
      <c r="AX25" s="17"/>
      <c r="AY25" s="17"/>
      <c r="AZ25" s="168"/>
      <c r="BA25" s="388"/>
      <c r="BB25" s="393" t="s">
        <v>343</v>
      </c>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2"/>
    </row>
    <row r="26" ht="18.75" customHeight="1">
      <c r="A26" s="392" t="s">
        <v>344</v>
      </c>
      <c r="B26" s="17"/>
      <c r="C26" s="17"/>
      <c r="D26" s="17"/>
      <c r="E26" s="17"/>
      <c r="F26" s="17"/>
      <c r="G26" s="17"/>
      <c r="H26" s="17"/>
      <c r="I26" s="17"/>
      <c r="J26" s="17"/>
      <c r="K26" s="17"/>
      <c r="L26" s="17"/>
      <c r="M26" s="17"/>
      <c r="N26" s="17"/>
      <c r="O26" s="17"/>
      <c r="P26" s="168"/>
      <c r="Q26" s="392" t="s">
        <v>298</v>
      </c>
      <c r="R26" s="17"/>
      <c r="S26" s="17"/>
      <c r="T26" s="17"/>
      <c r="U26" s="17"/>
      <c r="V26" s="17"/>
      <c r="W26" s="17"/>
      <c r="X26" s="17"/>
      <c r="Y26" s="168"/>
      <c r="Z26" s="388"/>
      <c r="AA26" s="392" t="s">
        <v>345</v>
      </c>
      <c r="AB26" s="17"/>
      <c r="AC26" s="17"/>
      <c r="AD26" s="17"/>
      <c r="AE26" s="17"/>
      <c r="AF26" s="17"/>
      <c r="AG26" s="17"/>
      <c r="AH26" s="168"/>
      <c r="AI26" s="392" t="s">
        <v>346</v>
      </c>
      <c r="AJ26" s="17"/>
      <c r="AK26" s="17"/>
      <c r="AL26" s="17"/>
      <c r="AM26" s="17"/>
      <c r="AN26" s="17"/>
      <c r="AO26" s="17"/>
      <c r="AP26" s="17"/>
      <c r="AQ26" s="17"/>
      <c r="AR26" s="17"/>
      <c r="AS26" s="17"/>
      <c r="AT26" s="17"/>
      <c r="AU26" s="17"/>
      <c r="AV26" s="17"/>
      <c r="AW26" s="17"/>
      <c r="AX26" s="17"/>
      <c r="AY26" s="17"/>
      <c r="AZ26" s="168"/>
      <c r="BA26" s="396"/>
      <c r="BB26" s="397"/>
      <c r="BC26" s="397"/>
      <c r="BD26" s="397"/>
      <c r="BE26" s="397"/>
      <c r="BF26" s="397"/>
      <c r="BG26" s="397"/>
      <c r="BH26" s="397"/>
      <c r="BI26" s="397"/>
      <c r="BJ26" s="397"/>
      <c r="BK26" s="397"/>
      <c r="BL26" s="397"/>
      <c r="BM26" s="397"/>
      <c r="BN26" s="397"/>
      <c r="BO26" s="397"/>
      <c r="BP26" s="397"/>
      <c r="BQ26" s="397"/>
      <c r="BR26" s="397"/>
      <c r="BS26" s="397"/>
      <c r="BT26" s="397"/>
      <c r="BU26" s="397"/>
      <c r="BV26" s="397"/>
      <c r="BW26" s="397"/>
      <c r="BX26" s="397"/>
      <c r="BY26" s="397"/>
      <c r="BZ26" s="397"/>
    </row>
    <row r="27" ht="18.75" customHeight="1">
      <c r="A27" s="392" t="s">
        <v>347</v>
      </c>
      <c r="B27" s="17"/>
      <c r="C27" s="17"/>
      <c r="D27" s="17"/>
      <c r="E27" s="17"/>
      <c r="F27" s="17"/>
      <c r="G27" s="17"/>
      <c r="H27" s="17"/>
      <c r="I27" s="17"/>
      <c r="J27" s="17"/>
      <c r="K27" s="17"/>
      <c r="L27" s="17"/>
      <c r="M27" s="17"/>
      <c r="N27" s="17"/>
      <c r="O27" s="17"/>
      <c r="P27" s="168"/>
      <c r="Q27" s="392" t="s">
        <v>277</v>
      </c>
      <c r="R27" s="17"/>
      <c r="S27" s="17"/>
      <c r="T27" s="17"/>
      <c r="U27" s="17"/>
      <c r="V27" s="17"/>
      <c r="W27" s="17"/>
      <c r="X27" s="17"/>
      <c r="Y27" s="168"/>
      <c r="Z27" s="396"/>
      <c r="AA27" s="397"/>
      <c r="AB27" s="397"/>
      <c r="AC27" s="397"/>
      <c r="AD27" s="397"/>
      <c r="AE27" s="397"/>
      <c r="AF27" s="397"/>
      <c r="AG27" s="397"/>
      <c r="AH27" s="397"/>
      <c r="AI27" s="397"/>
      <c r="AJ27" s="397"/>
      <c r="AK27" s="397"/>
      <c r="AL27" s="397"/>
      <c r="AM27" s="397"/>
      <c r="AN27" s="397"/>
      <c r="AO27" s="397"/>
      <c r="AP27" s="397"/>
      <c r="AQ27" s="397"/>
      <c r="AR27" s="397"/>
      <c r="AS27" s="397"/>
      <c r="AT27" s="397"/>
      <c r="AU27" s="397"/>
      <c r="AV27" s="397"/>
      <c r="AW27" s="397"/>
      <c r="AX27" s="397"/>
      <c r="AY27" s="397"/>
      <c r="AZ27" s="397"/>
      <c r="BA27" s="401"/>
      <c r="BB27" s="387" t="s">
        <v>348</v>
      </c>
      <c r="BC27" s="3"/>
      <c r="BD27" s="3"/>
      <c r="BE27" s="3"/>
      <c r="BF27" s="3"/>
      <c r="BG27" s="3"/>
      <c r="BH27" s="3"/>
      <c r="BI27" s="3"/>
      <c r="BJ27" s="3"/>
      <c r="BK27" s="3"/>
      <c r="BL27" s="3"/>
      <c r="BM27" s="3"/>
      <c r="BN27" s="3"/>
      <c r="BO27" s="3"/>
      <c r="BP27" s="3"/>
      <c r="BQ27" s="3"/>
      <c r="BR27" s="3"/>
      <c r="BS27" s="3"/>
      <c r="BT27" s="3"/>
      <c r="BU27" s="3"/>
      <c r="BV27" s="3"/>
      <c r="BW27" s="3"/>
      <c r="BX27" s="3"/>
      <c r="BY27" s="3"/>
      <c r="BZ27" s="5"/>
    </row>
    <row r="28" ht="18.75" customHeight="1">
      <c r="A28" s="392" t="s">
        <v>349</v>
      </c>
      <c r="B28" s="17"/>
      <c r="C28" s="17"/>
      <c r="D28" s="17"/>
      <c r="E28" s="17"/>
      <c r="F28" s="17"/>
      <c r="G28" s="17"/>
      <c r="H28" s="17"/>
      <c r="I28" s="17"/>
      <c r="J28" s="17"/>
      <c r="K28" s="17"/>
      <c r="L28" s="17"/>
      <c r="M28" s="17"/>
      <c r="N28" s="17"/>
      <c r="O28" s="17"/>
      <c r="P28" s="168"/>
      <c r="Q28" s="392" t="s">
        <v>303</v>
      </c>
      <c r="R28" s="17"/>
      <c r="S28" s="17"/>
      <c r="T28" s="17"/>
      <c r="U28" s="17"/>
      <c r="V28" s="17"/>
      <c r="W28" s="17"/>
      <c r="X28" s="17"/>
      <c r="Y28" s="168"/>
      <c r="Z28" s="388"/>
      <c r="AA28" s="387" t="s">
        <v>350</v>
      </c>
      <c r="AB28" s="3"/>
      <c r="AC28" s="3"/>
      <c r="AD28" s="3"/>
      <c r="AE28" s="3"/>
      <c r="AF28" s="3"/>
      <c r="AG28" s="3"/>
      <c r="AH28" s="3"/>
      <c r="AI28" s="3"/>
      <c r="AJ28" s="3"/>
      <c r="AK28" s="3"/>
      <c r="AL28" s="3"/>
      <c r="AM28" s="3"/>
      <c r="AN28" s="3"/>
      <c r="AO28" s="3"/>
      <c r="AP28" s="3"/>
      <c r="AQ28" s="3"/>
      <c r="AR28" s="3"/>
      <c r="AS28" s="3"/>
      <c r="AT28" s="3"/>
      <c r="AU28" s="3"/>
      <c r="AV28" s="3"/>
      <c r="AW28" s="3"/>
      <c r="AX28" s="3"/>
      <c r="AY28" s="3"/>
      <c r="AZ28" s="5"/>
      <c r="BA28" s="388"/>
      <c r="BB28" s="390" t="s">
        <v>351</v>
      </c>
      <c r="BP28" s="391" t="s">
        <v>352</v>
      </c>
      <c r="BZ28" s="49"/>
    </row>
    <row r="29" ht="18.75" customHeight="1">
      <c r="A29" s="392" t="s">
        <v>353</v>
      </c>
      <c r="B29" s="17"/>
      <c r="C29" s="17"/>
      <c r="D29" s="17"/>
      <c r="E29" s="17"/>
      <c r="F29" s="17"/>
      <c r="G29" s="17"/>
      <c r="H29" s="17"/>
      <c r="I29" s="17"/>
      <c r="J29" s="17"/>
      <c r="K29" s="17"/>
      <c r="L29" s="17"/>
      <c r="M29" s="17"/>
      <c r="N29" s="17"/>
      <c r="O29" s="17"/>
      <c r="P29" s="168"/>
      <c r="Q29" s="392" t="s">
        <v>298</v>
      </c>
      <c r="R29" s="17"/>
      <c r="S29" s="17"/>
      <c r="T29" s="17"/>
      <c r="U29" s="17"/>
      <c r="V29" s="17"/>
      <c r="W29" s="17"/>
      <c r="X29" s="17"/>
      <c r="Y29" s="168"/>
      <c r="Z29" s="388"/>
      <c r="AA29" s="393" t="s">
        <v>354</v>
      </c>
      <c r="AB29" s="11"/>
      <c r="AC29" s="11"/>
      <c r="AD29" s="11"/>
      <c r="AE29" s="11"/>
      <c r="AF29" s="11"/>
      <c r="AG29" s="11"/>
      <c r="AH29" s="11"/>
      <c r="AI29" s="12"/>
      <c r="AJ29" s="393" t="s">
        <v>355</v>
      </c>
      <c r="AK29" s="11"/>
      <c r="AL29" s="11"/>
      <c r="AM29" s="11"/>
      <c r="AN29" s="11"/>
      <c r="AO29" s="11"/>
      <c r="AP29" s="11"/>
      <c r="AQ29" s="11"/>
      <c r="AR29" s="11"/>
      <c r="AS29" s="11"/>
      <c r="AT29" s="11"/>
      <c r="AU29" s="11"/>
      <c r="AV29" s="11"/>
      <c r="AW29" s="11"/>
      <c r="AX29" s="11"/>
      <c r="AY29" s="11"/>
      <c r="AZ29" s="12"/>
      <c r="BA29" s="388"/>
      <c r="BB29" s="393" t="s">
        <v>356</v>
      </c>
      <c r="BC29" s="11"/>
      <c r="BD29" s="11"/>
      <c r="BE29" s="11"/>
      <c r="BF29" s="11"/>
      <c r="BG29" s="11"/>
      <c r="BH29" s="11"/>
      <c r="BI29" s="11"/>
      <c r="BJ29" s="11"/>
      <c r="BK29" s="11"/>
      <c r="BL29" s="11"/>
      <c r="BM29" s="11"/>
      <c r="BN29" s="11"/>
      <c r="BO29" s="12"/>
      <c r="BP29" s="393" t="s">
        <v>357</v>
      </c>
      <c r="BQ29" s="11"/>
      <c r="BR29" s="11"/>
      <c r="BS29" s="11"/>
      <c r="BT29" s="11"/>
      <c r="BU29" s="11"/>
      <c r="BV29" s="11"/>
      <c r="BW29" s="11"/>
      <c r="BX29" s="11"/>
      <c r="BY29" s="11"/>
      <c r="BZ29" s="12"/>
    </row>
    <row r="30" ht="18.75" customHeight="1">
      <c r="A30" s="392" t="s">
        <v>358</v>
      </c>
      <c r="B30" s="17"/>
      <c r="C30" s="17"/>
      <c r="D30" s="17"/>
      <c r="E30" s="17"/>
      <c r="F30" s="17"/>
      <c r="G30" s="17"/>
      <c r="H30" s="17"/>
      <c r="I30" s="17"/>
      <c r="J30" s="17"/>
      <c r="K30" s="17"/>
      <c r="L30" s="17"/>
      <c r="M30" s="17"/>
      <c r="N30" s="17"/>
      <c r="O30" s="17"/>
      <c r="P30" s="168"/>
      <c r="Q30" s="392" t="s">
        <v>359</v>
      </c>
      <c r="R30" s="17"/>
      <c r="S30" s="17"/>
      <c r="T30" s="17"/>
      <c r="U30" s="17"/>
      <c r="V30" s="17"/>
      <c r="W30" s="17"/>
      <c r="X30" s="17"/>
      <c r="Y30" s="168"/>
      <c r="Z30" s="388"/>
      <c r="AA30" s="392" t="s">
        <v>360</v>
      </c>
      <c r="AB30" s="17"/>
      <c r="AC30" s="17"/>
      <c r="AD30" s="17"/>
      <c r="AE30" s="17"/>
      <c r="AF30" s="17"/>
      <c r="AG30" s="17"/>
      <c r="AH30" s="17"/>
      <c r="AI30" s="168"/>
      <c r="AJ30" s="392" t="s">
        <v>361</v>
      </c>
      <c r="AK30" s="17"/>
      <c r="AL30" s="17"/>
      <c r="AM30" s="17"/>
      <c r="AN30" s="17"/>
      <c r="AO30" s="17"/>
      <c r="AP30" s="17"/>
      <c r="AQ30" s="17"/>
      <c r="AR30" s="17"/>
      <c r="AS30" s="17"/>
      <c r="AT30" s="17"/>
      <c r="AU30" s="17"/>
      <c r="AV30" s="17"/>
      <c r="AW30" s="17"/>
      <c r="AX30" s="17"/>
      <c r="AY30" s="17"/>
      <c r="AZ30" s="168"/>
      <c r="BA30" s="388"/>
      <c r="BB30" s="392" t="s">
        <v>362</v>
      </c>
      <c r="BC30" s="17"/>
      <c r="BD30" s="17"/>
      <c r="BE30" s="17"/>
      <c r="BF30" s="17"/>
      <c r="BG30" s="17"/>
      <c r="BH30" s="17"/>
      <c r="BI30" s="17"/>
      <c r="BJ30" s="17"/>
      <c r="BK30" s="17"/>
      <c r="BL30" s="17"/>
      <c r="BM30" s="17"/>
      <c r="BN30" s="17"/>
      <c r="BO30" s="168"/>
      <c r="BP30" s="392" t="s">
        <v>363</v>
      </c>
      <c r="BQ30" s="17"/>
      <c r="BR30" s="17"/>
      <c r="BS30" s="17"/>
      <c r="BT30" s="17"/>
      <c r="BU30" s="17"/>
      <c r="BV30" s="17"/>
      <c r="BW30" s="17"/>
      <c r="BX30" s="17"/>
      <c r="BY30" s="17"/>
      <c r="BZ30" s="168"/>
    </row>
    <row r="31" ht="18.75" customHeight="1">
      <c r="A31" s="392" t="s">
        <v>364</v>
      </c>
      <c r="B31" s="17"/>
      <c r="C31" s="17"/>
      <c r="D31" s="17"/>
      <c r="E31" s="17"/>
      <c r="F31" s="17"/>
      <c r="G31" s="17"/>
      <c r="H31" s="17"/>
      <c r="I31" s="17"/>
      <c r="J31" s="17"/>
      <c r="K31" s="17"/>
      <c r="L31" s="17"/>
      <c r="M31" s="17"/>
      <c r="N31" s="17"/>
      <c r="O31" s="17"/>
      <c r="P31" s="168"/>
      <c r="Q31" s="392" t="s">
        <v>308</v>
      </c>
      <c r="R31" s="17"/>
      <c r="S31" s="17"/>
      <c r="T31" s="17"/>
      <c r="U31" s="17"/>
      <c r="V31" s="17"/>
      <c r="W31" s="17"/>
      <c r="X31" s="17"/>
      <c r="Y31" s="168"/>
      <c r="Z31" s="388"/>
      <c r="AA31" s="392" t="s">
        <v>365</v>
      </c>
      <c r="AB31" s="17"/>
      <c r="AC31" s="17"/>
      <c r="AD31" s="17"/>
      <c r="AE31" s="17"/>
      <c r="AF31" s="17"/>
      <c r="AG31" s="17"/>
      <c r="AH31" s="17"/>
      <c r="AI31" s="168"/>
      <c r="AJ31" s="392" t="s">
        <v>366</v>
      </c>
      <c r="AK31" s="17"/>
      <c r="AL31" s="17"/>
      <c r="AM31" s="17"/>
      <c r="AN31" s="17"/>
      <c r="AO31" s="17"/>
      <c r="AP31" s="17"/>
      <c r="AQ31" s="17"/>
      <c r="AR31" s="17"/>
      <c r="AS31" s="17"/>
      <c r="AT31" s="17"/>
      <c r="AU31" s="17"/>
      <c r="AV31" s="17"/>
      <c r="AW31" s="17"/>
      <c r="AX31" s="17"/>
      <c r="AY31" s="17"/>
      <c r="AZ31" s="168"/>
      <c r="BA31" s="388"/>
      <c r="BB31" s="392" t="s">
        <v>367</v>
      </c>
      <c r="BC31" s="17"/>
      <c r="BD31" s="17"/>
      <c r="BE31" s="17"/>
      <c r="BF31" s="17"/>
      <c r="BG31" s="17"/>
      <c r="BH31" s="17"/>
      <c r="BI31" s="17"/>
      <c r="BJ31" s="17"/>
      <c r="BK31" s="17"/>
      <c r="BL31" s="17"/>
      <c r="BM31" s="17"/>
      <c r="BN31" s="17"/>
      <c r="BO31" s="168"/>
      <c r="BP31" s="392" t="s">
        <v>368</v>
      </c>
      <c r="BQ31" s="17"/>
      <c r="BR31" s="17"/>
      <c r="BS31" s="17"/>
      <c r="BT31" s="17"/>
      <c r="BU31" s="17"/>
      <c r="BV31" s="17"/>
      <c r="BW31" s="17"/>
      <c r="BX31" s="17"/>
      <c r="BY31" s="17"/>
      <c r="BZ31" s="168"/>
    </row>
    <row r="32" ht="18.75" customHeight="1">
      <c r="A32" s="392" t="s">
        <v>369</v>
      </c>
      <c r="B32" s="17"/>
      <c r="C32" s="17"/>
      <c r="D32" s="17"/>
      <c r="E32" s="17"/>
      <c r="F32" s="17"/>
      <c r="G32" s="17"/>
      <c r="H32" s="17"/>
      <c r="I32" s="17"/>
      <c r="J32" s="17"/>
      <c r="K32" s="17"/>
      <c r="L32" s="17"/>
      <c r="M32" s="17"/>
      <c r="N32" s="17"/>
      <c r="O32" s="17"/>
      <c r="P32" s="168"/>
      <c r="Q32" s="392" t="s">
        <v>310</v>
      </c>
      <c r="R32" s="17"/>
      <c r="S32" s="17"/>
      <c r="T32" s="17"/>
      <c r="U32" s="17"/>
      <c r="V32" s="17"/>
      <c r="W32" s="17"/>
      <c r="X32" s="17"/>
      <c r="Y32" s="168"/>
      <c r="Z32" s="388"/>
      <c r="AA32" s="394" t="s">
        <v>370</v>
      </c>
      <c r="AB32" s="3"/>
      <c r="AC32" s="3"/>
      <c r="AD32" s="3"/>
      <c r="AE32" s="3"/>
      <c r="AF32" s="3"/>
      <c r="AG32" s="3"/>
      <c r="AH32" s="3"/>
      <c r="AI32" s="5"/>
      <c r="AJ32" s="395" t="s">
        <v>371</v>
      </c>
      <c r="AK32" s="3"/>
      <c r="AL32" s="3"/>
      <c r="AM32" s="3"/>
      <c r="AN32" s="3"/>
      <c r="AO32" s="3"/>
      <c r="AP32" s="3"/>
      <c r="AQ32" s="3"/>
      <c r="AR32" s="3"/>
      <c r="AS32" s="3"/>
      <c r="AT32" s="3"/>
      <c r="AU32" s="3"/>
      <c r="AV32" s="3"/>
      <c r="AW32" s="3"/>
      <c r="AX32" s="3"/>
      <c r="AY32" s="3"/>
      <c r="AZ32" s="5"/>
      <c r="BA32" s="396"/>
      <c r="BB32" s="397"/>
      <c r="BC32" s="397"/>
      <c r="BD32" s="397"/>
      <c r="BE32" s="397"/>
      <c r="BF32" s="397"/>
      <c r="BG32" s="397"/>
      <c r="BH32" s="397"/>
      <c r="BI32" s="397"/>
      <c r="BJ32" s="397"/>
      <c r="BK32" s="397"/>
      <c r="BL32" s="397"/>
      <c r="BM32" s="397"/>
      <c r="BN32" s="397"/>
      <c r="BO32" s="397"/>
      <c r="BP32" s="397"/>
      <c r="BQ32" s="397"/>
      <c r="BR32" s="397"/>
      <c r="BS32" s="397"/>
      <c r="BT32" s="397"/>
      <c r="BU32" s="397"/>
      <c r="BV32" s="397"/>
      <c r="BW32" s="397"/>
      <c r="BX32" s="397"/>
      <c r="BY32" s="397"/>
      <c r="BZ32" s="397"/>
    </row>
    <row r="33" ht="18.75" customHeight="1">
      <c r="A33" s="392" t="s">
        <v>372</v>
      </c>
      <c r="B33" s="17"/>
      <c r="C33" s="17"/>
      <c r="D33" s="17"/>
      <c r="E33" s="17"/>
      <c r="F33" s="17"/>
      <c r="G33" s="17"/>
      <c r="H33" s="17"/>
      <c r="I33" s="17"/>
      <c r="J33" s="17"/>
      <c r="K33" s="17"/>
      <c r="L33" s="17"/>
      <c r="M33" s="17"/>
      <c r="N33" s="17"/>
      <c r="O33" s="17"/>
      <c r="P33" s="168"/>
      <c r="Q33" s="392" t="s">
        <v>373</v>
      </c>
      <c r="R33" s="17"/>
      <c r="S33" s="17"/>
      <c r="T33" s="17"/>
      <c r="U33" s="17"/>
      <c r="V33" s="17"/>
      <c r="W33" s="17"/>
      <c r="X33" s="17"/>
      <c r="Y33" s="168"/>
      <c r="Z33" s="388"/>
      <c r="AA33" s="13"/>
      <c r="AB33" s="11"/>
      <c r="AC33" s="11"/>
      <c r="AD33" s="11"/>
      <c r="AE33" s="11"/>
      <c r="AF33" s="11"/>
      <c r="AG33" s="11"/>
      <c r="AH33" s="11"/>
      <c r="AI33" s="12"/>
      <c r="AJ33" s="13"/>
      <c r="AK33" s="11"/>
      <c r="AL33" s="11"/>
      <c r="AM33" s="11"/>
      <c r="AN33" s="11"/>
      <c r="AO33" s="11"/>
      <c r="AP33" s="11"/>
      <c r="AQ33" s="11"/>
      <c r="AR33" s="11"/>
      <c r="AS33" s="11"/>
      <c r="AT33" s="11"/>
      <c r="AU33" s="11"/>
      <c r="AV33" s="11"/>
      <c r="AW33" s="11"/>
      <c r="AX33" s="11"/>
      <c r="AY33" s="11"/>
      <c r="AZ33" s="12"/>
      <c r="BA33" s="388"/>
      <c r="BB33" s="387" t="s">
        <v>374</v>
      </c>
      <c r="BC33" s="3"/>
      <c r="BD33" s="3"/>
      <c r="BE33" s="3"/>
      <c r="BF33" s="3"/>
      <c r="BG33" s="3"/>
      <c r="BH33" s="3"/>
      <c r="BI33" s="3"/>
      <c r="BJ33" s="3"/>
      <c r="BK33" s="3"/>
      <c r="BL33" s="3"/>
      <c r="BM33" s="3"/>
      <c r="BN33" s="3"/>
      <c r="BO33" s="3"/>
      <c r="BP33" s="3"/>
      <c r="BQ33" s="3"/>
      <c r="BR33" s="3"/>
      <c r="BS33" s="3"/>
      <c r="BT33" s="3"/>
      <c r="BU33" s="3"/>
      <c r="BV33" s="3"/>
      <c r="BW33" s="3"/>
      <c r="BX33" s="3"/>
      <c r="BY33" s="3"/>
      <c r="BZ33" s="5"/>
    </row>
    <row r="34" ht="18.75" customHeight="1">
      <c r="A34" s="392" t="s">
        <v>375</v>
      </c>
      <c r="B34" s="17"/>
      <c r="C34" s="17"/>
      <c r="D34" s="17"/>
      <c r="E34" s="17"/>
      <c r="F34" s="17"/>
      <c r="G34" s="17"/>
      <c r="H34" s="17"/>
      <c r="I34" s="17"/>
      <c r="J34" s="17"/>
      <c r="K34" s="17"/>
      <c r="L34" s="17"/>
      <c r="M34" s="17"/>
      <c r="N34" s="17"/>
      <c r="O34" s="17"/>
      <c r="P34" s="168"/>
      <c r="Q34" s="392" t="s">
        <v>376</v>
      </c>
      <c r="R34" s="17"/>
      <c r="S34" s="17"/>
      <c r="T34" s="17"/>
      <c r="U34" s="17"/>
      <c r="V34" s="17"/>
      <c r="W34" s="17"/>
      <c r="X34" s="17"/>
      <c r="Y34" s="168"/>
      <c r="Z34" s="388"/>
      <c r="AA34" s="392" t="s">
        <v>377</v>
      </c>
      <c r="AB34" s="17"/>
      <c r="AC34" s="17"/>
      <c r="AD34" s="17"/>
      <c r="AE34" s="17"/>
      <c r="AF34" s="17"/>
      <c r="AG34" s="17"/>
      <c r="AH34" s="17"/>
      <c r="AI34" s="168"/>
      <c r="AJ34" s="392" t="s">
        <v>363</v>
      </c>
      <c r="AK34" s="17"/>
      <c r="AL34" s="17"/>
      <c r="AM34" s="17"/>
      <c r="AN34" s="17"/>
      <c r="AO34" s="17"/>
      <c r="AP34" s="17"/>
      <c r="AQ34" s="17"/>
      <c r="AR34" s="17"/>
      <c r="AS34" s="17"/>
      <c r="AT34" s="17"/>
      <c r="AU34" s="17"/>
      <c r="AV34" s="17"/>
      <c r="AW34" s="17"/>
      <c r="AX34" s="17"/>
      <c r="AY34" s="17"/>
      <c r="AZ34" s="168"/>
      <c r="BA34" s="388"/>
      <c r="BB34" s="390" t="s">
        <v>378</v>
      </c>
      <c r="BH34" s="391" t="s">
        <v>379</v>
      </c>
      <c r="BM34" s="391" t="s">
        <v>378</v>
      </c>
      <c r="BV34" s="391" t="s">
        <v>379</v>
      </c>
      <c r="BZ34" s="49"/>
    </row>
    <row r="35" ht="18.75" customHeight="1">
      <c r="A35" s="392" t="s">
        <v>380</v>
      </c>
      <c r="B35" s="17"/>
      <c r="C35" s="17"/>
      <c r="D35" s="17"/>
      <c r="E35" s="17"/>
      <c r="F35" s="17"/>
      <c r="G35" s="17"/>
      <c r="H35" s="17"/>
      <c r="I35" s="17"/>
      <c r="J35" s="17"/>
      <c r="K35" s="17"/>
      <c r="L35" s="17"/>
      <c r="M35" s="17"/>
      <c r="N35" s="17"/>
      <c r="O35" s="17"/>
      <c r="P35" s="168"/>
      <c r="Q35" s="392" t="s">
        <v>303</v>
      </c>
      <c r="R35" s="17"/>
      <c r="S35" s="17"/>
      <c r="T35" s="17"/>
      <c r="U35" s="17"/>
      <c r="V35" s="17"/>
      <c r="W35" s="17"/>
      <c r="X35" s="17"/>
      <c r="Y35" s="168"/>
      <c r="Z35" s="388"/>
      <c r="AA35" s="394" t="s">
        <v>381</v>
      </c>
      <c r="AB35" s="3"/>
      <c r="AC35" s="3"/>
      <c r="AD35" s="3"/>
      <c r="AE35" s="3"/>
      <c r="AF35" s="3"/>
      <c r="AG35" s="3"/>
      <c r="AH35" s="3"/>
      <c r="AI35" s="5"/>
      <c r="AJ35" s="395" t="s">
        <v>382</v>
      </c>
      <c r="AK35" s="3"/>
      <c r="AL35" s="3"/>
      <c r="AM35" s="3"/>
      <c r="AN35" s="3"/>
      <c r="AO35" s="3"/>
      <c r="AP35" s="3"/>
      <c r="AQ35" s="3"/>
      <c r="AR35" s="3"/>
      <c r="AS35" s="3"/>
      <c r="AT35" s="3"/>
      <c r="AU35" s="3"/>
      <c r="AV35" s="3"/>
      <c r="AW35" s="3"/>
      <c r="AX35" s="3"/>
      <c r="AY35" s="3"/>
      <c r="AZ35" s="5"/>
      <c r="BA35" s="388"/>
      <c r="BB35" s="393" t="s">
        <v>383</v>
      </c>
      <c r="BC35" s="11"/>
      <c r="BD35" s="11"/>
      <c r="BE35" s="11"/>
      <c r="BF35" s="11"/>
      <c r="BG35" s="12"/>
      <c r="BH35" s="393" t="s">
        <v>384</v>
      </c>
      <c r="BI35" s="11"/>
      <c r="BJ35" s="11"/>
      <c r="BK35" s="11"/>
      <c r="BL35" s="12"/>
      <c r="BM35" s="393" t="s">
        <v>385</v>
      </c>
      <c r="BN35" s="11"/>
      <c r="BO35" s="11"/>
      <c r="BP35" s="11"/>
      <c r="BQ35" s="11"/>
      <c r="BR35" s="11"/>
      <c r="BS35" s="11"/>
      <c r="BT35" s="11"/>
      <c r="BU35" s="12"/>
      <c r="BV35" s="393" t="s">
        <v>386</v>
      </c>
      <c r="BW35" s="11"/>
      <c r="BX35" s="11"/>
      <c r="BY35" s="11"/>
      <c r="BZ35" s="12"/>
    </row>
    <row r="36" ht="18.75" customHeight="1">
      <c r="A36" s="392" t="s">
        <v>387</v>
      </c>
      <c r="B36" s="17"/>
      <c r="C36" s="17"/>
      <c r="D36" s="17"/>
      <c r="E36" s="17"/>
      <c r="F36" s="17"/>
      <c r="G36" s="17"/>
      <c r="H36" s="17"/>
      <c r="I36" s="17"/>
      <c r="J36" s="17"/>
      <c r="K36" s="17"/>
      <c r="L36" s="17"/>
      <c r="M36" s="17"/>
      <c r="N36" s="17"/>
      <c r="O36" s="17"/>
      <c r="P36" s="168"/>
      <c r="Q36" s="392" t="s">
        <v>308</v>
      </c>
      <c r="R36" s="17"/>
      <c r="S36" s="17"/>
      <c r="T36" s="17"/>
      <c r="U36" s="17"/>
      <c r="V36" s="17"/>
      <c r="W36" s="17"/>
      <c r="X36" s="17"/>
      <c r="Y36" s="168"/>
      <c r="Z36" s="388"/>
      <c r="AA36" s="13"/>
      <c r="AB36" s="11"/>
      <c r="AC36" s="11"/>
      <c r="AD36" s="11"/>
      <c r="AE36" s="11"/>
      <c r="AF36" s="11"/>
      <c r="AG36" s="11"/>
      <c r="AH36" s="11"/>
      <c r="AI36" s="12"/>
      <c r="AJ36" s="13"/>
      <c r="AK36" s="11"/>
      <c r="AL36" s="11"/>
      <c r="AM36" s="11"/>
      <c r="AN36" s="11"/>
      <c r="AO36" s="11"/>
      <c r="AP36" s="11"/>
      <c r="AQ36" s="11"/>
      <c r="AR36" s="11"/>
      <c r="AS36" s="11"/>
      <c r="AT36" s="11"/>
      <c r="AU36" s="11"/>
      <c r="AV36" s="11"/>
      <c r="AW36" s="11"/>
      <c r="AX36" s="11"/>
      <c r="AY36" s="11"/>
      <c r="AZ36" s="12"/>
      <c r="BA36" s="388"/>
      <c r="BB36" s="392" t="s">
        <v>388</v>
      </c>
      <c r="BC36" s="17"/>
      <c r="BD36" s="17"/>
      <c r="BE36" s="17"/>
      <c r="BF36" s="17"/>
      <c r="BG36" s="168"/>
      <c r="BH36" s="392" t="s">
        <v>389</v>
      </c>
      <c r="BI36" s="17"/>
      <c r="BJ36" s="17"/>
      <c r="BK36" s="17"/>
      <c r="BL36" s="168"/>
      <c r="BM36" s="392" t="s">
        <v>390</v>
      </c>
      <c r="BN36" s="17"/>
      <c r="BO36" s="17"/>
      <c r="BP36" s="17"/>
      <c r="BQ36" s="17"/>
      <c r="BR36" s="17"/>
      <c r="BS36" s="17"/>
      <c r="BT36" s="17"/>
      <c r="BU36" s="168"/>
      <c r="BV36" s="392" t="s">
        <v>389</v>
      </c>
      <c r="BW36" s="17"/>
      <c r="BX36" s="17"/>
      <c r="BY36" s="17"/>
      <c r="BZ36" s="168"/>
    </row>
    <row r="37" ht="18.75" customHeight="1">
      <c r="A37" s="392" t="s">
        <v>391</v>
      </c>
      <c r="B37" s="17"/>
      <c r="C37" s="17"/>
      <c r="D37" s="17"/>
      <c r="E37" s="17"/>
      <c r="F37" s="17"/>
      <c r="G37" s="17"/>
      <c r="H37" s="17"/>
      <c r="I37" s="17"/>
      <c r="J37" s="17"/>
      <c r="K37" s="17"/>
      <c r="L37" s="17"/>
      <c r="M37" s="17"/>
      <c r="N37" s="17"/>
      <c r="O37" s="17"/>
      <c r="P37" s="168"/>
      <c r="Q37" s="392" t="s">
        <v>392</v>
      </c>
      <c r="R37" s="17"/>
      <c r="S37" s="17"/>
      <c r="T37" s="17"/>
      <c r="U37" s="17"/>
      <c r="V37" s="17"/>
      <c r="W37" s="17"/>
      <c r="X37" s="17"/>
      <c r="Y37" s="168"/>
      <c r="Z37" s="396"/>
      <c r="AA37" s="397"/>
      <c r="AB37" s="397"/>
      <c r="AC37" s="397"/>
      <c r="AD37" s="397"/>
      <c r="AE37" s="397"/>
      <c r="AF37" s="397"/>
      <c r="AG37" s="397"/>
      <c r="AH37" s="397"/>
      <c r="AI37" s="397"/>
      <c r="AJ37" s="397"/>
      <c r="AK37" s="397"/>
      <c r="AL37" s="397"/>
      <c r="AM37" s="397"/>
      <c r="AN37" s="397"/>
      <c r="AO37" s="397"/>
      <c r="AP37" s="397"/>
      <c r="AQ37" s="397"/>
      <c r="AR37" s="397"/>
      <c r="AS37" s="397"/>
      <c r="AT37" s="397"/>
      <c r="AU37" s="397"/>
      <c r="AV37" s="397"/>
      <c r="AW37" s="397"/>
      <c r="AX37" s="397"/>
      <c r="AY37" s="397"/>
      <c r="AZ37" s="397"/>
      <c r="BA37" s="401"/>
      <c r="BB37" s="392" t="s">
        <v>111</v>
      </c>
      <c r="BC37" s="17"/>
      <c r="BD37" s="17"/>
      <c r="BE37" s="17"/>
      <c r="BF37" s="17"/>
      <c r="BG37" s="168"/>
      <c r="BH37" s="392" t="s">
        <v>393</v>
      </c>
      <c r="BI37" s="17"/>
      <c r="BJ37" s="17"/>
      <c r="BK37" s="17"/>
      <c r="BL37" s="168"/>
      <c r="BM37" s="392" t="s">
        <v>394</v>
      </c>
      <c r="BN37" s="17"/>
      <c r="BO37" s="17"/>
      <c r="BP37" s="17"/>
      <c r="BQ37" s="17"/>
      <c r="BR37" s="17"/>
      <c r="BS37" s="17"/>
      <c r="BT37" s="17"/>
      <c r="BU37" s="168"/>
      <c r="BV37" s="392" t="s">
        <v>386</v>
      </c>
      <c r="BW37" s="17"/>
      <c r="BX37" s="17"/>
      <c r="BY37" s="17"/>
      <c r="BZ37" s="168"/>
    </row>
    <row r="38" ht="18.75" customHeight="1">
      <c r="A38" s="392" t="s">
        <v>395</v>
      </c>
      <c r="B38" s="17"/>
      <c r="C38" s="17"/>
      <c r="D38" s="17"/>
      <c r="E38" s="17"/>
      <c r="F38" s="17"/>
      <c r="G38" s="17"/>
      <c r="H38" s="17"/>
      <c r="I38" s="17"/>
      <c r="J38" s="17"/>
      <c r="K38" s="17"/>
      <c r="L38" s="17"/>
      <c r="M38" s="17"/>
      <c r="N38" s="17"/>
      <c r="O38" s="17"/>
      <c r="P38" s="168"/>
      <c r="Q38" s="392" t="s">
        <v>298</v>
      </c>
      <c r="R38" s="17"/>
      <c r="S38" s="17"/>
      <c r="T38" s="17"/>
      <c r="U38" s="17"/>
      <c r="V38" s="17"/>
      <c r="W38" s="17"/>
      <c r="X38" s="17"/>
      <c r="Y38" s="168"/>
      <c r="Z38" s="388"/>
      <c r="AA38" s="389" t="s">
        <v>396</v>
      </c>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68"/>
      <c r="BA38" s="388"/>
      <c r="BB38" s="392" t="s">
        <v>397</v>
      </c>
      <c r="BC38" s="17"/>
      <c r="BD38" s="17"/>
      <c r="BE38" s="17"/>
      <c r="BF38" s="17"/>
      <c r="BG38" s="168"/>
      <c r="BH38" s="392" t="s">
        <v>393</v>
      </c>
      <c r="BI38" s="17"/>
      <c r="BJ38" s="17"/>
      <c r="BK38" s="17"/>
      <c r="BL38" s="168"/>
      <c r="BM38" s="392" t="s">
        <v>398</v>
      </c>
      <c r="BN38" s="17"/>
      <c r="BO38" s="17"/>
      <c r="BP38" s="17"/>
      <c r="BQ38" s="17"/>
      <c r="BR38" s="17"/>
      <c r="BS38" s="17"/>
      <c r="BT38" s="17"/>
      <c r="BU38" s="168"/>
      <c r="BV38" s="392" t="s">
        <v>399</v>
      </c>
      <c r="BW38" s="17"/>
      <c r="BX38" s="17"/>
      <c r="BY38" s="17"/>
      <c r="BZ38" s="168"/>
    </row>
    <row r="39" ht="18.75" customHeight="1">
      <c r="A39" s="392" t="s">
        <v>400</v>
      </c>
      <c r="B39" s="17"/>
      <c r="C39" s="17"/>
      <c r="D39" s="17"/>
      <c r="E39" s="17"/>
      <c r="F39" s="17"/>
      <c r="G39" s="17"/>
      <c r="H39" s="17"/>
      <c r="I39" s="17"/>
      <c r="J39" s="17"/>
      <c r="K39" s="17"/>
      <c r="L39" s="17"/>
      <c r="M39" s="17"/>
      <c r="N39" s="17"/>
      <c r="O39" s="17"/>
      <c r="P39" s="168"/>
      <c r="Q39" s="392" t="s">
        <v>277</v>
      </c>
      <c r="R39" s="17"/>
      <c r="S39" s="17"/>
      <c r="T39" s="17"/>
      <c r="U39" s="17"/>
      <c r="V39" s="17"/>
      <c r="W39" s="17"/>
      <c r="X39" s="17"/>
      <c r="Y39" s="168"/>
      <c r="Z39" s="388"/>
      <c r="AA39" s="395" t="s">
        <v>401</v>
      </c>
      <c r="AB39" s="3"/>
      <c r="AC39" s="3"/>
      <c r="AD39" s="3"/>
      <c r="AE39" s="3"/>
      <c r="AF39" s="3"/>
      <c r="AG39" s="3"/>
      <c r="AH39" s="3"/>
      <c r="AI39" s="3"/>
      <c r="AJ39" s="3"/>
      <c r="AK39" s="3"/>
      <c r="AL39" s="3"/>
      <c r="AM39" s="3"/>
      <c r="AN39" s="3"/>
      <c r="AO39" s="3"/>
      <c r="AP39" s="3"/>
      <c r="AQ39" s="3"/>
      <c r="AR39" s="3"/>
      <c r="AS39" s="3"/>
      <c r="AT39" s="3"/>
      <c r="AU39" s="3"/>
      <c r="AV39" s="3"/>
      <c r="AW39" s="3"/>
      <c r="AX39" s="3"/>
      <c r="AY39" s="3"/>
      <c r="AZ39" s="5"/>
      <c r="BA39" s="388"/>
      <c r="BB39" s="392" t="s">
        <v>402</v>
      </c>
      <c r="BC39" s="17"/>
      <c r="BD39" s="17"/>
      <c r="BE39" s="17"/>
      <c r="BF39" s="17"/>
      <c r="BG39" s="168"/>
      <c r="BH39" s="392" t="s">
        <v>403</v>
      </c>
      <c r="BI39" s="17"/>
      <c r="BJ39" s="17"/>
      <c r="BK39" s="17"/>
      <c r="BL39" s="168"/>
      <c r="BM39" s="392" t="s">
        <v>404</v>
      </c>
      <c r="BN39" s="17"/>
      <c r="BO39" s="17"/>
      <c r="BP39" s="17"/>
      <c r="BQ39" s="17"/>
      <c r="BR39" s="17"/>
      <c r="BS39" s="17"/>
      <c r="BT39" s="17"/>
      <c r="BU39" s="168"/>
      <c r="BV39" s="392" t="s">
        <v>405</v>
      </c>
      <c r="BW39" s="17"/>
      <c r="BX39" s="17"/>
      <c r="BY39" s="17"/>
      <c r="BZ39" s="168"/>
    </row>
    <row r="40" ht="18.75" customHeight="1">
      <c r="A40" s="392" t="s">
        <v>406</v>
      </c>
      <c r="B40" s="17"/>
      <c r="C40" s="17"/>
      <c r="D40" s="17"/>
      <c r="E40" s="17"/>
      <c r="F40" s="17"/>
      <c r="G40" s="17"/>
      <c r="H40" s="17"/>
      <c r="I40" s="17"/>
      <c r="J40" s="17"/>
      <c r="K40" s="17"/>
      <c r="L40" s="17"/>
      <c r="M40" s="17"/>
      <c r="N40" s="17"/>
      <c r="O40" s="17"/>
      <c r="P40" s="168"/>
      <c r="Q40" s="392" t="s">
        <v>303</v>
      </c>
      <c r="R40" s="17"/>
      <c r="S40" s="17"/>
      <c r="T40" s="17"/>
      <c r="U40" s="17"/>
      <c r="V40" s="17"/>
      <c r="W40" s="17"/>
      <c r="X40" s="17"/>
      <c r="Y40" s="168"/>
      <c r="Z40" s="388"/>
      <c r="AA40" s="13"/>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2"/>
      <c r="BA40" s="388"/>
      <c r="BB40" s="392" t="s">
        <v>407</v>
      </c>
      <c r="BC40" s="17"/>
      <c r="BD40" s="17"/>
      <c r="BE40" s="17"/>
      <c r="BF40" s="17"/>
      <c r="BG40" s="168"/>
      <c r="BH40" s="392" t="s">
        <v>403</v>
      </c>
      <c r="BI40" s="17"/>
      <c r="BJ40" s="17"/>
      <c r="BK40" s="17"/>
      <c r="BL40" s="168"/>
      <c r="BM40" s="392" t="s">
        <v>408</v>
      </c>
      <c r="BN40" s="17"/>
      <c r="BO40" s="17"/>
      <c r="BP40" s="17"/>
      <c r="BQ40" s="17"/>
      <c r="BR40" s="17"/>
      <c r="BS40" s="17"/>
      <c r="BT40" s="17"/>
      <c r="BU40" s="168"/>
      <c r="BV40" s="392" t="s">
        <v>409</v>
      </c>
      <c r="BW40" s="17"/>
      <c r="BX40" s="17"/>
      <c r="BY40" s="17"/>
      <c r="BZ40" s="168"/>
    </row>
    <row r="41" ht="18.75" customHeight="1">
      <c r="A41" s="405"/>
      <c r="B41" s="405"/>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0"/>
      <c r="AA41" s="397"/>
      <c r="AB41" s="397"/>
      <c r="AC41" s="397"/>
      <c r="AD41" s="397"/>
      <c r="AE41" s="397"/>
      <c r="AF41" s="397"/>
      <c r="AG41" s="397"/>
      <c r="AH41" s="397"/>
      <c r="AI41" s="397"/>
      <c r="AJ41" s="397"/>
      <c r="AK41" s="397"/>
      <c r="AL41" s="397"/>
      <c r="AM41" s="397"/>
      <c r="AN41" s="397"/>
      <c r="AO41" s="397"/>
      <c r="AP41" s="397"/>
      <c r="AQ41" s="397"/>
      <c r="AR41" s="397"/>
      <c r="AS41" s="397"/>
      <c r="AT41" s="397"/>
      <c r="AU41" s="397"/>
      <c r="AV41" s="397"/>
      <c r="AW41" s="397"/>
      <c r="AX41" s="397"/>
      <c r="AY41" s="397"/>
      <c r="AZ41" s="397"/>
      <c r="BA41" s="406"/>
      <c r="BB41" s="397"/>
      <c r="BC41" s="397"/>
      <c r="BD41" s="397"/>
      <c r="BE41" s="397"/>
      <c r="BF41" s="397"/>
      <c r="BG41" s="397"/>
      <c r="BH41" s="397"/>
      <c r="BI41" s="397"/>
      <c r="BJ41" s="397"/>
      <c r="BK41" s="397"/>
      <c r="BL41" s="397"/>
      <c r="BM41" s="397"/>
      <c r="BN41" s="397"/>
      <c r="BO41" s="397"/>
      <c r="BP41" s="397"/>
      <c r="BQ41" s="397"/>
      <c r="BR41" s="397"/>
      <c r="BS41" s="397"/>
      <c r="BT41" s="397"/>
      <c r="BU41" s="397"/>
      <c r="BV41" s="397"/>
      <c r="BW41" s="397"/>
      <c r="BX41" s="397"/>
      <c r="BY41" s="397"/>
      <c r="BZ41" s="397"/>
    </row>
    <row r="42" ht="18.75" customHeight="1">
      <c r="A42" s="407" t="s">
        <v>410</v>
      </c>
      <c r="Z42" s="401"/>
      <c r="AA42" s="387" t="s">
        <v>411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5"/>
    </row>
    <row r="43" ht="18.75" customHeight="1">
      <c r="A43" s="393" t="s">
        <v>412</v>
      </c>
      <c r="B43" s="11"/>
      <c r="C43" s="11"/>
      <c r="D43" s="11"/>
      <c r="E43" s="11"/>
      <c r="F43" s="12"/>
      <c r="G43" s="393" t="s">
        <v>413</v>
      </c>
      <c r="H43" s="11"/>
      <c r="I43" s="11"/>
      <c r="J43" s="11"/>
      <c r="K43" s="11"/>
      <c r="L43" s="11"/>
      <c r="M43" s="11"/>
      <c r="N43" s="11"/>
      <c r="O43" s="11"/>
      <c r="P43" s="11"/>
      <c r="Q43" s="11"/>
      <c r="R43" s="11"/>
      <c r="S43" s="11"/>
      <c r="T43" s="11"/>
      <c r="U43" s="11"/>
      <c r="V43" s="11"/>
      <c r="W43" s="11"/>
      <c r="X43" s="11"/>
      <c r="Y43" s="12"/>
      <c r="Z43" s="388"/>
      <c r="AA43" s="393" t="s">
        <v>270</v>
      </c>
      <c r="AB43" s="11"/>
      <c r="AC43" s="11"/>
      <c r="AD43" s="11"/>
      <c r="AE43" s="11"/>
      <c r="AF43" s="12"/>
      <c r="AG43" s="393" t="s">
        <v>414</v>
      </c>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2"/>
    </row>
    <row r="44" ht="18.75" customHeight="1">
      <c r="A44" s="392" t="s">
        <v>415</v>
      </c>
      <c r="B44" s="17"/>
      <c r="C44" s="17"/>
      <c r="D44" s="17"/>
      <c r="E44" s="17"/>
      <c r="F44" s="168"/>
      <c r="G44" s="392" t="s">
        <v>416</v>
      </c>
      <c r="H44" s="17"/>
      <c r="I44" s="17"/>
      <c r="J44" s="17"/>
      <c r="K44" s="17"/>
      <c r="L44" s="17"/>
      <c r="M44" s="17"/>
      <c r="N44" s="17"/>
      <c r="O44" s="17"/>
      <c r="P44" s="17"/>
      <c r="Q44" s="17"/>
      <c r="R44" s="17"/>
      <c r="S44" s="17"/>
      <c r="T44" s="17"/>
      <c r="U44" s="17"/>
      <c r="V44" s="17"/>
      <c r="W44" s="17"/>
      <c r="X44" s="17"/>
      <c r="Y44" s="168"/>
      <c r="Z44" s="388"/>
      <c r="AA44" s="392" t="s">
        <v>295</v>
      </c>
      <c r="AB44" s="17"/>
      <c r="AC44" s="17"/>
      <c r="AD44" s="17"/>
      <c r="AE44" s="17"/>
      <c r="AF44" s="168"/>
      <c r="AG44" s="392" t="s">
        <v>417</v>
      </c>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68"/>
    </row>
    <row r="45" ht="18.75" customHeight="1">
      <c r="A45" s="394" t="s">
        <v>418</v>
      </c>
      <c r="B45" s="3"/>
      <c r="C45" s="3"/>
      <c r="D45" s="3"/>
      <c r="E45" s="3"/>
      <c r="F45" s="5"/>
      <c r="G45" s="395" t="s">
        <v>419</v>
      </c>
      <c r="H45" s="3"/>
      <c r="I45" s="3"/>
      <c r="J45" s="3"/>
      <c r="K45" s="3"/>
      <c r="L45" s="3"/>
      <c r="M45" s="3"/>
      <c r="N45" s="3"/>
      <c r="O45" s="3"/>
      <c r="P45" s="3"/>
      <c r="Q45" s="3"/>
      <c r="R45" s="3"/>
      <c r="S45" s="3"/>
      <c r="T45" s="3"/>
      <c r="U45" s="3"/>
      <c r="V45" s="3"/>
      <c r="W45" s="3"/>
      <c r="X45" s="3"/>
      <c r="Y45" s="5"/>
      <c r="Z45" s="388"/>
      <c r="AA45" s="392" t="s">
        <v>420</v>
      </c>
      <c r="AB45" s="17"/>
      <c r="AC45" s="17"/>
      <c r="AD45" s="17"/>
      <c r="AE45" s="17"/>
      <c r="AF45" s="168"/>
      <c r="AG45" s="392" t="s">
        <v>421</v>
      </c>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68"/>
    </row>
    <row r="46" ht="18.75" customHeight="1">
      <c r="A46" s="13"/>
      <c r="B46" s="11"/>
      <c r="C46" s="11"/>
      <c r="D46" s="11"/>
      <c r="E46" s="11"/>
      <c r="F46" s="12"/>
      <c r="G46" s="13"/>
      <c r="H46" s="11"/>
      <c r="I46" s="11"/>
      <c r="J46" s="11"/>
      <c r="K46" s="11"/>
      <c r="L46" s="11"/>
      <c r="M46" s="11"/>
      <c r="N46" s="11"/>
      <c r="O46" s="11"/>
      <c r="P46" s="11"/>
      <c r="Q46" s="11"/>
      <c r="R46" s="11"/>
      <c r="S46" s="11"/>
      <c r="T46" s="11"/>
      <c r="U46" s="11"/>
      <c r="V46" s="11"/>
      <c r="W46" s="11"/>
      <c r="X46" s="11"/>
      <c r="Y46" s="12"/>
      <c r="Z46" s="388"/>
      <c r="AA46" s="392" t="s">
        <v>422</v>
      </c>
      <c r="AB46" s="17"/>
      <c r="AC46" s="17"/>
      <c r="AD46" s="17"/>
      <c r="AE46" s="17"/>
      <c r="AF46" s="168"/>
      <c r="AG46" s="392" t="s">
        <v>423</v>
      </c>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68"/>
    </row>
    <row r="47" ht="18.75" customHeight="1">
      <c r="A47" s="405"/>
      <c r="B47" s="405"/>
      <c r="C47" s="405"/>
      <c r="D47" s="405"/>
      <c r="E47" s="405"/>
      <c r="F47" s="405"/>
      <c r="G47" s="405"/>
      <c r="H47" s="405"/>
      <c r="I47" s="405"/>
      <c r="J47" s="405"/>
      <c r="K47" s="405"/>
      <c r="L47" s="405"/>
      <c r="M47" s="405"/>
      <c r="N47" s="405"/>
      <c r="O47" s="405"/>
      <c r="P47" s="405"/>
      <c r="Q47" s="405"/>
      <c r="R47" s="405"/>
      <c r="S47" s="405"/>
      <c r="T47" s="405"/>
      <c r="U47" s="405"/>
      <c r="V47" s="405"/>
      <c r="W47" s="405"/>
      <c r="X47" s="405"/>
      <c r="Y47" s="405"/>
      <c r="Z47" s="400"/>
      <c r="AA47" s="397"/>
      <c r="AB47" s="397"/>
      <c r="AC47" s="397"/>
      <c r="AD47" s="397"/>
      <c r="AE47" s="397"/>
      <c r="AF47" s="397"/>
      <c r="AG47" s="397"/>
      <c r="AH47" s="397"/>
      <c r="AI47" s="397"/>
      <c r="AJ47" s="397"/>
      <c r="AK47" s="397"/>
      <c r="AL47" s="397"/>
      <c r="AM47" s="397"/>
      <c r="AN47" s="397"/>
      <c r="AO47" s="397"/>
      <c r="AP47" s="397"/>
      <c r="AQ47" s="397"/>
      <c r="AR47" s="397"/>
      <c r="AS47" s="397"/>
      <c r="AT47" s="397"/>
      <c r="AU47" s="397"/>
      <c r="AV47" s="397"/>
      <c r="AW47" s="397"/>
      <c r="AX47" s="397"/>
      <c r="AY47" s="397"/>
      <c r="AZ47" s="397"/>
      <c r="BA47" s="397"/>
      <c r="BB47" s="397"/>
      <c r="BC47" s="397"/>
      <c r="BD47" s="397"/>
      <c r="BE47" s="397"/>
      <c r="BF47" s="397"/>
      <c r="BG47" s="397"/>
      <c r="BH47" s="397"/>
      <c r="BI47" s="397"/>
      <c r="BJ47" s="397"/>
      <c r="BK47" s="397"/>
      <c r="BL47" s="397"/>
      <c r="BM47" s="397"/>
      <c r="BN47" s="397"/>
      <c r="BO47" s="397"/>
      <c r="BP47" s="397"/>
      <c r="BQ47" s="397"/>
      <c r="BR47" s="397"/>
      <c r="BS47" s="397"/>
      <c r="BT47" s="397"/>
      <c r="BU47" s="397"/>
      <c r="BV47" s="397"/>
      <c r="BW47" s="397"/>
      <c r="BX47" s="397"/>
      <c r="BY47" s="397"/>
      <c r="BZ47" s="397"/>
    </row>
    <row r="48" ht="18.75" customHeight="1">
      <c r="A48" s="408" t="s">
        <v>424</v>
      </c>
      <c r="B48" s="11"/>
      <c r="C48" s="11"/>
      <c r="D48" s="11"/>
      <c r="E48" s="11"/>
      <c r="F48" s="11"/>
      <c r="G48" s="11"/>
      <c r="H48" s="11"/>
      <c r="I48" s="11"/>
      <c r="J48" s="11"/>
      <c r="K48" s="11"/>
      <c r="L48" s="11"/>
      <c r="M48" s="11"/>
      <c r="N48" s="11"/>
      <c r="O48" s="11"/>
      <c r="P48" s="11"/>
      <c r="Q48" s="11"/>
      <c r="R48" s="11"/>
      <c r="S48" s="11"/>
      <c r="T48" s="11"/>
      <c r="U48" s="11"/>
      <c r="V48" s="11"/>
      <c r="W48" s="11"/>
      <c r="X48" s="11"/>
      <c r="Y48" s="11"/>
      <c r="Z48" s="401"/>
      <c r="AA48" s="387" t="s">
        <v>425</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5"/>
    </row>
    <row r="49" ht="18.75" customHeight="1">
      <c r="A49" s="395" t="s">
        <v>426</v>
      </c>
      <c r="B49" s="3"/>
      <c r="C49" s="3"/>
      <c r="D49" s="3"/>
      <c r="E49" s="3"/>
      <c r="F49" s="5"/>
      <c r="G49" s="403" t="s">
        <v>427</v>
      </c>
      <c r="H49" s="3"/>
      <c r="I49" s="3"/>
      <c r="J49" s="3"/>
      <c r="K49" s="3"/>
      <c r="L49" s="3"/>
      <c r="M49" s="3"/>
      <c r="N49" s="3"/>
      <c r="O49" s="3"/>
      <c r="P49" s="3"/>
      <c r="Q49" s="3"/>
      <c r="R49" s="3"/>
      <c r="S49" s="3"/>
      <c r="T49" s="3"/>
      <c r="U49" s="3"/>
      <c r="V49" s="3"/>
      <c r="W49" s="3"/>
      <c r="X49" s="3"/>
      <c r="Y49" s="5"/>
      <c r="Z49" s="388"/>
      <c r="AA49" s="393" t="s">
        <v>270</v>
      </c>
      <c r="AB49" s="11"/>
      <c r="AC49" s="11"/>
      <c r="AD49" s="11"/>
      <c r="AE49" s="11"/>
      <c r="AF49" s="12"/>
      <c r="AG49" s="393" t="s">
        <v>428</v>
      </c>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2"/>
    </row>
    <row r="50" ht="18.75" customHeight="1">
      <c r="A50" s="13"/>
      <c r="B50" s="11"/>
      <c r="C50" s="11"/>
      <c r="D50" s="11"/>
      <c r="E50" s="11"/>
      <c r="F50" s="12"/>
      <c r="G50" s="13"/>
      <c r="H50" s="11"/>
      <c r="I50" s="11"/>
      <c r="J50" s="11"/>
      <c r="K50" s="11"/>
      <c r="L50" s="11"/>
      <c r="M50" s="11"/>
      <c r="N50" s="11"/>
      <c r="O50" s="11"/>
      <c r="P50" s="11"/>
      <c r="Q50" s="11"/>
      <c r="R50" s="11"/>
      <c r="S50" s="11"/>
      <c r="T50" s="11"/>
      <c r="U50" s="11"/>
      <c r="V50" s="11"/>
      <c r="W50" s="11"/>
      <c r="X50" s="11"/>
      <c r="Y50" s="12"/>
      <c r="Z50" s="388"/>
      <c r="AA50" s="392" t="s">
        <v>429</v>
      </c>
      <c r="AB50" s="17"/>
      <c r="AC50" s="17"/>
      <c r="AD50" s="17"/>
      <c r="AE50" s="17"/>
      <c r="AF50" s="168"/>
      <c r="AG50" s="392" t="s">
        <v>430</v>
      </c>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68"/>
    </row>
    <row r="51" ht="18.75" customHeight="1">
      <c r="A51" s="395" t="s">
        <v>431</v>
      </c>
      <c r="B51" s="3"/>
      <c r="C51" s="3"/>
      <c r="D51" s="3"/>
      <c r="E51" s="3"/>
      <c r="F51" s="5"/>
      <c r="G51" s="395" t="s">
        <v>432</v>
      </c>
      <c r="H51" s="3"/>
      <c r="I51" s="3"/>
      <c r="J51" s="3"/>
      <c r="K51" s="3"/>
      <c r="L51" s="3"/>
      <c r="M51" s="3"/>
      <c r="N51" s="3"/>
      <c r="O51" s="3"/>
      <c r="P51" s="3"/>
      <c r="Q51" s="3"/>
      <c r="R51" s="3"/>
      <c r="S51" s="3"/>
      <c r="T51" s="3"/>
      <c r="U51" s="3"/>
      <c r="V51" s="3"/>
      <c r="W51" s="3"/>
      <c r="X51" s="3"/>
      <c r="Y51" s="5"/>
      <c r="Z51" s="388"/>
      <c r="AA51" s="392" t="s">
        <v>433</v>
      </c>
      <c r="AB51" s="17"/>
      <c r="AC51" s="17"/>
      <c r="AD51" s="17"/>
      <c r="AE51" s="17"/>
      <c r="AF51" s="168"/>
      <c r="AG51" s="392" t="s">
        <v>434</v>
      </c>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68"/>
    </row>
    <row r="52" ht="18.75" customHeight="1">
      <c r="A52" s="13"/>
      <c r="B52" s="11"/>
      <c r="C52" s="11"/>
      <c r="D52" s="11"/>
      <c r="E52" s="11"/>
      <c r="F52" s="12"/>
      <c r="G52" s="13"/>
      <c r="H52" s="11"/>
      <c r="I52" s="11"/>
      <c r="J52" s="11"/>
      <c r="K52" s="11"/>
      <c r="L52" s="11"/>
      <c r="M52" s="11"/>
      <c r="N52" s="11"/>
      <c r="O52" s="11"/>
      <c r="P52" s="11"/>
      <c r="Q52" s="11"/>
      <c r="R52" s="11"/>
      <c r="S52" s="11"/>
      <c r="T52" s="11"/>
      <c r="U52" s="11"/>
      <c r="V52" s="11"/>
      <c r="W52" s="11"/>
      <c r="X52" s="11"/>
      <c r="Y52" s="12"/>
      <c r="Z52" s="388"/>
      <c r="AA52" s="392" t="s">
        <v>435</v>
      </c>
      <c r="AB52" s="17"/>
      <c r="AC52" s="17"/>
      <c r="AD52" s="17"/>
      <c r="AE52" s="17"/>
      <c r="AF52" s="168"/>
      <c r="AG52" s="392" t="s">
        <v>436</v>
      </c>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68"/>
    </row>
  </sheetData>
  <mergeCells count="212">
    <mergeCell ref="A16:P16"/>
    <mergeCell ref="A17:P17"/>
    <mergeCell ref="A14:P14"/>
    <mergeCell ref="A15:P15"/>
    <mergeCell ref="Q15:Y15"/>
    <mergeCell ref="AE15:AZ15"/>
    <mergeCell ref="BB15:BZ18"/>
    <mergeCell ref="Q16:Y16"/>
    <mergeCell ref="AE16:AZ16"/>
    <mergeCell ref="AA18:AZ18"/>
    <mergeCell ref="A20:P20"/>
    <mergeCell ref="Q20:Y20"/>
    <mergeCell ref="BB20:BZ20"/>
    <mergeCell ref="Q17:Y17"/>
    <mergeCell ref="A18:P18"/>
    <mergeCell ref="Q18:Y18"/>
    <mergeCell ref="A19:P19"/>
    <mergeCell ref="Q19:Y19"/>
    <mergeCell ref="AA19:AD20"/>
    <mergeCell ref="AE19:AZ20"/>
    <mergeCell ref="BR22:BV22"/>
    <mergeCell ref="BW22:BZ22"/>
    <mergeCell ref="AA24:AH24"/>
    <mergeCell ref="AI24:AZ24"/>
    <mergeCell ref="BB24:BZ24"/>
    <mergeCell ref="AJ32:AZ33"/>
    <mergeCell ref="BB33:BZ33"/>
    <mergeCell ref="AJ34:AZ34"/>
    <mergeCell ref="BB34:BG34"/>
    <mergeCell ref="BH34:BL34"/>
    <mergeCell ref="BM34:BU34"/>
    <mergeCell ref="BV34:BZ34"/>
    <mergeCell ref="AA30:AI30"/>
    <mergeCell ref="AA31:AI31"/>
    <mergeCell ref="A32:P32"/>
    <mergeCell ref="Q32:Y32"/>
    <mergeCell ref="AA32:AI33"/>
    <mergeCell ref="A33:P33"/>
    <mergeCell ref="Q33:Y33"/>
    <mergeCell ref="BB35:BG35"/>
    <mergeCell ref="BH35:BL35"/>
    <mergeCell ref="BM35:BU35"/>
    <mergeCell ref="BV35:BZ35"/>
    <mergeCell ref="BB36:BG36"/>
    <mergeCell ref="BH36:BL36"/>
    <mergeCell ref="BM36:BU36"/>
    <mergeCell ref="BV36:BZ36"/>
    <mergeCell ref="BB37:BG37"/>
    <mergeCell ref="BH37:BL37"/>
    <mergeCell ref="BM37:BU37"/>
    <mergeCell ref="BV37:BZ37"/>
    <mergeCell ref="A34:P34"/>
    <mergeCell ref="Q34:Y34"/>
    <mergeCell ref="AA34:AI34"/>
    <mergeCell ref="A35:P35"/>
    <mergeCell ref="Q35:Y35"/>
    <mergeCell ref="AA35:AI36"/>
    <mergeCell ref="AJ35:AZ36"/>
    <mergeCell ref="BB38:BG38"/>
    <mergeCell ref="BH38:BL38"/>
    <mergeCell ref="BM38:BU38"/>
    <mergeCell ref="BV38:BZ38"/>
    <mergeCell ref="A36:P36"/>
    <mergeCell ref="Q36:Y36"/>
    <mergeCell ref="A37:P37"/>
    <mergeCell ref="Q37:Y37"/>
    <mergeCell ref="A38:P38"/>
    <mergeCell ref="Q38:Y38"/>
    <mergeCell ref="AA38:AZ38"/>
    <mergeCell ref="BB40:BG40"/>
    <mergeCell ref="BH40:BL40"/>
    <mergeCell ref="BM40:BU40"/>
    <mergeCell ref="BV40:BZ40"/>
    <mergeCell ref="Q9:Y9"/>
    <mergeCell ref="AA9:AZ9"/>
    <mergeCell ref="A10:P10"/>
    <mergeCell ref="Q10:Y10"/>
    <mergeCell ref="AA10:AZ12"/>
    <mergeCell ref="BB10:BZ12"/>
    <mergeCell ref="Q11:Y11"/>
    <mergeCell ref="Q12:Y12"/>
    <mergeCell ref="A11:P11"/>
    <mergeCell ref="A12:P12"/>
    <mergeCell ref="A13:P13"/>
    <mergeCell ref="Q13:Y13"/>
    <mergeCell ref="Q14:Y14"/>
    <mergeCell ref="AA14:AZ14"/>
    <mergeCell ref="BB14:BZ14"/>
    <mergeCell ref="BB2:BE2"/>
    <mergeCell ref="BF2:BZ2"/>
    <mergeCell ref="A1:Y1"/>
    <mergeCell ref="AA1:AZ1"/>
    <mergeCell ref="BB1:BZ1"/>
    <mergeCell ref="A2:P2"/>
    <mergeCell ref="Q2:Y2"/>
    <mergeCell ref="AA2:AI2"/>
    <mergeCell ref="AJ2:AZ2"/>
    <mergeCell ref="AA3:AI3"/>
    <mergeCell ref="AA4:AI5"/>
    <mergeCell ref="AJ4:AZ5"/>
    <mergeCell ref="AA6:AI7"/>
    <mergeCell ref="AJ6:AZ7"/>
    <mergeCell ref="A3:P3"/>
    <mergeCell ref="Q3:Y3"/>
    <mergeCell ref="AJ3:AZ3"/>
    <mergeCell ref="BB3:BE3"/>
    <mergeCell ref="BF3:BZ3"/>
    <mergeCell ref="A4:P4"/>
    <mergeCell ref="Q4:Y4"/>
    <mergeCell ref="A5:P5"/>
    <mergeCell ref="Q5:Y5"/>
    <mergeCell ref="BB5:BZ5"/>
    <mergeCell ref="A6:P6"/>
    <mergeCell ref="Q6:Y6"/>
    <mergeCell ref="BB6:BG6"/>
    <mergeCell ref="BH6:BZ6"/>
    <mergeCell ref="A7:P7"/>
    <mergeCell ref="Q7:Y7"/>
    <mergeCell ref="BB7:BG7"/>
    <mergeCell ref="BH7:BZ7"/>
    <mergeCell ref="A8:P8"/>
    <mergeCell ref="Q8:Y8"/>
    <mergeCell ref="A9:P9"/>
    <mergeCell ref="BB9:BZ9"/>
    <mergeCell ref="AA15:AD15"/>
    <mergeCell ref="AA16:AD16"/>
    <mergeCell ref="A21:P21"/>
    <mergeCell ref="Q21:Y21"/>
    <mergeCell ref="AA21:AD21"/>
    <mergeCell ref="AE21:AZ21"/>
    <mergeCell ref="BB21:BQ22"/>
    <mergeCell ref="BR21:BV21"/>
    <mergeCell ref="BW21:BZ21"/>
    <mergeCell ref="A22:P22"/>
    <mergeCell ref="Q22:Y22"/>
    <mergeCell ref="A23:P23"/>
    <mergeCell ref="Q23:Y23"/>
    <mergeCell ref="AA23:AZ23"/>
    <mergeCell ref="A24:P24"/>
    <mergeCell ref="Q24:Y24"/>
    <mergeCell ref="AA26:AH26"/>
    <mergeCell ref="AI26:AZ26"/>
    <mergeCell ref="A25:P25"/>
    <mergeCell ref="Q25:Y25"/>
    <mergeCell ref="AA25:AH25"/>
    <mergeCell ref="AI25:AZ25"/>
    <mergeCell ref="BB25:BZ25"/>
    <mergeCell ref="A26:P26"/>
    <mergeCell ref="Q26:Y26"/>
    <mergeCell ref="A27:P27"/>
    <mergeCell ref="Q27:Y27"/>
    <mergeCell ref="BB27:BZ27"/>
    <mergeCell ref="Q28:Y28"/>
    <mergeCell ref="AA28:AZ28"/>
    <mergeCell ref="BB28:BO28"/>
    <mergeCell ref="BP28:BZ28"/>
    <mergeCell ref="A28:P28"/>
    <mergeCell ref="A29:P29"/>
    <mergeCell ref="Q29:Y29"/>
    <mergeCell ref="AA29:AI29"/>
    <mergeCell ref="AJ29:AZ29"/>
    <mergeCell ref="BB29:BO29"/>
    <mergeCell ref="BP29:BZ29"/>
    <mergeCell ref="BB30:BO30"/>
    <mergeCell ref="BB31:BO31"/>
    <mergeCell ref="A30:P30"/>
    <mergeCell ref="Q30:Y30"/>
    <mergeCell ref="AJ30:AZ30"/>
    <mergeCell ref="BP30:BZ30"/>
    <mergeCell ref="A31:P31"/>
    <mergeCell ref="Q31:Y31"/>
    <mergeCell ref="AJ31:AZ31"/>
    <mergeCell ref="BP31:BZ31"/>
    <mergeCell ref="A39:P39"/>
    <mergeCell ref="Q39:Y39"/>
    <mergeCell ref="AA39:AZ40"/>
    <mergeCell ref="BB39:BG39"/>
    <mergeCell ref="BH39:BL39"/>
    <mergeCell ref="BM39:BU39"/>
    <mergeCell ref="BV39:BZ39"/>
    <mergeCell ref="AA43:AF43"/>
    <mergeCell ref="AA44:AF44"/>
    <mergeCell ref="AA45:AF45"/>
    <mergeCell ref="AA46:AF46"/>
    <mergeCell ref="AA49:AF49"/>
    <mergeCell ref="AA50:AF50"/>
    <mergeCell ref="AA51:AF51"/>
    <mergeCell ref="AA52:AF52"/>
    <mergeCell ref="A45:F46"/>
    <mergeCell ref="G45:Y46"/>
    <mergeCell ref="A48:Y48"/>
    <mergeCell ref="A49:F50"/>
    <mergeCell ref="G49:Y50"/>
    <mergeCell ref="A51:F52"/>
    <mergeCell ref="G51:Y52"/>
    <mergeCell ref="A40:P40"/>
    <mergeCell ref="Q40:Y40"/>
    <mergeCell ref="A42:Y42"/>
    <mergeCell ref="A43:F43"/>
    <mergeCell ref="G43:Y43"/>
    <mergeCell ref="A44:F44"/>
    <mergeCell ref="G44:Y44"/>
    <mergeCell ref="AG50:BZ50"/>
    <mergeCell ref="AG51:BZ51"/>
    <mergeCell ref="AG52:BZ52"/>
    <mergeCell ref="AA42:BZ42"/>
    <mergeCell ref="AG43:BZ43"/>
    <mergeCell ref="AG44:BZ44"/>
    <mergeCell ref="AG45:BZ45"/>
    <mergeCell ref="AG46:BZ46"/>
    <mergeCell ref="AA48:BZ48"/>
    <mergeCell ref="AG49:BZ4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78" width="2.63"/>
  </cols>
  <sheetData>
    <row r="1" ht="18.75" customHeight="1">
      <c r="A1" s="387" t="s">
        <v>437</v>
      </c>
      <c r="B1" s="3"/>
      <c r="C1" s="3"/>
      <c r="D1" s="3"/>
      <c r="E1" s="3"/>
      <c r="F1" s="3"/>
      <c r="G1" s="3"/>
      <c r="H1" s="3"/>
      <c r="I1" s="3"/>
      <c r="J1" s="3"/>
      <c r="K1" s="3"/>
      <c r="L1" s="3"/>
      <c r="M1" s="3"/>
      <c r="N1" s="3"/>
      <c r="O1" s="3"/>
      <c r="P1" s="3"/>
      <c r="Q1" s="3"/>
      <c r="R1" s="3"/>
      <c r="S1" s="5"/>
      <c r="T1" s="388"/>
      <c r="U1" s="387" t="s">
        <v>438</v>
      </c>
      <c r="V1" s="3"/>
      <c r="W1" s="3"/>
      <c r="X1" s="3"/>
      <c r="Y1" s="3"/>
      <c r="Z1" s="3"/>
      <c r="AA1" s="3"/>
      <c r="AB1" s="3"/>
      <c r="AC1" s="3"/>
      <c r="AD1" s="3"/>
      <c r="AE1" s="3"/>
      <c r="AF1" s="3"/>
      <c r="AG1" s="3"/>
      <c r="AH1" s="3"/>
      <c r="AI1" s="3"/>
      <c r="AJ1" s="3"/>
      <c r="AK1" s="3"/>
      <c r="AL1" s="3"/>
      <c r="AM1" s="3"/>
      <c r="AN1" s="3"/>
      <c r="AO1" s="3"/>
      <c r="AP1" s="3"/>
      <c r="AQ1" s="3"/>
      <c r="AR1" s="5"/>
      <c r="AS1" s="388"/>
      <c r="AT1" s="387" t="s">
        <v>439</v>
      </c>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5"/>
    </row>
    <row r="2" ht="18.75" customHeight="1">
      <c r="A2" s="393" t="s">
        <v>440</v>
      </c>
      <c r="B2" s="11"/>
      <c r="C2" s="11"/>
      <c r="D2" s="11"/>
      <c r="E2" s="11"/>
      <c r="F2" s="11"/>
      <c r="G2" s="11"/>
      <c r="H2" s="11"/>
      <c r="I2" s="11"/>
      <c r="J2" s="11"/>
      <c r="K2" s="11"/>
      <c r="L2" s="11"/>
      <c r="M2" s="11"/>
      <c r="N2" s="11"/>
      <c r="O2" s="11"/>
      <c r="P2" s="11"/>
      <c r="Q2" s="11"/>
      <c r="R2" s="11"/>
      <c r="S2" s="12"/>
      <c r="T2" s="388"/>
      <c r="U2" s="393" t="s">
        <v>441</v>
      </c>
      <c r="V2" s="11"/>
      <c r="W2" s="11"/>
      <c r="X2" s="11"/>
      <c r="Y2" s="11"/>
      <c r="Z2" s="11"/>
      <c r="AA2" s="11"/>
      <c r="AB2" s="11"/>
      <c r="AC2" s="11"/>
      <c r="AD2" s="11"/>
      <c r="AE2" s="11"/>
      <c r="AF2" s="11"/>
      <c r="AG2" s="11"/>
      <c r="AH2" s="11"/>
      <c r="AI2" s="11"/>
      <c r="AJ2" s="11"/>
      <c r="AK2" s="11"/>
      <c r="AL2" s="11"/>
      <c r="AM2" s="11"/>
      <c r="AN2" s="11"/>
      <c r="AO2" s="11"/>
      <c r="AP2" s="11"/>
      <c r="AQ2" s="11"/>
      <c r="AR2" s="12"/>
      <c r="AS2" s="388"/>
      <c r="AT2" s="390" t="s">
        <v>442</v>
      </c>
      <c r="BA2" s="391" t="s">
        <v>443</v>
      </c>
      <c r="BE2" s="391" t="s">
        <v>444</v>
      </c>
      <c r="BM2" s="391" t="s">
        <v>445</v>
      </c>
      <c r="BZ2" s="49"/>
    </row>
    <row r="3" ht="18.75" customHeight="1">
      <c r="A3" s="392" t="s">
        <v>446</v>
      </c>
      <c r="B3" s="17"/>
      <c r="C3" s="17"/>
      <c r="D3" s="17"/>
      <c r="E3" s="17"/>
      <c r="F3" s="17"/>
      <c r="G3" s="17"/>
      <c r="H3" s="17"/>
      <c r="I3" s="17"/>
      <c r="J3" s="17"/>
      <c r="K3" s="17"/>
      <c r="L3" s="17"/>
      <c r="M3" s="17"/>
      <c r="N3" s="17"/>
      <c r="O3" s="17"/>
      <c r="P3" s="17"/>
      <c r="Q3" s="17"/>
      <c r="R3" s="17"/>
      <c r="S3" s="168"/>
      <c r="T3" s="396"/>
      <c r="U3" s="397"/>
      <c r="V3" s="397"/>
      <c r="W3" s="397"/>
      <c r="X3" s="397"/>
      <c r="Y3" s="397"/>
      <c r="Z3" s="397"/>
      <c r="AA3" s="397"/>
      <c r="AB3" s="397"/>
      <c r="AC3" s="397"/>
      <c r="AD3" s="397"/>
      <c r="AE3" s="397"/>
      <c r="AF3" s="397"/>
      <c r="AG3" s="397"/>
      <c r="AH3" s="397"/>
      <c r="AI3" s="397"/>
      <c r="AJ3" s="397"/>
      <c r="AK3" s="397"/>
      <c r="AL3" s="397"/>
      <c r="AM3" s="397"/>
      <c r="AN3" s="397"/>
      <c r="AO3" s="397"/>
      <c r="AP3" s="397"/>
      <c r="AQ3" s="397"/>
      <c r="AR3" s="397"/>
      <c r="AS3" s="401"/>
      <c r="AT3" s="393" t="s">
        <v>447</v>
      </c>
      <c r="AU3" s="11"/>
      <c r="AV3" s="11"/>
      <c r="AW3" s="11"/>
      <c r="AX3" s="11"/>
      <c r="AY3" s="11"/>
      <c r="AZ3" s="12"/>
      <c r="BA3" s="393" t="s">
        <v>448</v>
      </c>
      <c r="BB3" s="11"/>
      <c r="BC3" s="11"/>
      <c r="BD3" s="12"/>
      <c r="BE3" s="393" t="s">
        <v>449</v>
      </c>
      <c r="BF3" s="11"/>
      <c r="BG3" s="11"/>
      <c r="BH3" s="11"/>
      <c r="BI3" s="11"/>
      <c r="BJ3" s="11"/>
      <c r="BK3" s="11"/>
      <c r="BL3" s="12"/>
      <c r="BM3" s="409"/>
      <c r="BN3" s="11"/>
      <c r="BO3" s="11"/>
      <c r="BP3" s="11"/>
      <c r="BQ3" s="11"/>
      <c r="BR3" s="11"/>
      <c r="BS3" s="11"/>
      <c r="BT3" s="11"/>
      <c r="BU3" s="11"/>
      <c r="BV3" s="11"/>
      <c r="BW3" s="11"/>
      <c r="BX3" s="11"/>
      <c r="BY3" s="11"/>
      <c r="BZ3" s="12"/>
    </row>
    <row r="4" ht="18.75" customHeight="1">
      <c r="A4" s="392" t="s">
        <v>450</v>
      </c>
      <c r="B4" s="17"/>
      <c r="C4" s="17"/>
      <c r="D4" s="17"/>
      <c r="E4" s="17"/>
      <c r="F4" s="17"/>
      <c r="G4" s="17"/>
      <c r="H4" s="17"/>
      <c r="I4" s="17"/>
      <c r="J4" s="17"/>
      <c r="K4" s="17"/>
      <c r="L4" s="17"/>
      <c r="M4" s="17"/>
      <c r="N4" s="17"/>
      <c r="O4" s="17"/>
      <c r="P4" s="17"/>
      <c r="Q4" s="17"/>
      <c r="R4" s="17"/>
      <c r="S4" s="168"/>
      <c r="T4" s="388"/>
      <c r="U4" s="387" t="s">
        <v>451</v>
      </c>
      <c r="V4" s="3"/>
      <c r="W4" s="3"/>
      <c r="X4" s="3"/>
      <c r="Y4" s="3"/>
      <c r="Z4" s="3"/>
      <c r="AA4" s="3"/>
      <c r="AB4" s="3"/>
      <c r="AC4" s="3"/>
      <c r="AD4" s="3"/>
      <c r="AE4" s="3"/>
      <c r="AF4" s="3"/>
      <c r="AG4" s="3"/>
      <c r="AH4" s="3"/>
      <c r="AI4" s="3"/>
      <c r="AJ4" s="3"/>
      <c r="AK4" s="3"/>
      <c r="AL4" s="3"/>
      <c r="AM4" s="3"/>
      <c r="AN4" s="3"/>
      <c r="AO4" s="3"/>
      <c r="AP4" s="3"/>
      <c r="AQ4" s="3"/>
      <c r="AR4" s="5"/>
      <c r="AS4" s="388"/>
      <c r="AT4" s="392" t="s">
        <v>452</v>
      </c>
      <c r="AU4" s="17"/>
      <c r="AV4" s="17"/>
      <c r="AW4" s="17"/>
      <c r="AX4" s="17"/>
      <c r="AY4" s="17"/>
      <c r="AZ4" s="168"/>
      <c r="BA4" s="392" t="s">
        <v>448</v>
      </c>
      <c r="BB4" s="17"/>
      <c r="BC4" s="17"/>
      <c r="BD4" s="168"/>
      <c r="BE4" s="392" t="s">
        <v>453</v>
      </c>
      <c r="BF4" s="17"/>
      <c r="BG4" s="17"/>
      <c r="BH4" s="17"/>
      <c r="BI4" s="17"/>
      <c r="BJ4" s="17"/>
      <c r="BK4" s="17"/>
      <c r="BL4" s="168"/>
      <c r="BM4" s="392" t="s">
        <v>454</v>
      </c>
      <c r="BN4" s="17"/>
      <c r="BO4" s="17"/>
      <c r="BP4" s="17"/>
      <c r="BQ4" s="17"/>
      <c r="BR4" s="17"/>
      <c r="BS4" s="17"/>
      <c r="BT4" s="17"/>
      <c r="BU4" s="17"/>
      <c r="BV4" s="17"/>
      <c r="BW4" s="17"/>
      <c r="BX4" s="17"/>
      <c r="BY4" s="17"/>
      <c r="BZ4" s="168"/>
    </row>
    <row r="5" ht="18.75" customHeight="1">
      <c r="A5" s="392" t="s">
        <v>455</v>
      </c>
      <c r="B5" s="17"/>
      <c r="C5" s="17"/>
      <c r="D5" s="17"/>
      <c r="E5" s="17"/>
      <c r="F5" s="17"/>
      <c r="G5" s="17"/>
      <c r="H5" s="17"/>
      <c r="I5" s="17"/>
      <c r="J5" s="17"/>
      <c r="K5" s="17"/>
      <c r="L5" s="17"/>
      <c r="M5" s="17"/>
      <c r="N5" s="17"/>
      <c r="O5" s="17"/>
      <c r="P5" s="17"/>
      <c r="Q5" s="17"/>
      <c r="R5" s="17"/>
      <c r="S5" s="168"/>
      <c r="T5" s="388"/>
      <c r="U5" s="410" t="s">
        <v>456</v>
      </c>
      <c r="V5" s="11"/>
      <c r="W5" s="11"/>
      <c r="X5" s="11"/>
      <c r="Y5" s="11"/>
      <c r="Z5" s="11"/>
      <c r="AA5" s="11"/>
      <c r="AB5" s="11"/>
      <c r="AC5" s="11"/>
      <c r="AD5" s="11"/>
      <c r="AE5" s="11"/>
      <c r="AF5" s="11"/>
      <c r="AG5" s="11"/>
      <c r="AH5" s="11"/>
      <c r="AI5" s="11"/>
      <c r="AJ5" s="11"/>
      <c r="AK5" s="11"/>
      <c r="AL5" s="11"/>
      <c r="AM5" s="11"/>
      <c r="AN5" s="12"/>
      <c r="AO5" s="410" t="s">
        <v>457</v>
      </c>
      <c r="AP5" s="11"/>
      <c r="AQ5" s="11"/>
      <c r="AR5" s="12"/>
      <c r="AS5" s="388"/>
      <c r="AT5" s="392" t="s">
        <v>458</v>
      </c>
      <c r="AU5" s="17"/>
      <c r="AV5" s="17"/>
      <c r="AW5" s="17"/>
      <c r="AX5" s="17"/>
      <c r="AY5" s="17"/>
      <c r="AZ5" s="168"/>
      <c r="BA5" s="392" t="s">
        <v>459</v>
      </c>
      <c r="BB5" s="17"/>
      <c r="BC5" s="17"/>
      <c r="BD5" s="168"/>
      <c r="BE5" s="392" t="s">
        <v>460</v>
      </c>
      <c r="BF5" s="17"/>
      <c r="BG5" s="17"/>
      <c r="BH5" s="17"/>
      <c r="BI5" s="17"/>
      <c r="BJ5" s="17"/>
      <c r="BK5" s="17"/>
      <c r="BL5" s="168"/>
      <c r="BM5" s="392" t="s">
        <v>461</v>
      </c>
      <c r="BN5" s="17"/>
      <c r="BO5" s="17"/>
      <c r="BP5" s="17"/>
      <c r="BQ5" s="17"/>
      <c r="BR5" s="17"/>
      <c r="BS5" s="17"/>
      <c r="BT5" s="17"/>
      <c r="BU5" s="17"/>
      <c r="BV5" s="17"/>
      <c r="BW5" s="17"/>
      <c r="BX5" s="17"/>
      <c r="BY5" s="17"/>
      <c r="BZ5" s="168"/>
    </row>
    <row r="6" ht="18.75" customHeight="1">
      <c r="A6" s="392" t="s">
        <v>462</v>
      </c>
      <c r="B6" s="17"/>
      <c r="C6" s="17"/>
      <c r="D6" s="17"/>
      <c r="E6" s="17"/>
      <c r="F6" s="17"/>
      <c r="G6" s="17"/>
      <c r="H6" s="17"/>
      <c r="I6" s="17"/>
      <c r="J6" s="17"/>
      <c r="K6" s="17"/>
      <c r="L6" s="17"/>
      <c r="M6" s="17"/>
      <c r="N6" s="17"/>
      <c r="O6" s="17"/>
      <c r="P6" s="17"/>
      <c r="Q6" s="17"/>
      <c r="R6" s="17"/>
      <c r="S6" s="168"/>
      <c r="T6" s="388"/>
      <c r="U6" s="392" t="s">
        <v>463</v>
      </c>
      <c r="V6" s="17"/>
      <c r="W6" s="17"/>
      <c r="X6" s="17"/>
      <c r="Y6" s="17"/>
      <c r="Z6" s="17"/>
      <c r="AA6" s="17"/>
      <c r="AB6" s="17"/>
      <c r="AC6" s="17"/>
      <c r="AD6" s="17"/>
      <c r="AE6" s="17"/>
      <c r="AF6" s="17"/>
      <c r="AG6" s="17"/>
      <c r="AH6" s="17"/>
      <c r="AI6" s="17"/>
      <c r="AJ6" s="17"/>
      <c r="AK6" s="17"/>
      <c r="AL6" s="17"/>
      <c r="AM6" s="17"/>
      <c r="AN6" s="168"/>
      <c r="AO6" s="392" t="s">
        <v>464</v>
      </c>
      <c r="AP6" s="17"/>
      <c r="AQ6" s="17"/>
      <c r="AR6" s="168"/>
      <c r="AS6" s="388"/>
      <c r="AT6" s="392" t="s">
        <v>465</v>
      </c>
      <c r="AU6" s="17"/>
      <c r="AV6" s="17"/>
      <c r="AW6" s="17"/>
      <c r="AX6" s="17"/>
      <c r="AY6" s="17"/>
      <c r="AZ6" s="168"/>
      <c r="BA6" s="392" t="s">
        <v>459</v>
      </c>
      <c r="BB6" s="17"/>
      <c r="BC6" s="17"/>
      <c r="BD6" s="168"/>
      <c r="BE6" s="392" t="s">
        <v>466</v>
      </c>
      <c r="BF6" s="17"/>
      <c r="BG6" s="17"/>
      <c r="BH6" s="17"/>
      <c r="BI6" s="17"/>
      <c r="BJ6" s="17"/>
      <c r="BK6" s="17"/>
      <c r="BL6" s="168"/>
      <c r="BM6" s="392" t="s">
        <v>467</v>
      </c>
      <c r="BN6" s="17"/>
      <c r="BO6" s="17"/>
      <c r="BP6" s="17"/>
      <c r="BQ6" s="17"/>
      <c r="BR6" s="17"/>
      <c r="BS6" s="17"/>
      <c r="BT6" s="17"/>
      <c r="BU6" s="17"/>
      <c r="BV6" s="17"/>
      <c r="BW6" s="17"/>
      <c r="BX6" s="17"/>
      <c r="BY6" s="17"/>
      <c r="BZ6" s="168"/>
    </row>
    <row r="7" ht="18.75" customHeight="1">
      <c r="A7" s="397"/>
      <c r="B7" s="397"/>
      <c r="C7" s="397"/>
      <c r="D7" s="397"/>
      <c r="E7" s="397"/>
      <c r="F7" s="397"/>
      <c r="G7" s="397"/>
      <c r="H7" s="397"/>
      <c r="I7" s="397"/>
      <c r="J7" s="397"/>
      <c r="K7" s="397"/>
      <c r="L7" s="397"/>
      <c r="M7" s="397"/>
      <c r="N7" s="397"/>
      <c r="O7" s="397"/>
      <c r="P7" s="397"/>
      <c r="Q7" s="397"/>
      <c r="R7" s="397"/>
      <c r="S7" s="397"/>
      <c r="T7" s="401"/>
      <c r="U7" s="392" t="s">
        <v>468</v>
      </c>
      <c r="V7" s="17"/>
      <c r="W7" s="17"/>
      <c r="X7" s="17"/>
      <c r="Y7" s="17"/>
      <c r="Z7" s="17"/>
      <c r="AA7" s="17"/>
      <c r="AB7" s="17"/>
      <c r="AC7" s="17"/>
      <c r="AD7" s="17"/>
      <c r="AE7" s="17"/>
      <c r="AF7" s="17"/>
      <c r="AG7" s="17"/>
      <c r="AH7" s="17"/>
      <c r="AI7" s="17"/>
      <c r="AJ7" s="17"/>
      <c r="AK7" s="17"/>
      <c r="AL7" s="17"/>
      <c r="AM7" s="17"/>
      <c r="AN7" s="168"/>
      <c r="AO7" s="392" t="s">
        <v>464</v>
      </c>
      <c r="AP7" s="17"/>
      <c r="AQ7" s="17"/>
      <c r="AR7" s="168"/>
      <c r="AS7" s="388"/>
      <c r="AT7" s="392" t="s">
        <v>469</v>
      </c>
      <c r="AU7" s="17"/>
      <c r="AV7" s="17"/>
      <c r="AW7" s="17"/>
      <c r="AX7" s="17"/>
      <c r="AY7" s="17"/>
      <c r="AZ7" s="168"/>
      <c r="BA7" s="392" t="s">
        <v>459</v>
      </c>
      <c r="BB7" s="17"/>
      <c r="BC7" s="17"/>
      <c r="BD7" s="168"/>
      <c r="BE7" s="392" t="s">
        <v>470</v>
      </c>
      <c r="BF7" s="17"/>
      <c r="BG7" s="17"/>
      <c r="BH7" s="17"/>
      <c r="BI7" s="17"/>
      <c r="BJ7" s="17"/>
      <c r="BK7" s="17"/>
      <c r="BL7" s="168"/>
      <c r="BM7" s="392" t="s">
        <v>471</v>
      </c>
      <c r="BN7" s="17"/>
      <c r="BO7" s="17"/>
      <c r="BP7" s="17"/>
      <c r="BQ7" s="17"/>
      <c r="BR7" s="17"/>
      <c r="BS7" s="17"/>
      <c r="BT7" s="17"/>
      <c r="BU7" s="17"/>
      <c r="BV7" s="17"/>
      <c r="BW7" s="17"/>
      <c r="BX7" s="17"/>
      <c r="BY7" s="17"/>
      <c r="BZ7" s="168"/>
    </row>
    <row r="8" ht="18.75" customHeight="1">
      <c r="A8" s="387" t="s">
        <v>472</v>
      </c>
      <c r="B8" s="3"/>
      <c r="C8" s="3"/>
      <c r="D8" s="3"/>
      <c r="E8" s="3"/>
      <c r="F8" s="3"/>
      <c r="G8" s="3"/>
      <c r="H8" s="3"/>
      <c r="I8" s="3"/>
      <c r="J8" s="3"/>
      <c r="K8" s="3"/>
      <c r="L8" s="3"/>
      <c r="M8" s="3"/>
      <c r="N8" s="3"/>
      <c r="O8" s="3"/>
      <c r="P8" s="3"/>
      <c r="Q8" s="3"/>
      <c r="R8" s="3"/>
      <c r="S8" s="5"/>
      <c r="T8" s="388"/>
      <c r="U8" s="392" t="s">
        <v>473</v>
      </c>
      <c r="V8" s="17"/>
      <c r="W8" s="17"/>
      <c r="X8" s="17"/>
      <c r="Y8" s="17"/>
      <c r="Z8" s="17"/>
      <c r="AA8" s="17"/>
      <c r="AB8" s="17"/>
      <c r="AC8" s="17"/>
      <c r="AD8" s="17"/>
      <c r="AE8" s="17"/>
      <c r="AF8" s="17"/>
      <c r="AG8" s="17"/>
      <c r="AH8" s="17"/>
      <c r="AI8" s="17"/>
      <c r="AJ8" s="17"/>
      <c r="AK8" s="17"/>
      <c r="AL8" s="17"/>
      <c r="AM8" s="17"/>
      <c r="AN8" s="168"/>
      <c r="AO8" s="392" t="s">
        <v>464</v>
      </c>
      <c r="AP8" s="17"/>
      <c r="AQ8" s="17"/>
      <c r="AR8" s="168"/>
      <c r="AS8" s="388"/>
      <c r="AT8" s="392" t="s">
        <v>474</v>
      </c>
      <c r="AU8" s="17"/>
      <c r="AV8" s="17"/>
      <c r="AW8" s="17"/>
      <c r="AX8" s="17"/>
      <c r="AY8" s="17"/>
      <c r="AZ8" s="168"/>
      <c r="BA8" s="392" t="s">
        <v>459</v>
      </c>
      <c r="BB8" s="17"/>
      <c r="BC8" s="17"/>
      <c r="BD8" s="168"/>
      <c r="BE8" s="392" t="s">
        <v>475</v>
      </c>
      <c r="BF8" s="17"/>
      <c r="BG8" s="17"/>
      <c r="BH8" s="17"/>
      <c r="BI8" s="17"/>
      <c r="BJ8" s="17"/>
      <c r="BK8" s="17"/>
      <c r="BL8" s="168"/>
      <c r="BM8" s="392" t="s">
        <v>467</v>
      </c>
      <c r="BN8" s="17"/>
      <c r="BO8" s="17"/>
      <c r="BP8" s="17"/>
      <c r="BQ8" s="17"/>
      <c r="BR8" s="17"/>
      <c r="BS8" s="17"/>
      <c r="BT8" s="17"/>
      <c r="BU8" s="17"/>
      <c r="BV8" s="17"/>
      <c r="BW8" s="17"/>
      <c r="BX8" s="17"/>
      <c r="BY8" s="17"/>
      <c r="BZ8" s="168"/>
    </row>
    <row r="9" ht="18.75" customHeight="1">
      <c r="A9" s="390" t="s">
        <v>456</v>
      </c>
      <c r="N9" s="391" t="s">
        <v>271</v>
      </c>
      <c r="S9" s="49"/>
      <c r="T9" s="388"/>
      <c r="U9" s="392" t="s">
        <v>476</v>
      </c>
      <c r="V9" s="17"/>
      <c r="W9" s="17"/>
      <c r="X9" s="17"/>
      <c r="Y9" s="17"/>
      <c r="Z9" s="17"/>
      <c r="AA9" s="17"/>
      <c r="AB9" s="17"/>
      <c r="AC9" s="17"/>
      <c r="AD9" s="17"/>
      <c r="AE9" s="17"/>
      <c r="AF9" s="17"/>
      <c r="AG9" s="17"/>
      <c r="AH9" s="17"/>
      <c r="AI9" s="17"/>
      <c r="AJ9" s="17"/>
      <c r="AK9" s="17"/>
      <c r="AL9" s="17"/>
      <c r="AM9" s="17"/>
      <c r="AN9" s="168"/>
      <c r="AO9" s="392" t="s">
        <v>464</v>
      </c>
      <c r="AP9" s="17"/>
      <c r="AQ9" s="17"/>
      <c r="AR9" s="168"/>
      <c r="AS9" s="388"/>
      <c r="AT9" s="392" t="s">
        <v>477</v>
      </c>
      <c r="AU9" s="17"/>
      <c r="AV9" s="17"/>
      <c r="AW9" s="17"/>
      <c r="AX9" s="17"/>
      <c r="AY9" s="17"/>
      <c r="AZ9" s="168"/>
      <c r="BA9" s="392" t="s">
        <v>459</v>
      </c>
      <c r="BB9" s="17"/>
      <c r="BC9" s="17"/>
      <c r="BD9" s="168"/>
      <c r="BE9" s="392" t="s">
        <v>475</v>
      </c>
      <c r="BF9" s="17"/>
      <c r="BG9" s="17"/>
      <c r="BH9" s="17"/>
      <c r="BI9" s="17"/>
      <c r="BJ9" s="17"/>
      <c r="BK9" s="17"/>
      <c r="BL9" s="168"/>
      <c r="BM9" s="411"/>
      <c r="BN9" s="17"/>
      <c r="BO9" s="17"/>
      <c r="BP9" s="17"/>
      <c r="BQ9" s="17"/>
      <c r="BR9" s="17"/>
      <c r="BS9" s="17"/>
      <c r="BT9" s="17"/>
      <c r="BU9" s="17"/>
      <c r="BV9" s="17"/>
      <c r="BW9" s="17"/>
      <c r="BX9" s="17"/>
      <c r="BY9" s="17"/>
      <c r="BZ9" s="168"/>
    </row>
    <row r="10" ht="18.75" customHeight="1">
      <c r="A10" s="393" t="s">
        <v>478</v>
      </c>
      <c r="B10" s="11"/>
      <c r="C10" s="11"/>
      <c r="D10" s="11"/>
      <c r="E10" s="11"/>
      <c r="F10" s="11"/>
      <c r="G10" s="11"/>
      <c r="H10" s="11"/>
      <c r="I10" s="11"/>
      <c r="J10" s="11"/>
      <c r="K10" s="11"/>
      <c r="L10" s="11"/>
      <c r="M10" s="12"/>
      <c r="N10" s="393" t="s">
        <v>479</v>
      </c>
      <c r="O10" s="11"/>
      <c r="P10" s="11"/>
      <c r="Q10" s="11"/>
      <c r="R10" s="11"/>
      <c r="S10" s="12"/>
      <c r="T10" s="388"/>
      <c r="U10" s="392" t="s">
        <v>480</v>
      </c>
      <c r="V10" s="17"/>
      <c r="W10" s="17"/>
      <c r="X10" s="17"/>
      <c r="Y10" s="17"/>
      <c r="Z10" s="17"/>
      <c r="AA10" s="17"/>
      <c r="AB10" s="17"/>
      <c r="AC10" s="17"/>
      <c r="AD10" s="17"/>
      <c r="AE10" s="17"/>
      <c r="AF10" s="17"/>
      <c r="AG10" s="17"/>
      <c r="AH10" s="17"/>
      <c r="AI10" s="17"/>
      <c r="AJ10" s="17"/>
      <c r="AK10" s="17"/>
      <c r="AL10" s="17"/>
      <c r="AM10" s="17"/>
      <c r="AN10" s="168"/>
      <c r="AO10" s="392" t="s">
        <v>464</v>
      </c>
      <c r="AP10" s="17"/>
      <c r="AQ10" s="17"/>
      <c r="AR10" s="168"/>
      <c r="AS10" s="388"/>
      <c r="AT10" s="392" t="s">
        <v>481</v>
      </c>
      <c r="AU10" s="17"/>
      <c r="AV10" s="17"/>
      <c r="AW10" s="17"/>
      <c r="AX10" s="17"/>
      <c r="AY10" s="17"/>
      <c r="AZ10" s="168"/>
      <c r="BA10" s="392" t="s">
        <v>459</v>
      </c>
      <c r="BB10" s="17"/>
      <c r="BC10" s="17"/>
      <c r="BD10" s="168"/>
      <c r="BE10" s="392" t="s">
        <v>475</v>
      </c>
      <c r="BF10" s="17"/>
      <c r="BG10" s="17"/>
      <c r="BH10" s="17"/>
      <c r="BI10" s="17"/>
      <c r="BJ10" s="17"/>
      <c r="BK10" s="17"/>
      <c r="BL10" s="168"/>
      <c r="BM10" s="411"/>
      <c r="BN10" s="17"/>
      <c r="BO10" s="17"/>
      <c r="BP10" s="17"/>
      <c r="BQ10" s="17"/>
      <c r="BR10" s="17"/>
      <c r="BS10" s="17"/>
      <c r="BT10" s="17"/>
      <c r="BU10" s="17"/>
      <c r="BV10" s="17"/>
      <c r="BW10" s="17"/>
      <c r="BX10" s="17"/>
      <c r="BY10" s="17"/>
      <c r="BZ10" s="168"/>
    </row>
    <row r="11" ht="18.75" customHeight="1">
      <c r="A11" s="392" t="s">
        <v>482</v>
      </c>
      <c r="B11" s="17"/>
      <c r="C11" s="17"/>
      <c r="D11" s="17"/>
      <c r="E11" s="17"/>
      <c r="F11" s="17"/>
      <c r="G11" s="17"/>
      <c r="H11" s="17"/>
      <c r="I11" s="17"/>
      <c r="J11" s="17"/>
      <c r="K11" s="17"/>
      <c r="L11" s="17"/>
      <c r="M11" s="168"/>
      <c r="N11" s="392" t="s">
        <v>483</v>
      </c>
      <c r="O11" s="17"/>
      <c r="P11" s="17"/>
      <c r="Q11" s="17"/>
      <c r="R11" s="17"/>
      <c r="S11" s="168"/>
      <c r="T11" s="388"/>
      <c r="U11" s="392" t="s">
        <v>484</v>
      </c>
      <c r="V11" s="17"/>
      <c r="W11" s="17"/>
      <c r="X11" s="17"/>
      <c r="Y11" s="17"/>
      <c r="Z11" s="17"/>
      <c r="AA11" s="17"/>
      <c r="AB11" s="17"/>
      <c r="AC11" s="17"/>
      <c r="AD11" s="17"/>
      <c r="AE11" s="17"/>
      <c r="AF11" s="17"/>
      <c r="AG11" s="17"/>
      <c r="AH11" s="17"/>
      <c r="AI11" s="17"/>
      <c r="AJ11" s="17"/>
      <c r="AK11" s="17"/>
      <c r="AL11" s="17"/>
      <c r="AM11" s="17"/>
      <c r="AN11" s="168"/>
      <c r="AO11" s="392" t="s">
        <v>485</v>
      </c>
      <c r="AP11" s="17"/>
      <c r="AQ11" s="17"/>
      <c r="AR11" s="168"/>
      <c r="AS11" s="396"/>
      <c r="AT11" s="397"/>
      <c r="AU11" s="397"/>
      <c r="AV11" s="397"/>
      <c r="AW11" s="397"/>
      <c r="AX11" s="397"/>
      <c r="AY11" s="397"/>
      <c r="AZ11" s="397"/>
      <c r="BA11" s="397"/>
      <c r="BB11" s="397"/>
      <c r="BC11" s="397"/>
      <c r="BD11" s="397"/>
      <c r="BE11" s="397"/>
      <c r="BF11" s="397"/>
      <c r="BG11" s="397"/>
      <c r="BH11" s="397"/>
      <c r="BI11" s="397"/>
      <c r="BJ11" s="397"/>
      <c r="BK11" s="397"/>
      <c r="BL11" s="397"/>
      <c r="BM11" s="397"/>
      <c r="BN11" s="397"/>
      <c r="BO11" s="397"/>
      <c r="BP11" s="397"/>
      <c r="BQ11" s="397"/>
      <c r="BR11" s="397"/>
      <c r="BS11" s="397"/>
      <c r="BT11" s="397"/>
      <c r="BU11" s="397"/>
      <c r="BV11" s="397"/>
      <c r="BW11" s="397"/>
      <c r="BX11" s="397"/>
      <c r="BY11" s="397"/>
      <c r="BZ11" s="397"/>
    </row>
    <row r="12" ht="18.75" customHeight="1">
      <c r="A12" s="392" t="s">
        <v>486</v>
      </c>
      <c r="B12" s="17"/>
      <c r="C12" s="17"/>
      <c r="D12" s="17"/>
      <c r="E12" s="17"/>
      <c r="F12" s="17"/>
      <c r="G12" s="17"/>
      <c r="H12" s="17"/>
      <c r="I12" s="17"/>
      <c r="J12" s="17"/>
      <c r="K12" s="17"/>
      <c r="L12" s="17"/>
      <c r="M12" s="168"/>
      <c r="N12" s="392" t="s">
        <v>487</v>
      </c>
      <c r="O12" s="17"/>
      <c r="P12" s="17"/>
      <c r="Q12" s="17"/>
      <c r="R12" s="17"/>
      <c r="S12" s="168"/>
      <c r="T12" s="388"/>
      <c r="U12" s="392" t="s">
        <v>488</v>
      </c>
      <c r="V12" s="17"/>
      <c r="W12" s="17"/>
      <c r="X12" s="17"/>
      <c r="Y12" s="17"/>
      <c r="Z12" s="17"/>
      <c r="AA12" s="17"/>
      <c r="AB12" s="17"/>
      <c r="AC12" s="17"/>
      <c r="AD12" s="17"/>
      <c r="AE12" s="17"/>
      <c r="AF12" s="17"/>
      <c r="AG12" s="17"/>
      <c r="AH12" s="17"/>
      <c r="AI12" s="17"/>
      <c r="AJ12" s="17"/>
      <c r="AK12" s="17"/>
      <c r="AL12" s="17"/>
      <c r="AM12" s="17"/>
      <c r="AN12" s="168"/>
      <c r="AO12" s="392" t="s">
        <v>485</v>
      </c>
      <c r="AP12" s="17"/>
      <c r="AQ12" s="17"/>
      <c r="AR12" s="168"/>
      <c r="AS12" s="388"/>
      <c r="AT12" s="387" t="s">
        <v>489</v>
      </c>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5"/>
    </row>
    <row r="13" ht="18.75" customHeight="1">
      <c r="A13" s="392" t="s">
        <v>490</v>
      </c>
      <c r="B13" s="17"/>
      <c r="C13" s="17"/>
      <c r="D13" s="17"/>
      <c r="E13" s="17"/>
      <c r="F13" s="17"/>
      <c r="G13" s="17"/>
      <c r="H13" s="17"/>
      <c r="I13" s="17"/>
      <c r="J13" s="17"/>
      <c r="K13" s="17"/>
      <c r="L13" s="17"/>
      <c r="M13" s="168"/>
      <c r="N13" s="392" t="s">
        <v>491</v>
      </c>
      <c r="O13" s="17"/>
      <c r="P13" s="17"/>
      <c r="Q13" s="17"/>
      <c r="R13" s="17"/>
      <c r="S13" s="168"/>
      <c r="T13" s="388"/>
      <c r="U13" s="392" t="s">
        <v>492</v>
      </c>
      <c r="V13" s="17"/>
      <c r="W13" s="17"/>
      <c r="X13" s="17"/>
      <c r="Y13" s="17"/>
      <c r="Z13" s="17"/>
      <c r="AA13" s="17"/>
      <c r="AB13" s="17"/>
      <c r="AC13" s="17"/>
      <c r="AD13" s="17"/>
      <c r="AE13" s="17"/>
      <c r="AF13" s="17"/>
      <c r="AG13" s="17"/>
      <c r="AH13" s="17"/>
      <c r="AI13" s="17"/>
      <c r="AJ13" s="17"/>
      <c r="AK13" s="17"/>
      <c r="AL13" s="17"/>
      <c r="AM13" s="17"/>
      <c r="AN13" s="168"/>
      <c r="AO13" s="392" t="s">
        <v>485</v>
      </c>
      <c r="AP13" s="17"/>
      <c r="AQ13" s="17"/>
      <c r="AR13" s="168"/>
      <c r="AS13" s="388"/>
      <c r="AT13" s="393" t="s">
        <v>493</v>
      </c>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2"/>
    </row>
    <row r="14" ht="18.75" customHeight="1">
      <c r="A14" s="392" t="s">
        <v>494</v>
      </c>
      <c r="B14" s="17"/>
      <c r="C14" s="17"/>
      <c r="D14" s="17"/>
      <c r="E14" s="17"/>
      <c r="F14" s="17"/>
      <c r="G14" s="17"/>
      <c r="H14" s="17"/>
      <c r="I14" s="17"/>
      <c r="J14" s="17"/>
      <c r="K14" s="17"/>
      <c r="L14" s="17"/>
      <c r="M14" s="168"/>
      <c r="N14" s="392" t="s">
        <v>483</v>
      </c>
      <c r="O14" s="17"/>
      <c r="P14" s="17"/>
      <c r="Q14" s="17"/>
      <c r="R14" s="17"/>
      <c r="S14" s="168"/>
      <c r="T14" s="388"/>
      <c r="U14" s="392" t="s">
        <v>495</v>
      </c>
      <c r="V14" s="17"/>
      <c r="W14" s="17"/>
      <c r="X14" s="17"/>
      <c r="Y14" s="17"/>
      <c r="Z14" s="17"/>
      <c r="AA14" s="17"/>
      <c r="AB14" s="17"/>
      <c r="AC14" s="17"/>
      <c r="AD14" s="17"/>
      <c r="AE14" s="17"/>
      <c r="AF14" s="17"/>
      <c r="AG14" s="17"/>
      <c r="AH14" s="17"/>
      <c r="AI14" s="17"/>
      <c r="AJ14" s="17"/>
      <c r="AK14" s="17"/>
      <c r="AL14" s="17"/>
      <c r="AM14" s="17"/>
      <c r="AN14" s="168"/>
      <c r="AO14" s="392" t="s">
        <v>464</v>
      </c>
      <c r="AP14" s="17"/>
      <c r="AQ14" s="17"/>
      <c r="AR14" s="168"/>
      <c r="AS14" s="388"/>
      <c r="AT14" s="392" t="s">
        <v>496</v>
      </c>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68"/>
    </row>
    <row r="15" ht="18.75" customHeight="1">
      <c r="A15" s="397"/>
      <c r="B15" s="397"/>
      <c r="C15" s="397"/>
      <c r="D15" s="397"/>
      <c r="E15" s="397"/>
      <c r="F15" s="397"/>
      <c r="G15" s="397"/>
      <c r="H15" s="397"/>
      <c r="I15" s="397"/>
      <c r="J15" s="397"/>
      <c r="K15" s="397"/>
      <c r="L15" s="397"/>
      <c r="M15" s="397"/>
      <c r="N15" s="397"/>
      <c r="O15" s="397"/>
      <c r="P15" s="397"/>
      <c r="Q15" s="397"/>
      <c r="R15" s="397"/>
      <c r="S15" s="397"/>
      <c r="T15" s="401"/>
      <c r="U15" s="392" t="s">
        <v>497</v>
      </c>
      <c r="V15" s="17"/>
      <c r="W15" s="17"/>
      <c r="X15" s="17"/>
      <c r="Y15" s="17"/>
      <c r="Z15" s="17"/>
      <c r="AA15" s="17"/>
      <c r="AB15" s="17"/>
      <c r="AC15" s="17"/>
      <c r="AD15" s="17"/>
      <c r="AE15" s="17"/>
      <c r="AF15" s="17"/>
      <c r="AG15" s="17"/>
      <c r="AH15" s="17"/>
      <c r="AI15" s="17"/>
      <c r="AJ15" s="17"/>
      <c r="AK15" s="17"/>
      <c r="AL15" s="17"/>
      <c r="AM15" s="17"/>
      <c r="AN15" s="168"/>
      <c r="AO15" s="392" t="s">
        <v>498</v>
      </c>
      <c r="AP15" s="17"/>
      <c r="AQ15" s="17"/>
      <c r="AR15" s="168"/>
      <c r="AS15" s="388"/>
      <c r="AT15" s="392" t="s">
        <v>499</v>
      </c>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68"/>
    </row>
    <row r="16" ht="18.75" customHeight="1">
      <c r="A16" s="387" t="s">
        <v>500</v>
      </c>
      <c r="B16" s="3"/>
      <c r="C16" s="3"/>
      <c r="D16" s="3"/>
      <c r="E16" s="3"/>
      <c r="F16" s="3"/>
      <c r="G16" s="3"/>
      <c r="H16" s="3"/>
      <c r="I16" s="3"/>
      <c r="J16" s="3"/>
      <c r="K16" s="3"/>
      <c r="L16" s="3"/>
      <c r="M16" s="3"/>
      <c r="N16" s="3"/>
      <c r="O16" s="3"/>
      <c r="P16" s="3"/>
      <c r="Q16" s="3"/>
      <c r="R16" s="3"/>
      <c r="S16" s="5"/>
      <c r="T16" s="388"/>
      <c r="U16" s="392" t="s">
        <v>501</v>
      </c>
      <c r="V16" s="17"/>
      <c r="W16" s="17"/>
      <c r="X16" s="17"/>
      <c r="Y16" s="17"/>
      <c r="Z16" s="17"/>
      <c r="AA16" s="17"/>
      <c r="AB16" s="17"/>
      <c r="AC16" s="17"/>
      <c r="AD16" s="17"/>
      <c r="AE16" s="17"/>
      <c r="AF16" s="17"/>
      <c r="AG16" s="17"/>
      <c r="AH16" s="17"/>
      <c r="AI16" s="17"/>
      <c r="AJ16" s="17"/>
      <c r="AK16" s="17"/>
      <c r="AL16" s="17"/>
      <c r="AM16" s="17"/>
      <c r="AN16" s="168"/>
      <c r="AO16" s="392" t="s">
        <v>502</v>
      </c>
      <c r="AP16" s="17"/>
      <c r="AQ16" s="17"/>
      <c r="AR16" s="168"/>
      <c r="AS16" s="388"/>
      <c r="AT16" s="392" t="s">
        <v>503</v>
      </c>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68"/>
    </row>
    <row r="17" ht="18.75" customHeight="1">
      <c r="A17" s="412" t="s">
        <v>504</v>
      </c>
      <c r="S17" s="49"/>
      <c r="T17" s="388"/>
      <c r="U17" s="392" t="s">
        <v>505</v>
      </c>
      <c r="V17" s="17"/>
      <c r="W17" s="17"/>
      <c r="X17" s="17"/>
      <c r="Y17" s="17"/>
      <c r="Z17" s="17"/>
      <c r="AA17" s="17"/>
      <c r="AB17" s="17"/>
      <c r="AC17" s="17"/>
      <c r="AD17" s="17"/>
      <c r="AE17" s="17"/>
      <c r="AF17" s="17"/>
      <c r="AG17" s="17"/>
      <c r="AH17" s="17"/>
      <c r="AI17" s="17"/>
      <c r="AJ17" s="17"/>
      <c r="AK17" s="17"/>
      <c r="AL17" s="17"/>
      <c r="AM17" s="17"/>
      <c r="AN17" s="168"/>
      <c r="AO17" s="392" t="s">
        <v>485</v>
      </c>
      <c r="AP17" s="17"/>
      <c r="AQ17" s="17"/>
      <c r="AR17" s="168"/>
      <c r="AS17" s="388"/>
      <c r="AT17" s="392" t="s">
        <v>506</v>
      </c>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68"/>
    </row>
    <row r="18" ht="18.75" customHeight="1">
      <c r="A18" s="13"/>
      <c r="B18" s="11"/>
      <c r="C18" s="11"/>
      <c r="D18" s="11"/>
      <c r="E18" s="11"/>
      <c r="F18" s="11"/>
      <c r="G18" s="11"/>
      <c r="H18" s="11"/>
      <c r="I18" s="11"/>
      <c r="J18" s="11"/>
      <c r="K18" s="11"/>
      <c r="L18" s="11"/>
      <c r="M18" s="11"/>
      <c r="N18" s="11"/>
      <c r="O18" s="11"/>
      <c r="P18" s="11"/>
      <c r="Q18" s="11"/>
      <c r="R18" s="11"/>
      <c r="S18" s="12"/>
      <c r="T18" s="388"/>
      <c r="U18" s="392" t="s">
        <v>507</v>
      </c>
      <c r="V18" s="17"/>
      <c r="W18" s="17"/>
      <c r="X18" s="17"/>
      <c r="Y18" s="17"/>
      <c r="Z18" s="17"/>
      <c r="AA18" s="17"/>
      <c r="AB18" s="17"/>
      <c r="AC18" s="17"/>
      <c r="AD18" s="17"/>
      <c r="AE18" s="17"/>
      <c r="AF18" s="17"/>
      <c r="AG18" s="17"/>
      <c r="AH18" s="17"/>
      <c r="AI18" s="17"/>
      <c r="AJ18" s="17"/>
      <c r="AK18" s="17"/>
      <c r="AL18" s="17"/>
      <c r="AM18" s="17"/>
      <c r="AN18" s="168"/>
      <c r="AO18" s="392" t="s">
        <v>498</v>
      </c>
      <c r="AP18" s="17"/>
      <c r="AQ18" s="17"/>
      <c r="AR18" s="168"/>
      <c r="AS18" s="388"/>
      <c r="AT18" s="392" t="s">
        <v>508</v>
      </c>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68"/>
    </row>
    <row r="19" ht="18.75" customHeight="1">
      <c r="A19" s="397"/>
      <c r="B19" s="397"/>
      <c r="C19" s="397"/>
      <c r="D19" s="397"/>
      <c r="E19" s="397"/>
      <c r="F19" s="397"/>
      <c r="G19" s="397"/>
      <c r="H19" s="397"/>
      <c r="I19" s="397"/>
      <c r="J19" s="397"/>
      <c r="K19" s="397"/>
      <c r="L19" s="397"/>
      <c r="M19" s="397"/>
      <c r="N19" s="397"/>
      <c r="O19" s="397"/>
      <c r="P19" s="397"/>
      <c r="Q19" s="397"/>
      <c r="R19" s="397"/>
      <c r="S19" s="397"/>
      <c r="T19" s="401"/>
      <c r="U19" s="392" t="s">
        <v>509</v>
      </c>
      <c r="V19" s="17"/>
      <c r="W19" s="17"/>
      <c r="X19" s="17"/>
      <c r="Y19" s="17"/>
      <c r="Z19" s="17"/>
      <c r="AA19" s="17"/>
      <c r="AB19" s="17"/>
      <c r="AC19" s="17"/>
      <c r="AD19" s="17"/>
      <c r="AE19" s="17"/>
      <c r="AF19" s="17"/>
      <c r="AG19" s="17"/>
      <c r="AH19" s="17"/>
      <c r="AI19" s="17"/>
      <c r="AJ19" s="17"/>
      <c r="AK19" s="17"/>
      <c r="AL19" s="17"/>
      <c r="AM19" s="17"/>
      <c r="AN19" s="168"/>
      <c r="AO19" s="392" t="s">
        <v>510</v>
      </c>
      <c r="AP19" s="17"/>
      <c r="AQ19" s="17"/>
      <c r="AR19" s="168"/>
      <c r="AS19" s="388"/>
      <c r="AT19" s="392" t="s">
        <v>511</v>
      </c>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68"/>
    </row>
    <row r="20" ht="18.75" customHeight="1">
      <c r="A20" s="387" t="s">
        <v>512</v>
      </c>
      <c r="B20" s="3"/>
      <c r="C20" s="3"/>
      <c r="D20" s="3"/>
      <c r="E20" s="3"/>
      <c r="F20" s="3"/>
      <c r="G20" s="3"/>
      <c r="H20" s="3"/>
      <c r="I20" s="3"/>
      <c r="J20" s="3"/>
      <c r="K20" s="3"/>
      <c r="L20" s="3"/>
      <c r="M20" s="3"/>
      <c r="N20" s="3"/>
      <c r="O20" s="3"/>
      <c r="P20" s="3"/>
      <c r="Q20" s="3"/>
      <c r="R20" s="3"/>
      <c r="S20" s="5"/>
      <c r="T20" s="388"/>
      <c r="U20" s="392" t="s">
        <v>513</v>
      </c>
      <c r="V20" s="17"/>
      <c r="W20" s="17"/>
      <c r="X20" s="17"/>
      <c r="Y20" s="17"/>
      <c r="Z20" s="17"/>
      <c r="AA20" s="17"/>
      <c r="AB20" s="17"/>
      <c r="AC20" s="17"/>
      <c r="AD20" s="17"/>
      <c r="AE20" s="17"/>
      <c r="AF20" s="17"/>
      <c r="AG20" s="17"/>
      <c r="AH20" s="17"/>
      <c r="AI20" s="17"/>
      <c r="AJ20" s="17"/>
      <c r="AK20" s="17"/>
      <c r="AL20" s="17"/>
      <c r="AM20" s="17"/>
      <c r="AN20" s="168"/>
      <c r="AO20" s="392" t="s">
        <v>514</v>
      </c>
      <c r="AP20" s="17"/>
      <c r="AQ20" s="17"/>
      <c r="AR20" s="168"/>
      <c r="AS20" s="388"/>
      <c r="AT20" s="392" t="s">
        <v>515</v>
      </c>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68"/>
    </row>
    <row r="21" ht="18.75" customHeight="1">
      <c r="A21" s="390" t="s">
        <v>351</v>
      </c>
      <c r="G21" s="391" t="s">
        <v>352</v>
      </c>
      <c r="S21" s="49"/>
      <c r="T21" s="388"/>
      <c r="U21" s="392" t="s">
        <v>516</v>
      </c>
      <c r="V21" s="17"/>
      <c r="W21" s="17"/>
      <c r="X21" s="17"/>
      <c r="Y21" s="17"/>
      <c r="Z21" s="17"/>
      <c r="AA21" s="17"/>
      <c r="AB21" s="17"/>
      <c r="AC21" s="17"/>
      <c r="AD21" s="17"/>
      <c r="AE21" s="17"/>
      <c r="AF21" s="17"/>
      <c r="AG21" s="17"/>
      <c r="AH21" s="17"/>
      <c r="AI21" s="17"/>
      <c r="AJ21" s="17"/>
      <c r="AK21" s="17"/>
      <c r="AL21" s="17"/>
      <c r="AM21" s="17"/>
      <c r="AN21" s="168"/>
      <c r="AO21" s="392" t="s">
        <v>464</v>
      </c>
      <c r="AP21" s="17"/>
      <c r="AQ21" s="17"/>
      <c r="AR21" s="168"/>
      <c r="AS21" s="388"/>
      <c r="AT21" s="392" t="s">
        <v>517</v>
      </c>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68"/>
    </row>
    <row r="22" ht="18.75" customHeight="1">
      <c r="A22" s="393" t="s">
        <v>518</v>
      </c>
      <c r="B22" s="11"/>
      <c r="C22" s="11"/>
      <c r="D22" s="11"/>
      <c r="E22" s="11"/>
      <c r="F22" s="12"/>
      <c r="G22" s="393" t="s">
        <v>519</v>
      </c>
      <c r="H22" s="11"/>
      <c r="I22" s="11"/>
      <c r="J22" s="11"/>
      <c r="K22" s="11"/>
      <c r="L22" s="11"/>
      <c r="M22" s="11"/>
      <c r="N22" s="11"/>
      <c r="O22" s="11"/>
      <c r="P22" s="11"/>
      <c r="Q22" s="11"/>
      <c r="R22" s="11"/>
      <c r="S22" s="12"/>
      <c r="T22" s="388"/>
      <c r="U22" s="392" t="s">
        <v>520</v>
      </c>
      <c r="V22" s="17"/>
      <c r="W22" s="17"/>
      <c r="X22" s="17"/>
      <c r="Y22" s="17"/>
      <c r="Z22" s="17"/>
      <c r="AA22" s="17"/>
      <c r="AB22" s="17"/>
      <c r="AC22" s="17"/>
      <c r="AD22" s="17"/>
      <c r="AE22" s="17"/>
      <c r="AF22" s="17"/>
      <c r="AG22" s="17"/>
      <c r="AH22" s="17"/>
      <c r="AI22" s="17"/>
      <c r="AJ22" s="17"/>
      <c r="AK22" s="17"/>
      <c r="AL22" s="17"/>
      <c r="AM22" s="17"/>
      <c r="AN22" s="168"/>
      <c r="AO22" s="392" t="s">
        <v>485</v>
      </c>
      <c r="AP22" s="17"/>
      <c r="AQ22" s="17"/>
      <c r="AR22" s="168"/>
      <c r="AS22" s="388"/>
      <c r="AT22" s="392" t="s">
        <v>521</v>
      </c>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68"/>
    </row>
    <row r="23" ht="18.75" customHeight="1">
      <c r="A23" s="392" t="s">
        <v>522</v>
      </c>
      <c r="B23" s="17"/>
      <c r="C23" s="17"/>
      <c r="D23" s="17"/>
      <c r="E23" s="17"/>
      <c r="F23" s="168"/>
      <c r="G23" s="392" t="s">
        <v>523</v>
      </c>
      <c r="H23" s="17"/>
      <c r="I23" s="17"/>
      <c r="J23" s="17"/>
      <c r="K23" s="17"/>
      <c r="L23" s="17"/>
      <c r="M23" s="17"/>
      <c r="N23" s="17"/>
      <c r="O23" s="17"/>
      <c r="P23" s="17"/>
      <c r="Q23" s="17"/>
      <c r="R23" s="17"/>
      <c r="S23" s="168"/>
      <c r="T23" s="388"/>
      <c r="U23" s="392" t="s">
        <v>524</v>
      </c>
      <c r="V23" s="17"/>
      <c r="W23" s="17"/>
      <c r="X23" s="17"/>
      <c r="Y23" s="17"/>
      <c r="Z23" s="17"/>
      <c r="AA23" s="17"/>
      <c r="AB23" s="17"/>
      <c r="AC23" s="17"/>
      <c r="AD23" s="17"/>
      <c r="AE23" s="17"/>
      <c r="AF23" s="17"/>
      <c r="AG23" s="17"/>
      <c r="AH23" s="17"/>
      <c r="AI23" s="17"/>
      <c r="AJ23" s="17"/>
      <c r="AK23" s="17"/>
      <c r="AL23" s="17"/>
      <c r="AM23" s="17"/>
      <c r="AN23" s="168"/>
      <c r="AO23" s="392" t="s">
        <v>525</v>
      </c>
      <c r="AP23" s="17"/>
      <c r="AQ23" s="17"/>
      <c r="AR23" s="168"/>
      <c r="AS23" s="388"/>
      <c r="AT23" s="392" t="s">
        <v>526</v>
      </c>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68"/>
    </row>
    <row r="24" ht="18.75" customHeight="1">
      <c r="A24" s="392" t="s">
        <v>527</v>
      </c>
      <c r="B24" s="17"/>
      <c r="C24" s="17"/>
      <c r="D24" s="17"/>
      <c r="E24" s="17"/>
      <c r="F24" s="168"/>
      <c r="G24" s="392" t="s">
        <v>528</v>
      </c>
      <c r="H24" s="17"/>
      <c r="I24" s="17"/>
      <c r="J24" s="17"/>
      <c r="K24" s="17"/>
      <c r="L24" s="17"/>
      <c r="M24" s="17"/>
      <c r="N24" s="17"/>
      <c r="O24" s="17"/>
      <c r="P24" s="17"/>
      <c r="Q24" s="17"/>
      <c r="R24" s="17"/>
      <c r="S24" s="168"/>
      <c r="T24" s="388"/>
      <c r="U24" s="392" t="s">
        <v>529</v>
      </c>
      <c r="V24" s="17"/>
      <c r="W24" s="17"/>
      <c r="X24" s="17"/>
      <c r="Y24" s="17"/>
      <c r="Z24" s="17"/>
      <c r="AA24" s="17"/>
      <c r="AB24" s="17"/>
      <c r="AC24" s="17"/>
      <c r="AD24" s="17"/>
      <c r="AE24" s="17"/>
      <c r="AF24" s="17"/>
      <c r="AG24" s="17"/>
      <c r="AH24" s="17"/>
      <c r="AI24" s="17"/>
      <c r="AJ24" s="17"/>
      <c r="AK24" s="17"/>
      <c r="AL24" s="17"/>
      <c r="AM24" s="17"/>
      <c r="AN24" s="168"/>
      <c r="AO24" s="392" t="s">
        <v>464</v>
      </c>
      <c r="AP24" s="17"/>
      <c r="AQ24" s="17"/>
      <c r="AR24" s="168"/>
      <c r="AS24" s="388"/>
      <c r="AT24" s="392" t="s">
        <v>530</v>
      </c>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68"/>
    </row>
    <row r="25" ht="18.75" customHeight="1">
      <c r="A25" s="392" t="s">
        <v>531</v>
      </c>
      <c r="B25" s="17"/>
      <c r="C25" s="17"/>
      <c r="D25" s="17"/>
      <c r="E25" s="17"/>
      <c r="F25" s="168"/>
      <c r="G25" s="399" t="s">
        <v>532</v>
      </c>
      <c r="H25" s="17"/>
      <c r="I25" s="17"/>
      <c r="J25" s="17"/>
      <c r="K25" s="17"/>
      <c r="L25" s="17"/>
      <c r="M25" s="17"/>
      <c r="N25" s="17"/>
      <c r="O25" s="17"/>
      <c r="P25" s="17"/>
      <c r="Q25" s="17"/>
      <c r="R25" s="17"/>
      <c r="S25" s="168"/>
      <c r="T25" s="388"/>
      <c r="U25" s="392" t="s">
        <v>533</v>
      </c>
      <c r="V25" s="17"/>
      <c r="W25" s="17"/>
      <c r="X25" s="17"/>
      <c r="Y25" s="17"/>
      <c r="Z25" s="17"/>
      <c r="AA25" s="17"/>
      <c r="AB25" s="17"/>
      <c r="AC25" s="17"/>
      <c r="AD25" s="17"/>
      <c r="AE25" s="17"/>
      <c r="AF25" s="17"/>
      <c r="AG25" s="17"/>
      <c r="AH25" s="17"/>
      <c r="AI25" s="17"/>
      <c r="AJ25" s="17"/>
      <c r="AK25" s="17"/>
      <c r="AL25" s="17"/>
      <c r="AM25" s="17"/>
      <c r="AN25" s="168"/>
      <c r="AO25" s="392" t="s">
        <v>464</v>
      </c>
      <c r="AP25" s="17"/>
      <c r="AQ25" s="17"/>
      <c r="AR25" s="168"/>
      <c r="AS25" s="396"/>
      <c r="AT25" s="397"/>
      <c r="AU25" s="397"/>
      <c r="AV25" s="397"/>
      <c r="AW25" s="397"/>
      <c r="AX25" s="397"/>
      <c r="AY25" s="397"/>
      <c r="AZ25" s="397"/>
      <c r="BA25" s="397"/>
      <c r="BB25" s="397"/>
      <c r="BC25" s="397"/>
      <c r="BD25" s="397"/>
      <c r="BE25" s="397"/>
      <c r="BF25" s="397"/>
      <c r="BG25" s="397"/>
      <c r="BH25" s="397"/>
      <c r="BI25" s="397"/>
      <c r="BJ25" s="397"/>
      <c r="BK25" s="397"/>
      <c r="BL25" s="397"/>
      <c r="BM25" s="397"/>
      <c r="BN25" s="397"/>
      <c r="BO25" s="397"/>
      <c r="BP25" s="397"/>
      <c r="BQ25" s="397"/>
      <c r="BR25" s="397"/>
      <c r="BS25" s="397"/>
      <c r="BT25" s="397"/>
      <c r="BU25" s="397"/>
      <c r="BV25" s="397"/>
      <c r="BW25" s="397"/>
      <c r="BX25" s="397"/>
      <c r="BY25" s="397"/>
      <c r="BZ25" s="397"/>
    </row>
    <row r="26" ht="18.75" customHeight="1">
      <c r="A26" s="392" t="s">
        <v>534</v>
      </c>
      <c r="B26" s="17"/>
      <c r="C26" s="17"/>
      <c r="D26" s="17"/>
      <c r="E26" s="17"/>
      <c r="F26" s="168"/>
      <c r="G26" s="399" t="s">
        <v>535</v>
      </c>
      <c r="H26" s="17"/>
      <c r="I26" s="17"/>
      <c r="J26" s="17"/>
      <c r="K26" s="17"/>
      <c r="L26" s="17"/>
      <c r="M26" s="17"/>
      <c r="N26" s="17"/>
      <c r="O26" s="17"/>
      <c r="P26" s="17"/>
      <c r="Q26" s="17"/>
      <c r="R26" s="17"/>
      <c r="S26" s="168"/>
      <c r="T26" s="388"/>
      <c r="U26" s="392" t="s">
        <v>536</v>
      </c>
      <c r="V26" s="17"/>
      <c r="W26" s="17"/>
      <c r="X26" s="17"/>
      <c r="Y26" s="17"/>
      <c r="Z26" s="17"/>
      <c r="AA26" s="17"/>
      <c r="AB26" s="17"/>
      <c r="AC26" s="17"/>
      <c r="AD26" s="17"/>
      <c r="AE26" s="17"/>
      <c r="AF26" s="17"/>
      <c r="AG26" s="17"/>
      <c r="AH26" s="17"/>
      <c r="AI26" s="17"/>
      <c r="AJ26" s="17"/>
      <c r="AK26" s="17"/>
      <c r="AL26" s="17"/>
      <c r="AM26" s="17"/>
      <c r="AN26" s="168"/>
      <c r="AO26" s="392" t="s">
        <v>485</v>
      </c>
      <c r="AP26" s="17"/>
      <c r="AQ26" s="17"/>
      <c r="AR26" s="168"/>
      <c r="AS26" s="388"/>
      <c r="AT26" s="413" t="s">
        <v>537</v>
      </c>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5"/>
    </row>
    <row r="27" ht="18.75" customHeight="1">
      <c r="A27" s="397"/>
      <c r="B27" s="397"/>
      <c r="C27" s="397"/>
      <c r="D27" s="397"/>
      <c r="E27" s="397"/>
      <c r="F27" s="397"/>
      <c r="G27" s="397"/>
      <c r="H27" s="397"/>
      <c r="I27" s="397"/>
      <c r="J27" s="397"/>
      <c r="K27" s="397"/>
      <c r="L27" s="397"/>
      <c r="M27" s="397"/>
      <c r="N27" s="397"/>
      <c r="O27" s="397"/>
      <c r="P27" s="397"/>
      <c r="Q27" s="397"/>
      <c r="R27" s="397"/>
      <c r="S27" s="397"/>
      <c r="T27" s="401"/>
      <c r="U27" s="392" t="s">
        <v>538</v>
      </c>
      <c r="V27" s="17"/>
      <c r="W27" s="17"/>
      <c r="X27" s="17"/>
      <c r="Y27" s="17"/>
      <c r="Z27" s="17"/>
      <c r="AA27" s="17"/>
      <c r="AB27" s="17"/>
      <c r="AC27" s="17"/>
      <c r="AD27" s="17"/>
      <c r="AE27" s="17"/>
      <c r="AF27" s="17"/>
      <c r="AG27" s="17"/>
      <c r="AH27" s="17"/>
      <c r="AI27" s="17"/>
      <c r="AJ27" s="17"/>
      <c r="AK27" s="17"/>
      <c r="AL27" s="17"/>
      <c r="AM27" s="17"/>
      <c r="AN27" s="168"/>
      <c r="AO27" s="392" t="s">
        <v>525</v>
      </c>
      <c r="AP27" s="17"/>
      <c r="AQ27" s="17"/>
      <c r="AR27" s="168"/>
      <c r="AS27" s="388"/>
      <c r="AT27" s="414" t="s">
        <v>456</v>
      </c>
      <c r="BR27" s="415" t="s">
        <v>539</v>
      </c>
      <c r="BW27" s="415" t="s">
        <v>540</v>
      </c>
      <c r="BZ27" s="49"/>
    </row>
    <row r="28" ht="18.75" customHeight="1">
      <c r="A28" s="413" t="s">
        <v>541</v>
      </c>
      <c r="B28" s="3"/>
      <c r="C28" s="3"/>
      <c r="D28" s="3"/>
      <c r="E28" s="3"/>
      <c r="F28" s="3"/>
      <c r="G28" s="3"/>
      <c r="H28" s="3"/>
      <c r="I28" s="3"/>
      <c r="J28" s="3"/>
      <c r="K28" s="3"/>
      <c r="L28" s="3"/>
      <c r="M28" s="3"/>
      <c r="N28" s="3"/>
      <c r="O28" s="3"/>
      <c r="P28" s="3"/>
      <c r="Q28" s="3"/>
      <c r="R28" s="3"/>
      <c r="S28" s="5"/>
      <c r="T28" s="388"/>
      <c r="U28" s="392" t="s">
        <v>542</v>
      </c>
      <c r="V28" s="17"/>
      <c r="W28" s="17"/>
      <c r="X28" s="17"/>
      <c r="Y28" s="17"/>
      <c r="Z28" s="17"/>
      <c r="AA28" s="17"/>
      <c r="AB28" s="17"/>
      <c r="AC28" s="17"/>
      <c r="AD28" s="17"/>
      <c r="AE28" s="17"/>
      <c r="AF28" s="17"/>
      <c r="AG28" s="17"/>
      <c r="AH28" s="17"/>
      <c r="AI28" s="17"/>
      <c r="AJ28" s="17"/>
      <c r="AK28" s="17"/>
      <c r="AL28" s="17"/>
      <c r="AM28" s="17"/>
      <c r="AN28" s="168"/>
      <c r="AO28" s="392" t="s">
        <v>543</v>
      </c>
      <c r="AP28" s="17"/>
      <c r="AQ28" s="17"/>
      <c r="AR28" s="168"/>
      <c r="AS28" s="388"/>
      <c r="AT28" s="398" t="s">
        <v>544</v>
      </c>
      <c r="AU28" s="11"/>
      <c r="AV28" s="11"/>
      <c r="AW28" s="11"/>
      <c r="AX28" s="11"/>
      <c r="AY28" s="11"/>
      <c r="AZ28" s="11"/>
      <c r="BA28" s="11"/>
      <c r="BB28" s="11"/>
      <c r="BC28" s="11"/>
      <c r="BD28" s="11"/>
      <c r="BE28" s="11"/>
      <c r="BF28" s="11"/>
      <c r="BG28" s="11"/>
      <c r="BH28" s="11"/>
      <c r="BI28" s="11"/>
      <c r="BJ28" s="11"/>
      <c r="BK28" s="11"/>
      <c r="BL28" s="11"/>
      <c r="BM28" s="11"/>
      <c r="BN28" s="11"/>
      <c r="BO28" s="11"/>
      <c r="BP28" s="11"/>
      <c r="BQ28" s="12"/>
      <c r="BR28" s="416" t="s">
        <v>303</v>
      </c>
      <c r="BS28" s="11"/>
      <c r="BT28" s="11"/>
      <c r="BU28" s="11"/>
      <c r="BV28" s="12"/>
      <c r="BW28" s="416" t="s">
        <v>545</v>
      </c>
      <c r="BX28" s="11"/>
      <c r="BY28" s="11"/>
      <c r="BZ28" s="12"/>
    </row>
    <row r="29" ht="18.75" customHeight="1">
      <c r="A29" s="414" t="s">
        <v>378</v>
      </c>
      <c r="P29" s="417" t="s">
        <v>379</v>
      </c>
      <c r="S29" s="49"/>
      <c r="T29" s="388"/>
      <c r="U29" s="392" t="s">
        <v>546</v>
      </c>
      <c r="V29" s="17"/>
      <c r="W29" s="17"/>
      <c r="X29" s="17"/>
      <c r="Y29" s="17"/>
      <c r="Z29" s="17"/>
      <c r="AA29" s="17"/>
      <c r="AB29" s="17"/>
      <c r="AC29" s="17"/>
      <c r="AD29" s="17"/>
      <c r="AE29" s="17"/>
      <c r="AF29" s="17"/>
      <c r="AG29" s="17"/>
      <c r="AH29" s="17"/>
      <c r="AI29" s="17"/>
      <c r="AJ29" s="17"/>
      <c r="AK29" s="17"/>
      <c r="AL29" s="17"/>
      <c r="AM29" s="17"/>
      <c r="AN29" s="168"/>
      <c r="AO29" s="392" t="s">
        <v>498</v>
      </c>
      <c r="AP29" s="17"/>
      <c r="AQ29" s="17"/>
      <c r="AR29" s="168"/>
      <c r="AS29" s="388"/>
      <c r="AT29" s="399" t="s">
        <v>547</v>
      </c>
      <c r="AU29" s="17"/>
      <c r="AV29" s="17"/>
      <c r="AW29" s="17"/>
      <c r="AX29" s="17"/>
      <c r="AY29" s="17"/>
      <c r="AZ29" s="17"/>
      <c r="BA29" s="17"/>
      <c r="BB29" s="17"/>
      <c r="BC29" s="17"/>
      <c r="BD29" s="17"/>
      <c r="BE29" s="17"/>
      <c r="BF29" s="17"/>
      <c r="BG29" s="17"/>
      <c r="BH29" s="17"/>
      <c r="BI29" s="17"/>
      <c r="BJ29" s="17"/>
      <c r="BK29" s="17"/>
      <c r="BL29" s="17"/>
      <c r="BM29" s="17"/>
      <c r="BN29" s="17"/>
      <c r="BO29" s="17"/>
      <c r="BP29" s="17"/>
      <c r="BQ29" s="168"/>
      <c r="BR29" s="418" t="s">
        <v>289</v>
      </c>
      <c r="BS29" s="17"/>
      <c r="BT29" s="17"/>
      <c r="BU29" s="17"/>
      <c r="BV29" s="168"/>
      <c r="BW29" s="418" t="s">
        <v>548</v>
      </c>
      <c r="BX29" s="17"/>
      <c r="BY29" s="17"/>
      <c r="BZ29" s="168"/>
    </row>
    <row r="30" ht="18.75" customHeight="1">
      <c r="A30" s="393" t="s">
        <v>549</v>
      </c>
      <c r="B30" s="11"/>
      <c r="C30" s="11"/>
      <c r="D30" s="11"/>
      <c r="E30" s="11"/>
      <c r="F30" s="11"/>
      <c r="G30" s="11"/>
      <c r="H30" s="11"/>
      <c r="I30" s="11"/>
      <c r="J30" s="11"/>
      <c r="K30" s="11"/>
      <c r="L30" s="11"/>
      <c r="M30" s="11"/>
      <c r="N30" s="11"/>
      <c r="O30" s="12"/>
      <c r="P30" s="393" t="s">
        <v>550</v>
      </c>
      <c r="Q30" s="11"/>
      <c r="R30" s="11"/>
      <c r="S30" s="12"/>
      <c r="T30" s="396"/>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401"/>
      <c r="AT30" s="399" t="s">
        <v>551</v>
      </c>
      <c r="AU30" s="17"/>
      <c r="AV30" s="17"/>
      <c r="AW30" s="17"/>
      <c r="AX30" s="17"/>
      <c r="AY30" s="17"/>
      <c r="AZ30" s="17"/>
      <c r="BA30" s="17"/>
      <c r="BB30" s="17"/>
      <c r="BC30" s="17"/>
      <c r="BD30" s="17"/>
      <c r="BE30" s="17"/>
      <c r="BF30" s="17"/>
      <c r="BG30" s="17"/>
      <c r="BH30" s="17"/>
      <c r="BI30" s="17"/>
      <c r="BJ30" s="17"/>
      <c r="BK30" s="17"/>
      <c r="BL30" s="17"/>
      <c r="BM30" s="17"/>
      <c r="BN30" s="17"/>
      <c r="BO30" s="17"/>
      <c r="BP30" s="17"/>
      <c r="BQ30" s="168"/>
      <c r="BR30" s="418" t="s">
        <v>277</v>
      </c>
      <c r="BS30" s="17"/>
      <c r="BT30" s="17"/>
      <c r="BU30" s="17"/>
      <c r="BV30" s="168"/>
      <c r="BW30" s="418" t="s">
        <v>552</v>
      </c>
      <c r="BX30" s="17"/>
      <c r="BY30" s="17"/>
      <c r="BZ30" s="168"/>
    </row>
    <row r="31" ht="18.75" customHeight="1">
      <c r="A31" s="392" t="s">
        <v>553</v>
      </c>
      <c r="B31" s="17"/>
      <c r="C31" s="17"/>
      <c r="D31" s="17"/>
      <c r="E31" s="17"/>
      <c r="F31" s="17"/>
      <c r="G31" s="17"/>
      <c r="H31" s="17"/>
      <c r="I31" s="17"/>
      <c r="J31" s="17"/>
      <c r="K31" s="17"/>
      <c r="L31" s="17"/>
      <c r="M31" s="17"/>
      <c r="N31" s="17"/>
      <c r="O31" s="168"/>
      <c r="P31" s="392" t="s">
        <v>554</v>
      </c>
      <c r="Q31" s="17"/>
      <c r="R31" s="17"/>
      <c r="S31" s="168"/>
      <c r="T31" s="388"/>
      <c r="U31" s="387" t="s">
        <v>555</v>
      </c>
      <c r="V31" s="3"/>
      <c r="W31" s="3"/>
      <c r="X31" s="3"/>
      <c r="Y31" s="3"/>
      <c r="Z31" s="3"/>
      <c r="AA31" s="3"/>
      <c r="AB31" s="3"/>
      <c r="AC31" s="3"/>
      <c r="AD31" s="3"/>
      <c r="AE31" s="3"/>
      <c r="AF31" s="3"/>
      <c r="AG31" s="3"/>
      <c r="AH31" s="3"/>
      <c r="AI31" s="3"/>
      <c r="AJ31" s="3"/>
      <c r="AK31" s="3"/>
      <c r="AL31" s="3"/>
      <c r="AM31" s="3"/>
      <c r="AN31" s="3"/>
      <c r="AO31" s="3"/>
      <c r="AP31" s="3"/>
      <c r="AQ31" s="3"/>
      <c r="AR31" s="5"/>
      <c r="AS31" s="388"/>
      <c r="AT31" s="399" t="s">
        <v>556</v>
      </c>
      <c r="AU31" s="17"/>
      <c r="AV31" s="17"/>
      <c r="AW31" s="17"/>
      <c r="AX31" s="17"/>
      <c r="AY31" s="17"/>
      <c r="AZ31" s="17"/>
      <c r="BA31" s="17"/>
      <c r="BB31" s="17"/>
      <c r="BC31" s="17"/>
      <c r="BD31" s="17"/>
      <c r="BE31" s="17"/>
      <c r="BF31" s="17"/>
      <c r="BG31" s="17"/>
      <c r="BH31" s="17"/>
      <c r="BI31" s="17"/>
      <c r="BJ31" s="17"/>
      <c r="BK31" s="17"/>
      <c r="BL31" s="17"/>
      <c r="BM31" s="17"/>
      <c r="BN31" s="17"/>
      <c r="BO31" s="17"/>
      <c r="BP31" s="17"/>
      <c r="BQ31" s="168"/>
      <c r="BR31" s="418" t="s">
        <v>277</v>
      </c>
      <c r="BS31" s="17"/>
      <c r="BT31" s="17"/>
      <c r="BU31" s="17"/>
      <c r="BV31" s="168"/>
      <c r="BW31" s="418" t="s">
        <v>545</v>
      </c>
      <c r="BX31" s="17"/>
      <c r="BY31" s="17"/>
      <c r="BZ31" s="168"/>
    </row>
    <row r="32" ht="18.75" customHeight="1">
      <c r="A32" s="392" t="s">
        <v>557</v>
      </c>
      <c r="B32" s="17"/>
      <c r="C32" s="17"/>
      <c r="D32" s="17"/>
      <c r="E32" s="17"/>
      <c r="F32" s="17"/>
      <c r="G32" s="17"/>
      <c r="H32" s="17"/>
      <c r="I32" s="17"/>
      <c r="J32" s="17"/>
      <c r="K32" s="17"/>
      <c r="L32" s="17"/>
      <c r="M32" s="17"/>
      <c r="N32" s="17"/>
      <c r="O32" s="168"/>
      <c r="P32" s="392" t="s">
        <v>558</v>
      </c>
      <c r="Q32" s="17"/>
      <c r="R32" s="17"/>
      <c r="S32" s="168"/>
      <c r="T32" s="388"/>
      <c r="U32" s="390" t="s">
        <v>351</v>
      </c>
      <c r="AI32" s="391" t="s">
        <v>352</v>
      </c>
      <c r="AR32" s="49"/>
      <c r="AS32" s="396"/>
      <c r="AT32" s="397"/>
      <c r="AU32" s="397"/>
      <c r="AV32" s="397"/>
      <c r="AW32" s="397"/>
      <c r="AX32" s="397"/>
      <c r="AY32" s="397"/>
      <c r="AZ32" s="397"/>
      <c r="BA32" s="397"/>
      <c r="BB32" s="397"/>
      <c r="BC32" s="397"/>
      <c r="BD32" s="397"/>
      <c r="BE32" s="397"/>
      <c r="BF32" s="397"/>
      <c r="BG32" s="397"/>
      <c r="BH32" s="397"/>
      <c r="BI32" s="397"/>
      <c r="BJ32" s="397"/>
      <c r="BK32" s="397"/>
      <c r="BL32" s="397"/>
      <c r="BM32" s="397"/>
      <c r="BN32" s="397"/>
      <c r="BO32" s="397"/>
      <c r="BP32" s="397"/>
      <c r="BQ32" s="397"/>
      <c r="BR32" s="397"/>
      <c r="BS32" s="397"/>
      <c r="BT32" s="397"/>
      <c r="BU32" s="397"/>
      <c r="BV32" s="397"/>
      <c r="BW32" s="397"/>
      <c r="BX32" s="397"/>
      <c r="BY32" s="397"/>
      <c r="BZ32" s="397"/>
    </row>
    <row r="33" ht="18.75" customHeight="1">
      <c r="A33" s="392" t="s">
        <v>559</v>
      </c>
      <c r="B33" s="17"/>
      <c r="C33" s="17"/>
      <c r="D33" s="17"/>
      <c r="E33" s="17"/>
      <c r="F33" s="17"/>
      <c r="G33" s="17"/>
      <c r="H33" s="17"/>
      <c r="I33" s="17"/>
      <c r="J33" s="17"/>
      <c r="K33" s="17"/>
      <c r="L33" s="17"/>
      <c r="M33" s="17"/>
      <c r="N33" s="17"/>
      <c r="O33" s="168"/>
      <c r="P33" s="392" t="s">
        <v>560</v>
      </c>
      <c r="Q33" s="17"/>
      <c r="R33" s="17"/>
      <c r="S33" s="168"/>
      <c r="T33" s="388"/>
      <c r="U33" s="393" t="s">
        <v>561</v>
      </c>
      <c r="V33" s="11"/>
      <c r="W33" s="11"/>
      <c r="X33" s="11"/>
      <c r="Y33" s="11"/>
      <c r="Z33" s="11"/>
      <c r="AA33" s="11"/>
      <c r="AB33" s="11"/>
      <c r="AC33" s="11"/>
      <c r="AD33" s="11"/>
      <c r="AE33" s="11"/>
      <c r="AF33" s="11"/>
      <c r="AG33" s="11"/>
      <c r="AH33" s="12"/>
      <c r="AI33" s="393" t="s">
        <v>562</v>
      </c>
      <c r="AJ33" s="11"/>
      <c r="AK33" s="11"/>
      <c r="AL33" s="11"/>
      <c r="AM33" s="11"/>
      <c r="AN33" s="11"/>
      <c r="AO33" s="11"/>
      <c r="AP33" s="11"/>
      <c r="AQ33" s="11"/>
      <c r="AR33" s="12"/>
      <c r="AS33" s="388"/>
      <c r="AT33" s="413" t="s">
        <v>563</v>
      </c>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5"/>
    </row>
    <row r="34" ht="18.75" customHeight="1">
      <c r="A34" s="392" t="s">
        <v>564</v>
      </c>
      <c r="B34" s="17"/>
      <c r="C34" s="17"/>
      <c r="D34" s="17"/>
      <c r="E34" s="17"/>
      <c r="F34" s="17"/>
      <c r="G34" s="17"/>
      <c r="H34" s="17"/>
      <c r="I34" s="17"/>
      <c r="J34" s="17"/>
      <c r="K34" s="17"/>
      <c r="L34" s="17"/>
      <c r="M34" s="17"/>
      <c r="N34" s="17"/>
      <c r="O34" s="168"/>
      <c r="P34" s="392" t="s">
        <v>565</v>
      </c>
      <c r="Q34" s="17"/>
      <c r="R34" s="17"/>
      <c r="S34" s="168"/>
      <c r="T34" s="388"/>
      <c r="U34" s="392" t="s">
        <v>566</v>
      </c>
      <c r="V34" s="17"/>
      <c r="W34" s="17"/>
      <c r="X34" s="17"/>
      <c r="Y34" s="17"/>
      <c r="Z34" s="17"/>
      <c r="AA34" s="17"/>
      <c r="AB34" s="17"/>
      <c r="AC34" s="17"/>
      <c r="AD34" s="17"/>
      <c r="AE34" s="17"/>
      <c r="AF34" s="17"/>
      <c r="AG34" s="17"/>
      <c r="AH34" s="168"/>
      <c r="AI34" s="392" t="s">
        <v>567</v>
      </c>
      <c r="AJ34" s="17"/>
      <c r="AK34" s="17"/>
      <c r="AL34" s="17"/>
      <c r="AM34" s="17"/>
      <c r="AN34" s="17"/>
      <c r="AO34" s="17"/>
      <c r="AP34" s="17"/>
      <c r="AQ34" s="17"/>
      <c r="AR34" s="168"/>
      <c r="AS34" s="388"/>
      <c r="AT34" s="414" t="s">
        <v>568</v>
      </c>
      <c r="BO34" s="417" t="s">
        <v>569</v>
      </c>
      <c r="BZ34" s="49"/>
    </row>
    <row r="35" ht="18.75" customHeight="1">
      <c r="A35" s="392" t="s">
        <v>570</v>
      </c>
      <c r="B35" s="17"/>
      <c r="C35" s="17"/>
      <c r="D35" s="17"/>
      <c r="E35" s="17"/>
      <c r="F35" s="17"/>
      <c r="G35" s="17"/>
      <c r="H35" s="17"/>
      <c r="I35" s="17"/>
      <c r="J35" s="17"/>
      <c r="K35" s="17"/>
      <c r="L35" s="17"/>
      <c r="M35" s="17"/>
      <c r="N35" s="17"/>
      <c r="O35" s="168"/>
      <c r="P35" s="392" t="s">
        <v>571</v>
      </c>
      <c r="Q35" s="17"/>
      <c r="R35" s="17"/>
      <c r="S35" s="168"/>
      <c r="T35" s="388"/>
      <c r="U35" s="392" t="s">
        <v>572</v>
      </c>
      <c r="V35" s="17"/>
      <c r="W35" s="17"/>
      <c r="X35" s="17"/>
      <c r="Y35" s="17"/>
      <c r="Z35" s="17"/>
      <c r="AA35" s="17"/>
      <c r="AB35" s="17"/>
      <c r="AC35" s="17"/>
      <c r="AD35" s="17"/>
      <c r="AE35" s="17"/>
      <c r="AF35" s="17"/>
      <c r="AG35" s="17"/>
      <c r="AH35" s="168"/>
      <c r="AI35" s="392" t="s">
        <v>573</v>
      </c>
      <c r="AJ35" s="17"/>
      <c r="AK35" s="17"/>
      <c r="AL35" s="17"/>
      <c r="AM35" s="17"/>
      <c r="AN35" s="17"/>
      <c r="AO35" s="17"/>
      <c r="AP35" s="17"/>
      <c r="AQ35" s="17"/>
      <c r="AR35" s="168"/>
      <c r="AS35" s="388"/>
      <c r="AT35" s="398" t="s">
        <v>574</v>
      </c>
      <c r="AU35" s="11"/>
      <c r="AV35" s="11"/>
      <c r="AW35" s="11"/>
      <c r="AX35" s="11"/>
      <c r="AY35" s="11"/>
      <c r="AZ35" s="11"/>
      <c r="BA35" s="11"/>
      <c r="BB35" s="11"/>
      <c r="BC35" s="11"/>
      <c r="BD35" s="11"/>
      <c r="BE35" s="11"/>
      <c r="BF35" s="11"/>
      <c r="BG35" s="11"/>
      <c r="BH35" s="11"/>
      <c r="BI35" s="11"/>
      <c r="BJ35" s="11"/>
      <c r="BK35" s="11"/>
      <c r="BL35" s="11"/>
      <c r="BM35" s="11"/>
      <c r="BN35" s="12"/>
      <c r="BO35" s="398" t="s">
        <v>575</v>
      </c>
      <c r="BP35" s="11"/>
      <c r="BQ35" s="11"/>
      <c r="BR35" s="11"/>
      <c r="BS35" s="11"/>
      <c r="BT35" s="11"/>
      <c r="BU35" s="11"/>
      <c r="BV35" s="11"/>
      <c r="BW35" s="11"/>
      <c r="BX35" s="11"/>
      <c r="BY35" s="11"/>
      <c r="BZ35" s="12"/>
    </row>
    <row r="36" ht="18.75" customHeight="1">
      <c r="A36" s="392" t="s">
        <v>576</v>
      </c>
      <c r="B36" s="17"/>
      <c r="C36" s="17"/>
      <c r="D36" s="17"/>
      <c r="E36" s="17"/>
      <c r="F36" s="17"/>
      <c r="G36" s="17"/>
      <c r="H36" s="17"/>
      <c r="I36" s="17"/>
      <c r="J36" s="17"/>
      <c r="K36" s="17"/>
      <c r="L36" s="17"/>
      <c r="M36" s="17"/>
      <c r="N36" s="17"/>
      <c r="O36" s="168"/>
      <c r="P36" s="392" t="s">
        <v>577</v>
      </c>
      <c r="Q36" s="17"/>
      <c r="R36" s="17"/>
      <c r="S36" s="168"/>
      <c r="T36" s="396"/>
      <c r="U36" s="405"/>
      <c r="V36" s="405"/>
      <c r="W36" s="405"/>
      <c r="X36" s="405"/>
      <c r="Y36" s="405"/>
      <c r="Z36" s="405"/>
      <c r="AA36" s="405"/>
      <c r="AB36" s="405"/>
      <c r="AC36" s="405"/>
      <c r="AD36" s="405"/>
      <c r="AE36" s="405"/>
      <c r="AF36" s="405"/>
      <c r="AG36" s="405"/>
      <c r="AH36" s="405"/>
      <c r="AI36" s="405"/>
      <c r="AJ36" s="405"/>
      <c r="AK36" s="405"/>
      <c r="AL36" s="405"/>
      <c r="AM36" s="405"/>
      <c r="AN36" s="405"/>
      <c r="AO36" s="405"/>
      <c r="AP36" s="405"/>
      <c r="AQ36" s="405"/>
      <c r="AR36" s="405"/>
      <c r="AS36" s="401"/>
      <c r="AT36" s="399" t="s">
        <v>578</v>
      </c>
      <c r="AU36" s="17"/>
      <c r="AV36" s="17"/>
      <c r="AW36" s="17"/>
      <c r="AX36" s="17"/>
      <c r="AY36" s="17"/>
      <c r="AZ36" s="17"/>
      <c r="BA36" s="17"/>
      <c r="BB36" s="17"/>
      <c r="BC36" s="17"/>
      <c r="BD36" s="17"/>
      <c r="BE36" s="17"/>
      <c r="BF36" s="17"/>
      <c r="BG36" s="17"/>
      <c r="BH36" s="17"/>
      <c r="BI36" s="17"/>
      <c r="BJ36" s="17"/>
      <c r="BK36" s="17"/>
      <c r="BL36" s="17"/>
      <c r="BM36" s="17"/>
      <c r="BN36" s="168"/>
      <c r="BO36" s="399" t="s">
        <v>579</v>
      </c>
      <c r="BP36" s="17"/>
      <c r="BQ36" s="17"/>
      <c r="BR36" s="17"/>
      <c r="BS36" s="17"/>
      <c r="BT36" s="17"/>
      <c r="BU36" s="17"/>
      <c r="BV36" s="17"/>
      <c r="BW36" s="17"/>
      <c r="BX36" s="17"/>
      <c r="BY36" s="17"/>
      <c r="BZ36" s="168"/>
    </row>
    <row r="37" ht="18.75" customHeight="1">
      <c r="A37" s="392" t="s">
        <v>580</v>
      </c>
      <c r="B37" s="17"/>
      <c r="C37" s="17"/>
      <c r="D37" s="17"/>
      <c r="E37" s="17"/>
      <c r="F37" s="17"/>
      <c r="G37" s="17"/>
      <c r="H37" s="17"/>
      <c r="I37" s="17"/>
      <c r="J37" s="17"/>
      <c r="K37" s="17"/>
      <c r="L37" s="17"/>
      <c r="M37" s="17"/>
      <c r="N37" s="17"/>
      <c r="O37" s="168"/>
      <c r="P37" s="392" t="s">
        <v>581</v>
      </c>
      <c r="Q37" s="17"/>
      <c r="R37" s="17"/>
      <c r="S37" s="168"/>
      <c r="T37" s="396"/>
      <c r="U37" s="400"/>
      <c r="V37" s="400"/>
      <c r="W37" s="400"/>
      <c r="X37" s="400"/>
      <c r="Y37" s="400"/>
      <c r="Z37" s="400"/>
      <c r="AA37" s="400"/>
      <c r="AB37" s="400"/>
      <c r="AC37" s="400"/>
      <c r="AD37" s="400"/>
      <c r="AE37" s="400"/>
      <c r="AF37" s="400"/>
      <c r="AG37" s="400"/>
      <c r="AH37" s="400"/>
      <c r="AI37" s="400"/>
      <c r="AJ37" s="400"/>
      <c r="AK37" s="400"/>
      <c r="AL37" s="400"/>
      <c r="AM37" s="400"/>
      <c r="AN37" s="400"/>
      <c r="AO37" s="400"/>
      <c r="AP37" s="400"/>
      <c r="AQ37" s="400"/>
      <c r="AR37" s="400"/>
      <c r="AS37" s="401"/>
      <c r="AT37" s="399" t="s">
        <v>582</v>
      </c>
      <c r="AU37" s="17"/>
      <c r="AV37" s="17"/>
      <c r="AW37" s="17"/>
      <c r="AX37" s="17"/>
      <c r="AY37" s="17"/>
      <c r="AZ37" s="17"/>
      <c r="BA37" s="17"/>
      <c r="BB37" s="17"/>
      <c r="BC37" s="17"/>
      <c r="BD37" s="17"/>
      <c r="BE37" s="17"/>
      <c r="BF37" s="17"/>
      <c r="BG37" s="17"/>
      <c r="BH37" s="17"/>
      <c r="BI37" s="17"/>
      <c r="BJ37" s="17"/>
      <c r="BK37" s="17"/>
      <c r="BL37" s="17"/>
      <c r="BM37" s="17"/>
      <c r="BN37" s="168"/>
      <c r="BO37" s="399" t="s">
        <v>583</v>
      </c>
      <c r="BP37" s="17"/>
      <c r="BQ37" s="17"/>
      <c r="BR37" s="17"/>
      <c r="BS37" s="17"/>
      <c r="BT37" s="17"/>
      <c r="BU37" s="17"/>
      <c r="BV37" s="17"/>
      <c r="BW37" s="17"/>
      <c r="BX37" s="17"/>
      <c r="BY37" s="17"/>
      <c r="BZ37" s="168"/>
    </row>
    <row r="38" ht="18.75" customHeight="1">
      <c r="A38" s="392" t="s">
        <v>584</v>
      </c>
      <c r="B38" s="17"/>
      <c r="C38" s="17"/>
      <c r="D38" s="17"/>
      <c r="E38" s="17"/>
      <c r="F38" s="17"/>
      <c r="G38" s="17"/>
      <c r="H38" s="17"/>
      <c r="I38" s="17"/>
      <c r="J38" s="17"/>
      <c r="K38" s="17"/>
      <c r="L38" s="17"/>
      <c r="M38" s="17"/>
      <c r="N38" s="17"/>
      <c r="O38" s="168"/>
      <c r="P38" s="392" t="s">
        <v>585</v>
      </c>
      <c r="Q38" s="17"/>
      <c r="R38" s="17"/>
      <c r="S38" s="168"/>
      <c r="T38" s="396"/>
      <c r="U38" s="400"/>
      <c r="V38" s="400"/>
      <c r="W38" s="400"/>
      <c r="X38" s="400"/>
      <c r="Y38" s="400"/>
      <c r="Z38" s="400"/>
      <c r="AA38" s="400"/>
      <c r="AB38" s="400"/>
      <c r="AC38" s="400"/>
      <c r="AD38" s="400"/>
      <c r="AE38" s="400"/>
      <c r="AF38" s="400"/>
      <c r="AG38" s="400"/>
      <c r="AH38" s="400"/>
      <c r="AI38" s="400"/>
      <c r="AJ38" s="400"/>
      <c r="AK38" s="400"/>
      <c r="AL38" s="400"/>
      <c r="AM38" s="400"/>
      <c r="AN38" s="400"/>
      <c r="AO38" s="400"/>
      <c r="AP38" s="400"/>
      <c r="AQ38" s="400"/>
      <c r="AR38" s="400"/>
      <c r="AS38" s="400"/>
      <c r="AT38" s="405"/>
      <c r="AU38" s="405"/>
      <c r="AV38" s="405"/>
      <c r="AW38" s="405"/>
      <c r="AX38" s="405"/>
      <c r="AY38" s="405"/>
      <c r="AZ38" s="405"/>
      <c r="BA38" s="405"/>
      <c r="BB38" s="405"/>
      <c r="BC38" s="405"/>
      <c r="BD38" s="405"/>
      <c r="BE38" s="405"/>
      <c r="BF38" s="405"/>
      <c r="BG38" s="405"/>
      <c r="BH38" s="405"/>
      <c r="BI38" s="405"/>
      <c r="BJ38" s="405"/>
      <c r="BK38" s="405"/>
      <c r="BL38" s="405"/>
      <c r="BM38" s="405"/>
      <c r="BN38" s="405"/>
      <c r="BO38" s="405"/>
      <c r="BP38" s="405"/>
      <c r="BQ38" s="405"/>
      <c r="BR38" s="405"/>
      <c r="BS38" s="405"/>
      <c r="BT38" s="405"/>
      <c r="BU38" s="405"/>
      <c r="BV38" s="405"/>
      <c r="BW38" s="405"/>
      <c r="BX38" s="405"/>
      <c r="BY38" s="405"/>
      <c r="BZ38" s="405"/>
    </row>
    <row r="39" ht="18.75" customHeight="1">
      <c r="A39" s="392" t="s">
        <v>586</v>
      </c>
      <c r="B39" s="17"/>
      <c r="C39" s="17"/>
      <c r="D39" s="17"/>
      <c r="E39" s="17"/>
      <c r="F39" s="17"/>
      <c r="G39" s="17"/>
      <c r="H39" s="17"/>
      <c r="I39" s="17"/>
      <c r="J39" s="17"/>
      <c r="K39" s="17"/>
      <c r="L39" s="17"/>
      <c r="M39" s="17"/>
      <c r="N39" s="17"/>
      <c r="O39" s="168"/>
      <c r="P39" s="392" t="s">
        <v>587</v>
      </c>
      <c r="Q39" s="17"/>
      <c r="R39" s="17"/>
      <c r="S39" s="168"/>
      <c r="T39" s="396"/>
      <c r="U39" s="400"/>
      <c r="V39" s="400"/>
      <c r="W39" s="400"/>
      <c r="X39" s="400"/>
      <c r="Y39" s="400"/>
      <c r="Z39" s="400"/>
      <c r="AA39" s="400"/>
      <c r="AB39" s="400"/>
      <c r="AC39" s="400"/>
      <c r="AD39" s="400"/>
      <c r="AE39" s="400"/>
      <c r="AF39" s="400"/>
      <c r="AG39" s="400"/>
      <c r="AH39" s="400"/>
      <c r="AI39" s="400"/>
      <c r="AJ39" s="400"/>
      <c r="AK39" s="400"/>
      <c r="AL39" s="400"/>
      <c r="AM39" s="400"/>
      <c r="AN39" s="400"/>
      <c r="AO39" s="400"/>
      <c r="AP39" s="400"/>
      <c r="AQ39" s="400"/>
      <c r="AR39" s="400"/>
      <c r="AS39" s="400"/>
      <c r="AT39" s="400"/>
      <c r="AU39" s="400"/>
      <c r="AV39" s="400"/>
      <c r="AW39" s="400"/>
      <c r="AX39" s="400"/>
      <c r="AY39" s="400"/>
      <c r="AZ39" s="400"/>
      <c r="BA39" s="400"/>
      <c r="BB39" s="400"/>
      <c r="BC39" s="400"/>
      <c r="BD39" s="400"/>
      <c r="BE39" s="400"/>
      <c r="BF39" s="400"/>
      <c r="BG39" s="400"/>
      <c r="BH39" s="400"/>
      <c r="BI39" s="400"/>
      <c r="BJ39" s="400"/>
      <c r="BK39" s="400"/>
      <c r="BL39" s="400"/>
      <c r="BM39" s="400"/>
      <c r="BN39" s="400"/>
      <c r="BO39" s="400"/>
      <c r="BP39" s="400"/>
      <c r="BQ39" s="400"/>
      <c r="BR39" s="400"/>
      <c r="BS39" s="400"/>
      <c r="BT39" s="400"/>
      <c r="BU39" s="400"/>
      <c r="BV39" s="400"/>
      <c r="BW39" s="400"/>
      <c r="BX39" s="400"/>
      <c r="BY39" s="400"/>
      <c r="BZ39" s="400"/>
    </row>
    <row r="40" ht="18.75" customHeight="1">
      <c r="A40" s="392" t="s">
        <v>588</v>
      </c>
      <c r="B40" s="17"/>
      <c r="C40" s="17"/>
      <c r="D40" s="17"/>
      <c r="E40" s="17"/>
      <c r="F40" s="17"/>
      <c r="G40" s="17"/>
      <c r="H40" s="17"/>
      <c r="I40" s="17"/>
      <c r="J40" s="17"/>
      <c r="K40" s="17"/>
      <c r="L40" s="17"/>
      <c r="M40" s="17"/>
      <c r="N40" s="17"/>
      <c r="O40" s="168"/>
      <c r="P40" s="392" t="s">
        <v>577</v>
      </c>
      <c r="Q40" s="17"/>
      <c r="R40" s="17"/>
      <c r="S40" s="168"/>
      <c r="T40" s="396"/>
      <c r="U40" s="400"/>
      <c r="V40" s="400"/>
      <c r="W40" s="400"/>
      <c r="X40" s="400"/>
      <c r="Y40" s="400"/>
      <c r="Z40" s="400"/>
      <c r="AA40" s="400"/>
      <c r="AB40" s="400"/>
      <c r="AC40" s="400"/>
      <c r="AD40" s="400"/>
      <c r="AE40" s="400"/>
      <c r="AF40" s="400"/>
      <c r="AG40" s="400"/>
      <c r="AH40" s="400"/>
      <c r="AI40" s="400"/>
      <c r="AJ40" s="400"/>
      <c r="AK40" s="400"/>
      <c r="AL40" s="400"/>
      <c r="AM40" s="400"/>
      <c r="AN40" s="400"/>
      <c r="AO40" s="400"/>
      <c r="AP40" s="400"/>
      <c r="AQ40" s="400"/>
      <c r="AR40" s="400"/>
      <c r="AS40" s="400"/>
      <c r="AT40" s="400"/>
      <c r="AU40" s="400"/>
      <c r="AV40" s="400"/>
      <c r="AW40" s="400"/>
      <c r="AX40" s="400"/>
      <c r="AY40" s="400"/>
      <c r="AZ40" s="400"/>
      <c r="BA40" s="400"/>
      <c r="BB40" s="400"/>
      <c r="BC40" s="400"/>
      <c r="BD40" s="400"/>
      <c r="BE40" s="400"/>
      <c r="BF40" s="400"/>
      <c r="BG40" s="400"/>
      <c r="BH40" s="400"/>
      <c r="BI40" s="400"/>
      <c r="BJ40" s="400"/>
      <c r="BK40" s="400"/>
      <c r="BL40" s="400"/>
      <c r="BM40" s="400"/>
      <c r="BN40" s="400"/>
      <c r="BO40" s="400"/>
      <c r="BP40" s="400"/>
      <c r="BQ40" s="400"/>
      <c r="BR40" s="400"/>
      <c r="BS40" s="400"/>
      <c r="BT40" s="400"/>
      <c r="BU40" s="400"/>
      <c r="BV40" s="400"/>
      <c r="BW40" s="400"/>
      <c r="BX40" s="400"/>
      <c r="BY40" s="400"/>
      <c r="BZ40" s="400"/>
    </row>
    <row r="41" ht="18.75" customHeight="1">
      <c r="A41" s="392" t="s">
        <v>589</v>
      </c>
      <c r="B41" s="17"/>
      <c r="C41" s="17"/>
      <c r="D41" s="17"/>
      <c r="E41" s="17"/>
      <c r="F41" s="17"/>
      <c r="G41" s="17"/>
      <c r="H41" s="17"/>
      <c r="I41" s="17"/>
      <c r="J41" s="17"/>
      <c r="K41" s="17"/>
      <c r="L41" s="17"/>
      <c r="M41" s="17"/>
      <c r="N41" s="17"/>
      <c r="O41" s="168"/>
      <c r="P41" s="392" t="s">
        <v>590</v>
      </c>
      <c r="Q41" s="17"/>
      <c r="R41" s="17"/>
      <c r="S41" s="168"/>
      <c r="T41" s="396"/>
      <c r="U41" s="400"/>
      <c r="V41" s="400"/>
      <c r="W41" s="400"/>
      <c r="X41" s="400"/>
      <c r="Y41" s="400"/>
      <c r="Z41" s="400"/>
      <c r="AA41" s="400"/>
      <c r="AB41" s="400"/>
      <c r="AC41" s="400"/>
      <c r="AD41" s="400"/>
      <c r="AE41" s="400"/>
      <c r="AF41" s="400"/>
      <c r="AG41" s="400"/>
      <c r="AH41" s="400"/>
      <c r="AI41" s="400"/>
      <c r="AJ41" s="400"/>
      <c r="AK41" s="400"/>
      <c r="AL41" s="400"/>
      <c r="AM41" s="400"/>
      <c r="AN41" s="400"/>
      <c r="AO41" s="400"/>
      <c r="AP41" s="400"/>
      <c r="AQ41" s="400"/>
      <c r="AR41" s="400"/>
      <c r="AS41" s="400"/>
      <c r="AT41" s="400"/>
      <c r="AU41" s="400"/>
      <c r="AV41" s="400"/>
      <c r="AW41" s="400"/>
      <c r="AX41" s="400"/>
      <c r="AY41" s="400"/>
      <c r="AZ41" s="400"/>
      <c r="BA41" s="400"/>
      <c r="BB41" s="400"/>
      <c r="BC41" s="400"/>
      <c r="BD41" s="400"/>
      <c r="BE41" s="400"/>
      <c r="BF41" s="400"/>
      <c r="BG41" s="400"/>
      <c r="BH41" s="400"/>
      <c r="BI41" s="400"/>
      <c r="BJ41" s="400"/>
      <c r="BK41" s="400"/>
      <c r="BL41" s="400"/>
      <c r="BM41" s="400"/>
      <c r="BN41" s="400"/>
      <c r="BO41" s="400"/>
      <c r="BP41" s="400"/>
      <c r="BQ41" s="400"/>
      <c r="BR41" s="400"/>
      <c r="BS41" s="400"/>
      <c r="BT41" s="400"/>
      <c r="BU41" s="400"/>
      <c r="BV41" s="400"/>
      <c r="BW41" s="400"/>
      <c r="BX41" s="400"/>
      <c r="BY41" s="400"/>
      <c r="BZ41" s="400"/>
    </row>
    <row r="42" ht="18.75" customHeight="1">
      <c r="A42" s="397"/>
      <c r="B42" s="397"/>
      <c r="C42" s="397"/>
      <c r="D42" s="397"/>
      <c r="E42" s="397"/>
      <c r="F42" s="397"/>
      <c r="G42" s="397"/>
      <c r="H42" s="397"/>
      <c r="I42" s="397"/>
      <c r="J42" s="397"/>
      <c r="K42" s="397"/>
      <c r="L42" s="397"/>
      <c r="M42" s="397"/>
      <c r="N42" s="397"/>
      <c r="O42" s="397"/>
      <c r="P42" s="397"/>
      <c r="Q42" s="397"/>
      <c r="R42" s="397"/>
      <c r="S42" s="397"/>
      <c r="T42" s="406"/>
      <c r="U42" s="406"/>
      <c r="V42" s="406"/>
      <c r="W42" s="406"/>
      <c r="X42" s="406"/>
      <c r="Y42" s="406"/>
      <c r="Z42" s="406"/>
      <c r="AA42" s="406"/>
      <c r="AB42" s="406"/>
      <c r="AC42" s="406"/>
      <c r="AD42" s="406"/>
      <c r="AE42" s="406"/>
      <c r="AF42" s="406"/>
      <c r="AG42" s="406"/>
      <c r="AH42" s="406"/>
      <c r="AI42" s="406"/>
      <c r="AJ42" s="406"/>
      <c r="AK42" s="406"/>
      <c r="AL42" s="406"/>
      <c r="AM42" s="406"/>
      <c r="AN42" s="406"/>
      <c r="AO42" s="406"/>
      <c r="AP42" s="406"/>
      <c r="AQ42" s="406"/>
      <c r="AR42" s="406"/>
      <c r="AS42" s="406"/>
      <c r="AT42" s="406"/>
      <c r="AU42" s="406"/>
      <c r="AV42" s="406"/>
      <c r="AW42" s="406"/>
      <c r="AX42" s="406"/>
      <c r="AY42" s="406"/>
      <c r="AZ42" s="406"/>
      <c r="BA42" s="406"/>
      <c r="BB42" s="406"/>
      <c r="BC42" s="406"/>
      <c r="BD42" s="406"/>
      <c r="BE42" s="406"/>
      <c r="BF42" s="406"/>
      <c r="BG42" s="406"/>
      <c r="BH42" s="406"/>
      <c r="BI42" s="406"/>
      <c r="BJ42" s="406"/>
      <c r="BK42" s="406"/>
      <c r="BL42" s="406"/>
      <c r="BM42" s="406"/>
      <c r="BN42" s="406"/>
      <c r="BO42" s="406"/>
      <c r="BP42" s="406"/>
      <c r="BQ42" s="406"/>
      <c r="BR42" s="406"/>
      <c r="BS42" s="406"/>
      <c r="BT42" s="406"/>
      <c r="BU42" s="406"/>
      <c r="BV42" s="406"/>
      <c r="BW42" s="406"/>
      <c r="BX42" s="406"/>
      <c r="BY42" s="406"/>
      <c r="BZ42" s="406"/>
    </row>
    <row r="43" ht="18.75" customHeight="1">
      <c r="A43" s="413" t="s">
        <v>591</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5"/>
    </row>
    <row r="44" ht="18.75" customHeight="1">
      <c r="A44" s="419" t="s">
        <v>592</v>
      </c>
      <c r="F44" s="420" t="s">
        <v>593</v>
      </c>
      <c r="BZ44" s="49"/>
    </row>
    <row r="45" ht="18.75" customHeight="1">
      <c r="A45" s="421" t="s">
        <v>594</v>
      </c>
      <c r="B45" s="11"/>
      <c r="C45" s="11"/>
      <c r="D45" s="11"/>
      <c r="E45" s="12"/>
      <c r="F45" s="421" t="s">
        <v>595</v>
      </c>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2"/>
    </row>
    <row r="46" ht="18.75" customHeight="1">
      <c r="A46" s="422" t="s">
        <v>596</v>
      </c>
      <c r="B46" s="17"/>
      <c r="C46" s="17"/>
      <c r="D46" s="17"/>
      <c r="E46" s="168"/>
      <c r="F46" s="422" t="s">
        <v>597</v>
      </c>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68"/>
    </row>
    <row r="47" ht="18.75" customHeight="1">
      <c r="A47" s="422" t="s">
        <v>598</v>
      </c>
      <c r="B47" s="17"/>
      <c r="C47" s="17"/>
      <c r="D47" s="17"/>
      <c r="E47" s="168"/>
      <c r="F47" s="422" t="s">
        <v>599</v>
      </c>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68"/>
    </row>
    <row r="48" ht="18.75" customHeight="1">
      <c r="A48" s="422" t="s">
        <v>600</v>
      </c>
      <c r="B48" s="17"/>
      <c r="C48" s="17"/>
      <c r="D48" s="17"/>
      <c r="E48" s="168"/>
      <c r="F48" s="422" t="s">
        <v>601</v>
      </c>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68"/>
    </row>
    <row r="49" ht="18.75" customHeight="1">
      <c r="A49" s="422" t="s">
        <v>602</v>
      </c>
      <c r="B49" s="17"/>
      <c r="C49" s="17"/>
      <c r="D49" s="17"/>
      <c r="E49" s="168"/>
      <c r="F49" s="422" t="s">
        <v>603</v>
      </c>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68"/>
    </row>
    <row r="50" ht="18.75" customHeight="1">
      <c r="A50" s="422" t="s">
        <v>604</v>
      </c>
      <c r="B50" s="17"/>
      <c r="C50" s="17"/>
      <c r="D50" s="17"/>
      <c r="E50" s="168"/>
      <c r="F50" s="422" t="s">
        <v>605</v>
      </c>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68"/>
    </row>
    <row r="51" ht="18.75" customHeight="1">
      <c r="A51" s="422" t="s">
        <v>606</v>
      </c>
      <c r="B51" s="17"/>
      <c r="C51" s="17"/>
      <c r="D51" s="17"/>
      <c r="E51" s="168"/>
      <c r="F51" s="422" t="s">
        <v>607</v>
      </c>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68"/>
    </row>
  </sheetData>
  <mergeCells count="215">
    <mergeCell ref="A25:F25"/>
    <mergeCell ref="G25:S25"/>
    <mergeCell ref="U25:AN25"/>
    <mergeCell ref="AO25:AR25"/>
    <mergeCell ref="A26:F26"/>
    <mergeCell ref="G26:S26"/>
    <mergeCell ref="AO26:AR26"/>
    <mergeCell ref="U26:AN26"/>
    <mergeCell ref="U27:AN27"/>
    <mergeCell ref="AO27:AR27"/>
    <mergeCell ref="A28:S28"/>
    <mergeCell ref="AO28:AR28"/>
    <mergeCell ref="P29:S29"/>
    <mergeCell ref="AO29:AR29"/>
    <mergeCell ref="A14:M14"/>
    <mergeCell ref="A16:S16"/>
    <mergeCell ref="U16:AN16"/>
    <mergeCell ref="AO16:AR16"/>
    <mergeCell ref="A17:S18"/>
    <mergeCell ref="U17:AN17"/>
    <mergeCell ref="AO17:AR17"/>
    <mergeCell ref="U18:AN18"/>
    <mergeCell ref="AO18:AR18"/>
    <mergeCell ref="U19:AN19"/>
    <mergeCell ref="AO19:AR19"/>
    <mergeCell ref="A20:S20"/>
    <mergeCell ref="U20:AN20"/>
    <mergeCell ref="AO20:AR20"/>
    <mergeCell ref="A21:F21"/>
    <mergeCell ref="G21:S21"/>
    <mergeCell ref="U21:AN21"/>
    <mergeCell ref="AO21:AR21"/>
    <mergeCell ref="G22:S22"/>
    <mergeCell ref="U22:AN22"/>
    <mergeCell ref="AO22:AR22"/>
    <mergeCell ref="U24:AN24"/>
    <mergeCell ref="AO24:AR24"/>
    <mergeCell ref="A22:F22"/>
    <mergeCell ref="A23:F23"/>
    <mergeCell ref="G23:S23"/>
    <mergeCell ref="U23:AN23"/>
    <mergeCell ref="AO23:AR23"/>
    <mergeCell ref="A24:F24"/>
    <mergeCell ref="G24:S24"/>
    <mergeCell ref="U28:AN28"/>
    <mergeCell ref="U29:AN29"/>
    <mergeCell ref="U31:AR31"/>
    <mergeCell ref="U32:AH32"/>
    <mergeCell ref="AI32:AR32"/>
    <mergeCell ref="A33:O33"/>
    <mergeCell ref="P33:S33"/>
    <mergeCell ref="U33:AH33"/>
    <mergeCell ref="AI33:AR33"/>
    <mergeCell ref="U7:AN7"/>
    <mergeCell ref="AO7:AR7"/>
    <mergeCell ref="AT7:AZ7"/>
    <mergeCell ref="BA7:BD7"/>
    <mergeCell ref="BE7:BL7"/>
    <mergeCell ref="BM7:BZ7"/>
    <mergeCell ref="A8:S8"/>
    <mergeCell ref="U8:AN8"/>
    <mergeCell ref="AO8:AR8"/>
    <mergeCell ref="AT8:AZ8"/>
    <mergeCell ref="BA8:BD8"/>
    <mergeCell ref="BE8:BL8"/>
    <mergeCell ref="BM8:BZ8"/>
    <mergeCell ref="N9:S9"/>
    <mergeCell ref="U9:AN9"/>
    <mergeCell ref="AO9:AR9"/>
    <mergeCell ref="AT9:AZ9"/>
    <mergeCell ref="BA9:BD9"/>
    <mergeCell ref="BE9:BL9"/>
    <mergeCell ref="BM9:BZ9"/>
    <mergeCell ref="A9:M9"/>
    <mergeCell ref="A10:M10"/>
    <mergeCell ref="N10:S10"/>
    <mergeCell ref="U10:AN10"/>
    <mergeCell ref="AO10:AR10"/>
    <mergeCell ref="AT10:AZ10"/>
    <mergeCell ref="BA10:BD10"/>
    <mergeCell ref="U11:AN11"/>
    <mergeCell ref="U12:AN12"/>
    <mergeCell ref="BE10:BL10"/>
    <mergeCell ref="BM10:BZ10"/>
    <mergeCell ref="A11:M11"/>
    <mergeCell ref="N11:S11"/>
    <mergeCell ref="AO11:AR11"/>
    <mergeCell ref="A12:M12"/>
    <mergeCell ref="N12:S12"/>
    <mergeCell ref="AO12:AR12"/>
    <mergeCell ref="AT12:BZ12"/>
    <mergeCell ref="A13:M13"/>
    <mergeCell ref="N13:S13"/>
    <mergeCell ref="U13:AN13"/>
    <mergeCell ref="AO13:AR13"/>
    <mergeCell ref="AT13:BZ13"/>
    <mergeCell ref="N14:S14"/>
    <mergeCell ref="U14:AN14"/>
    <mergeCell ref="AO14:AR14"/>
    <mergeCell ref="AT14:BZ14"/>
    <mergeCell ref="U15:AN15"/>
    <mergeCell ref="AO15:AR15"/>
    <mergeCell ref="AT15:BZ15"/>
    <mergeCell ref="BR28:BV28"/>
    <mergeCell ref="BW28:BZ28"/>
    <mergeCell ref="AT23:BZ23"/>
    <mergeCell ref="AT24:BZ24"/>
    <mergeCell ref="AT26:BZ26"/>
    <mergeCell ref="AT27:BQ27"/>
    <mergeCell ref="BR27:BV27"/>
    <mergeCell ref="BW27:BZ27"/>
    <mergeCell ref="AT28:BQ28"/>
    <mergeCell ref="BR31:BV31"/>
    <mergeCell ref="BW31:BZ31"/>
    <mergeCell ref="AT29:BQ29"/>
    <mergeCell ref="BR29:BV29"/>
    <mergeCell ref="BW29:BZ29"/>
    <mergeCell ref="AT30:BQ30"/>
    <mergeCell ref="BR30:BV30"/>
    <mergeCell ref="BW30:BZ30"/>
    <mergeCell ref="AT31:BQ31"/>
    <mergeCell ref="AT37:BN37"/>
    <mergeCell ref="BO37:BZ37"/>
    <mergeCell ref="AT33:BZ33"/>
    <mergeCell ref="AT34:BN34"/>
    <mergeCell ref="BO34:BZ34"/>
    <mergeCell ref="AT35:BN35"/>
    <mergeCell ref="BO35:BZ35"/>
    <mergeCell ref="AT36:BN36"/>
    <mergeCell ref="BO36:BZ36"/>
    <mergeCell ref="BE2:BL2"/>
    <mergeCell ref="BM2:BZ2"/>
    <mergeCell ref="AT2:AZ2"/>
    <mergeCell ref="AT3:AZ3"/>
    <mergeCell ref="AT4:AZ4"/>
    <mergeCell ref="AT5:AZ5"/>
    <mergeCell ref="BA5:BD5"/>
    <mergeCell ref="BA3:BD3"/>
    <mergeCell ref="BE3:BL3"/>
    <mergeCell ref="BA4:BD4"/>
    <mergeCell ref="BE4:BL4"/>
    <mergeCell ref="BM4:BZ4"/>
    <mergeCell ref="BE5:BL5"/>
    <mergeCell ref="BM5:BZ5"/>
    <mergeCell ref="A1:S1"/>
    <mergeCell ref="U1:AR1"/>
    <mergeCell ref="AT1:BZ1"/>
    <mergeCell ref="A2:S2"/>
    <mergeCell ref="U2:AR2"/>
    <mergeCell ref="BA2:BD2"/>
    <mergeCell ref="BM3:BZ3"/>
    <mergeCell ref="U6:AN6"/>
    <mergeCell ref="AO6:AR6"/>
    <mergeCell ref="AT6:AZ6"/>
    <mergeCell ref="BA6:BD6"/>
    <mergeCell ref="BE6:BL6"/>
    <mergeCell ref="BM6:BZ6"/>
    <mergeCell ref="A3:S3"/>
    <mergeCell ref="A4:S4"/>
    <mergeCell ref="U4:AR4"/>
    <mergeCell ref="A5:S5"/>
    <mergeCell ref="U5:AN5"/>
    <mergeCell ref="AO5:AR5"/>
    <mergeCell ref="A6:S6"/>
    <mergeCell ref="AT16:BZ16"/>
    <mergeCell ref="AT17:BZ17"/>
    <mergeCell ref="AT18:BZ18"/>
    <mergeCell ref="AT19:BZ19"/>
    <mergeCell ref="AT20:BZ20"/>
    <mergeCell ref="AT21:BZ21"/>
    <mergeCell ref="AT22:BZ22"/>
    <mergeCell ref="A29:O29"/>
    <mergeCell ref="A30:O30"/>
    <mergeCell ref="P30:S30"/>
    <mergeCell ref="A31:O31"/>
    <mergeCell ref="P31:S31"/>
    <mergeCell ref="A32:O32"/>
    <mergeCell ref="P32:S32"/>
    <mergeCell ref="A34:O34"/>
    <mergeCell ref="P34:S34"/>
    <mergeCell ref="U34:AH34"/>
    <mergeCell ref="AI34:AR34"/>
    <mergeCell ref="P35:S35"/>
    <mergeCell ref="U35:AH35"/>
    <mergeCell ref="AI35:AR35"/>
    <mergeCell ref="A35:O35"/>
    <mergeCell ref="A36:O36"/>
    <mergeCell ref="P36:S36"/>
    <mergeCell ref="A37:O37"/>
    <mergeCell ref="P37:S37"/>
    <mergeCell ref="A38:O38"/>
    <mergeCell ref="P38:S38"/>
    <mergeCell ref="A39:O39"/>
    <mergeCell ref="P39:S39"/>
    <mergeCell ref="A40:O40"/>
    <mergeCell ref="P40:S40"/>
    <mergeCell ref="A41:O41"/>
    <mergeCell ref="P41:S41"/>
    <mergeCell ref="A43:BZ43"/>
    <mergeCell ref="A47:E47"/>
    <mergeCell ref="A48:E48"/>
    <mergeCell ref="A49:E49"/>
    <mergeCell ref="A50:E50"/>
    <mergeCell ref="A51:E51"/>
    <mergeCell ref="F48:BZ48"/>
    <mergeCell ref="F49:BZ49"/>
    <mergeCell ref="F50:BZ50"/>
    <mergeCell ref="F51:BZ51"/>
    <mergeCell ref="A44:E44"/>
    <mergeCell ref="F44:BZ44"/>
    <mergeCell ref="A45:E45"/>
    <mergeCell ref="F45:BZ45"/>
    <mergeCell ref="A46:E46"/>
    <mergeCell ref="F46:BZ46"/>
    <mergeCell ref="F47:BZ4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17.13"/>
  </cols>
  <sheetData>
    <row r="1" ht="573.75" customHeight="1">
      <c r="A1" s="423" t="s">
        <v>608</v>
      </c>
    </row>
  </sheetData>
  <drawing r:id="rId1"/>
</worksheet>
</file>